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3. saeb_ideb_aprov/municípios_consolidado/"/>
    </mc:Choice>
  </mc:AlternateContent>
  <xr:revisionPtr revIDLastSave="56" documentId="13_ncr:1_{D06970A6-6037-475A-A52E-0B235C47C2AA}" xr6:coauthVersionLast="47" xr6:coauthVersionMax="47" xr10:uidLastSave="{504EAB0F-D03E-446D-A850-B476DE9CAD84}"/>
  <bookViews>
    <workbookView xWindow="-110" yWindow="-110" windowWidth="19420" windowHeight="10300" xr2:uid="{00000000-000D-0000-FFFF-FFFF00000000}"/>
  </bookViews>
  <sheets>
    <sheet name="IDEB_AF_MUNICÍPIOS" sheetId="1" r:id="rId1"/>
    <sheet name="Planilha1" sheetId="2" r:id="rId2"/>
  </sheets>
  <definedNames>
    <definedName name="_xlnm._FilterDatabase" localSheetId="0" hidden="1">IDEB_AF_MUNICÍPIOS!$A$10:$DI$28</definedName>
    <definedName name="IDEB09_Fim_Mun8a">IDEB_AF_MUNICÍPIOS!$A$10:$DI$10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</calcChain>
</file>

<file path=xl/sharedStrings.xml><?xml version="1.0" encoding="utf-8"?>
<sst xmlns="http://schemas.openxmlformats.org/spreadsheetml/2006/main" count="1469" uniqueCount="211">
  <si>
    <t>MG</t>
  </si>
  <si>
    <t>Sigla da UF</t>
  </si>
  <si>
    <t>Código do Município</t>
  </si>
  <si>
    <t>Nome do Município</t>
  </si>
  <si>
    <t>Rede</t>
  </si>
  <si>
    <t>IDEB
2005
(N x P)</t>
  </si>
  <si>
    <t>IDEB
2007
(N x P)</t>
  </si>
  <si>
    <t>IDEB
2009
(N x P)</t>
  </si>
  <si>
    <t>Matemática</t>
  </si>
  <si>
    <t>Língua Portuguesa</t>
  </si>
  <si>
    <t>Nota Média Padronizada (N)</t>
  </si>
  <si>
    <t>Indicador de Rendimento (P)</t>
  </si>
  <si>
    <t>Fonte: MEC/Inep</t>
  </si>
  <si>
    <t>ND</t>
  </si>
  <si>
    <t>-</t>
  </si>
  <si>
    <t>Taxa de Aprovação - 2011</t>
  </si>
  <si>
    <t>Taxa de Aprovação - 2009</t>
  </si>
  <si>
    <t>Taxa de Aprovação - 2007</t>
  </si>
  <si>
    <t>Taxa de Aprovação - 2005</t>
  </si>
  <si>
    <t>IDEB
2011
(N x P)</t>
  </si>
  <si>
    <t>Municipal</t>
  </si>
  <si>
    <t>6º a 9º ano</t>
  </si>
  <si>
    <t>6º</t>
  </si>
  <si>
    <t>7º</t>
  </si>
  <si>
    <t>8º</t>
  </si>
  <si>
    <t>9º</t>
  </si>
  <si>
    <t>Taxa de Aprovação - 2013</t>
  </si>
  <si>
    <t>IDEB
2013
(N x P)</t>
  </si>
  <si>
    <t>Taxa de Aprovação - 2015</t>
  </si>
  <si>
    <t>IDEB
2015
(N x P)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</si>
  <si>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</si>
  <si>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</si>
  <si>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</si>
  <si>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</si>
  <si>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</si>
  <si>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</si>
  <si>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</si>
  <si>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</si>
  <si>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</si>
  <si>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Malacacheta</t>
  </si>
  <si>
    <t>Nanuque</t>
  </si>
  <si>
    <t>Novo Oriente de Minas</t>
  </si>
  <si>
    <t>Ouro Verde de Minas</t>
  </si>
  <si>
    <t>Poté</t>
  </si>
  <si>
    <t>Santa Helena de Minas</t>
  </si>
  <si>
    <t>Serra dos Aimorés</t>
  </si>
  <si>
    <t>Teófilo Otoni</t>
  </si>
  <si>
    <t>Umburatiba</t>
  </si>
  <si>
    <t>Taxa de Aprovação - 2017</t>
  </si>
  <si>
    <t>IDEB
2017
(N x P)</t>
  </si>
  <si>
    <t>SG_UF</t>
  </si>
  <si>
    <t>NO_MUNICIPIO</t>
  </si>
  <si>
    <t>REDE</t>
  </si>
  <si>
    <t>Nota SAEB - 2005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</si>
  <si>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</si>
  <si>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</si>
  <si>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</si>
  <si>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</si>
  <si>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</si>
  <si>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</si>
  <si>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</si>
  <si>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</si>
  <si>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</si>
  <si>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</si>
  <si>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</si>
  <si>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CO_MUNICIPIO</t>
  </si>
  <si>
    <t>VL_APROVACAO_2005_SI_4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</si>
  <si>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</si>
  <si>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</si>
  <si>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</si>
  <si>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</si>
  <si>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</si>
  <si>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</si>
  <si>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</si>
  <si>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</si>
  <si>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</si>
  <si>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</si>
  <si>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</si>
  <si>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</si>
  <si>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</si>
  <si>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</si>
  <si>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</si>
  <si>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</si>
  <si>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</si>
  <si>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</si>
  <si>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</si>
  <si>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</si>
  <si>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</si>
  <si>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</si>
  <si>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</si>
  <si>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</si>
  <si>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</si>
  <si>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</si>
  <si>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</si>
  <si>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</si>
  <si>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</si>
  <si>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</si>
  <si>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</si>
  <si>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</si>
  <si>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</si>
  <si>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</si>
  <si>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</si>
  <si>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</si>
  <si>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</si>
  <si>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</si>
  <si>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</si>
  <si>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</si>
  <si>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</si>
  <si>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</si>
  <si>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</si>
  <si>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</si>
  <si>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</si>
  <si>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</si>
  <si>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</si>
  <si>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</si>
  <si>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</si>
  <si>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</si>
  <si>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</si>
  <si>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</si>
  <si>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</si>
  <si>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</si>
  <si>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</si>
  <si>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</si>
  <si>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</si>
  <si>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</si>
  <si>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</si>
  <si>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</si>
  <si>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</si>
  <si>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</si>
  <si>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</si>
  <si>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</si>
  <si>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</si>
  <si>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</si>
  <si>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</si>
  <si>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</si>
  <si>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</si>
  <si>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</si>
  <si>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</si>
  <si>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</si>
  <si>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</si>
  <si>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</si>
  <si>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</si>
  <si>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</si>
  <si>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</si>
  <si>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</si>
  <si>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</si>
  <si>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</si>
  <si>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</si>
  <si>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</si>
  <si>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</si>
  <si>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</si>
  <si>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</si>
  <si>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</si>
  <si>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</si>
  <si>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243,79</t>
  </si>
  <si>
    <t>243,71</t>
  </si>
  <si>
    <t>248,19</t>
  </si>
  <si>
    <t>242,42</t>
  </si>
  <si>
    <t>233,71</t>
  </si>
  <si>
    <t>244,74</t>
  </si>
  <si>
    <t>240,19</t>
  </si>
  <si>
    <t>249,12</t>
  </si>
  <si>
    <t>284,16</t>
  </si>
  <si>
    <t>277,25</t>
  </si>
  <si>
    <t>VL_APROVACAO_2021_SI_4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</si>
  <si>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</si>
  <si>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</si>
  <si>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</si>
  <si>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</si>
  <si>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</si>
  <si>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VL_NOTA_MATEMATICA_2021</t>
  </si>
  <si>
    <t>VL_NOTA_PORTUGUES_2021</t>
  </si>
  <si>
    <t>VL_NOTA_MEDIA_2021</t>
  </si>
  <si>
    <t>VL_OBSERVADO_2021</t>
  </si>
  <si>
    <t>Taxa de Aprovação - 2023</t>
  </si>
  <si>
    <t>Nota SAEB - 2023</t>
  </si>
  <si>
    <t>IDEB
2023
(N x P)</t>
  </si>
  <si>
    <t>VL_APROVACAO_2023_SI_4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</si>
  <si>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</si>
  <si>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</si>
  <si>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</si>
  <si>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</si>
  <si>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</si>
  <si>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</si>
  <si>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</si>
  <si>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</si>
  <si>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</si>
  <si>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>Notas: ND - Número de participantes no SAEB insuficiente para que os resultados sejam divulgados;</t>
  </si>
  <si>
    <t>ND* - Solicitação de não divulgação conforme Portaria Inep nº 410 de 03 de novembro de 2011 ou Portaria Inep nº 304 de 24 de junho de 2013;</t>
  </si>
  <si>
    <t>(*) - Média calculada a partir dos resultados das escolas nas avaliações estaduais, em decorrência de extravio das provas retornadas e impossibilidade do cálculo da proficiência para o SAEB;</t>
  </si>
  <si>
    <t>(**) - Média calculada a partir dos resultados dos alunos no SAEB com participação inferior a 50%, em decorrência de extravio de provas;</t>
  </si>
  <si>
    <t>(1) - Médias do SAEB 2011 e Ideb 2011 calculados sem as escolas federais;</t>
  </si>
  <si>
    <t xml:space="preserve">(2)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</si>
  <si>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</si>
  <si>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</si>
  <si>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(3)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</si>
  <si>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</si>
  <si>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</si>
  <si>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(4) Com o fim do primeiro ciclo do Ideb, o Inep criou um Grupo Técnico para elaborar estudo e subsidiar a atualização do Ideb e a avaliação de novas metas - para maiores</t>
  </si>
  <si>
    <t>informações ver Portaria nº 26 de 29/01/2024 (https://www.in.gov.br/web/dou/-/portaria-n-26-de-29-de-janeiro-de-2024-540345023) que institui o Grupo Técnico e</t>
  </si>
  <si>
    <t>Portaria nº 231 de 17/06/2024 (https://www.in.gov.br/web/dou/-/portaria-n-231-de-17-de-junho-de-2024-566241404) que prorroga o prazo para conclusão das atividades.</t>
  </si>
  <si>
    <t>Ensino Fundamental Regular - Anos Finais</t>
  </si>
  <si>
    <r>
      <t>Taxa de Aprovação - 2021</t>
    </r>
    <r>
      <rPr>
        <b/>
        <vertAlign val="superscript"/>
        <sz val="9"/>
        <rFont val="Arial"/>
        <family val="2"/>
      </rPr>
      <t>2</t>
    </r>
  </si>
  <si>
    <r>
      <t>Nota SAEB - 2021</t>
    </r>
    <r>
      <rPr>
        <b/>
        <vertAlign val="superscript"/>
        <sz val="9"/>
        <rFont val="Arial"/>
        <family val="2"/>
      </rPr>
      <t>2</t>
    </r>
  </si>
  <si>
    <r>
      <t>IDEB
2021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</si>
  <si>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3,4</t>
    </r>
    <r>
      <rPr>
        <b/>
        <sz val="9"/>
        <rFont val="Arial"/>
        <family val="2"/>
      </rPr>
      <t xml:space="preserve"> (2007-2021)</t>
    </r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</si>
  <si>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3,4</t>
    </r>
    <r>
      <rPr>
        <sz val="10"/>
        <rFont val="Arial"/>
        <family val="2"/>
      </rPr>
      <t xml:space="preserve"> (2007-2021). Os dados estão dimensionados por município e organizados por rede de ensino.</t>
    </r>
  </si>
  <si>
    <t>Mesorregião</t>
  </si>
  <si>
    <t>Código Município Completo</t>
  </si>
  <si>
    <t>Vale do Mucuri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</si>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</sst>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b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2">
    <xf numFmtId="0" fontId="0" fillId="0" borderId="0"/>
    <xf numFmtId="0" fontId="15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2">
    <xf numFmtId="0" fontId="0" fillId="0" borderId="0" xfId="0"/>
    <xf numFmtId="0" fontId="12" fillId="2" borderId="0" xfId="0" applyFont="1" applyFill="1"/>
    <xf numFmtId="0" fontId="12" fillId="2" borderId="1" xfId="0" applyFont="1" applyFill="1" applyBorder="1" applyAlignment="1">
      <alignment horizontal="center" vertical="center" wrapText="1"/>
    </xf>
    <xf numFmtId="0" fontId="12" fillId="2" borderId="2" xfId="0" quotePrefix="1" applyFont="1" applyFill="1" applyBorder="1" applyAlignment="1">
      <alignment horizontal="center" vertical="center"/>
    </xf>
    <xf numFmtId="0" fontId="12" fillId="2" borderId="3" xfId="0" quotePrefix="1" applyFont="1" applyFill="1" applyBorder="1" applyAlignment="1">
      <alignment horizontal="center" vertical="center"/>
    </xf>
    <xf numFmtId="0" fontId="16" fillId="2" borderId="0" xfId="0" applyFont="1" applyFill="1"/>
    <xf numFmtId="49" fontId="14" fillId="2" borderId="14" xfId="1" applyNumberFormat="1" applyFont="1" applyFill="1" applyBorder="1"/>
    <xf numFmtId="1" fontId="14" fillId="2" borderId="14" xfId="1" applyNumberFormat="1" applyFont="1" applyFill="1" applyBorder="1"/>
    <xf numFmtId="0" fontId="14" fillId="2" borderId="14" xfId="1" applyFont="1" applyFill="1" applyBorder="1"/>
    <xf numFmtId="164" fontId="14" fillId="2" borderId="14" xfId="1" applyNumberFormat="1" applyFont="1" applyFill="1" applyBorder="1" applyAlignment="1">
      <alignment horizontal="right"/>
    </xf>
    <xf numFmtId="2" fontId="14" fillId="2" borderId="14" xfId="1" applyNumberFormat="1" applyFont="1" applyFill="1" applyBorder="1" applyAlignment="1">
      <alignment horizontal="right"/>
    </xf>
    <xf numFmtId="0" fontId="0" fillId="2" borderId="0" xfId="0" applyFill="1"/>
    <xf numFmtId="0" fontId="13" fillId="2" borderId="0" xfId="0" applyFont="1" applyFill="1"/>
    <xf numFmtId="1" fontId="10" fillId="3" borderId="0" xfId="3" applyNumberFormat="1" applyFill="1" applyAlignment="1">
      <alignment horizontal="center"/>
    </xf>
    <xf numFmtId="0" fontId="17" fillId="3" borderId="0" xfId="3" applyFont="1" applyFill="1"/>
    <xf numFmtId="0" fontId="10" fillId="3" borderId="0" xfId="3" applyFill="1"/>
    <xf numFmtId="0" fontId="18" fillId="2" borderId="0" xfId="0" applyFont="1" applyFill="1"/>
    <xf numFmtId="0" fontId="10" fillId="3" borderId="4" xfId="3" applyFill="1" applyBorder="1" applyAlignment="1">
      <alignment horizontal="left"/>
    </xf>
    <xf numFmtId="0" fontId="10" fillId="3" borderId="4" xfId="3" applyFill="1" applyBorder="1"/>
    <xf numFmtId="0" fontId="18" fillId="2" borderId="4" xfId="0" applyFont="1" applyFill="1" applyBorder="1"/>
    <xf numFmtId="0" fontId="10" fillId="3" borderId="0" xfId="3" applyFill="1" applyAlignment="1">
      <alignment horizontal="center"/>
    </xf>
    <xf numFmtId="1" fontId="10" fillId="3" borderId="0" xfId="3" applyNumberFormat="1" applyFill="1"/>
    <xf numFmtId="164" fontId="14" fillId="2" borderId="15" xfId="1" applyNumberFormat="1" applyFont="1" applyFill="1" applyBorder="1" applyAlignment="1">
      <alignment horizontal="right"/>
    </xf>
    <xf numFmtId="0" fontId="18" fillId="2" borderId="6" xfId="0" applyFont="1" applyFill="1" applyBorder="1"/>
    <xf numFmtId="0" fontId="1" fillId="3" borderId="4" xfId="3" applyFont="1" applyFill="1" applyBorder="1" applyAlignment="1">
      <alignment horizontal="left"/>
    </xf>
    <xf numFmtId="0" fontId="0" fillId="2" borderId="4" xfId="0" applyFill="1" applyBorder="1"/>
    <xf numFmtId="0" fontId="13" fillId="2" borderId="0" xfId="0" applyFont="1" applyFill="1" applyAlignment="1">
      <alignment vertical="center" wrapText="1"/>
    </xf>
    <xf numFmtId="0" fontId="11" fillId="3" borderId="0" xfId="1" applyFont="1" applyFill="1" applyAlignment="1">
      <alignment vertical="center" wrapText="1"/>
    </xf>
    <xf numFmtId="0" fontId="19" fillId="4" borderId="0" xfId="3" applyFont="1" applyFill="1" applyAlignment="1">
      <alignment vertical="center" wrapText="1"/>
    </xf>
    <xf numFmtId="0" fontId="0" fillId="0" borderId="0" xfId="0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0" fontId="11" fillId="3" borderId="0" xfId="1" applyFont="1" applyFill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</cellXfs>
  <cellStyles count="12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2" xfId="1" xr:uid="{00000000-0005-0000-0000-000004000000}"/>
    <cellStyle name="Normal 3" xfId="2" xr:uid="{00000000-0005-0000-0000-000005000000}"/>
    <cellStyle name="Normal 4" xfId="3" xr:uid="{00000000-0005-0000-0000-000006000000}"/>
    <cellStyle name="Normal 5" xfId="4" xr:uid="{00000000-0005-0000-0000-000007000000}"/>
    <cellStyle name="Normal 6" xfId="5" xr:uid="{00000000-0005-0000-0000-000008000000}"/>
    <cellStyle name="Normal 7" xfId="6" xr:uid="{00000000-0005-0000-0000-000009000000}"/>
    <cellStyle name="Normal 8" xfId="7" xr:uid="{00000000-0005-0000-0000-00000A000000}"/>
    <cellStyle name="Normal 9" xfId="8" xr:uid="{00000000-0005-0000-0000-00000B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565710</xdr:colOff>
      <xdr:row>1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36BD17-B1BC-42BB-9D1D-CF8211D57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952500" cy="3619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I44"/>
  <sheetViews>
    <sheetView tabSelected="1" topLeftCell="A5" zoomScale="85" zoomScaleNormal="85" workbookViewId="0">
      <pane xSplit="3" ySplit="5" topLeftCell="D10" activePane="bottomRight" state="frozen"/>
      <selection activeCell="A5" sqref="A5"/>
      <selection pane="topRight" activeCell="D5" sqref="D5"/>
      <selection pane="bottomLeft" activeCell="A10" sqref="A10"/>
      <selection pane="bottomRight" activeCell="CY36" sqref="CY36"/>
    </sheetView>
  </sheetViews>
  <sheetFormatPr defaultColWidth="9.1796875" defaultRowHeight="12.5" x14ac:dyDescent="0.25"/>
  <cols>
    <col min="1" max="1" width="6.26953125" style="11" customWidth="1"/>
    <col min="2" max="2" width="10" style="11" customWidth="1"/>
    <col min="3" max="3" width="18" style="11" bestFit="1" customWidth="1"/>
    <col min="4" max="4" width="12" style="11" customWidth="1"/>
    <col min="5" max="5" width="7.54296875" style="11" customWidth="1"/>
    <col min="6" max="10" width="6" style="11" hidden="1" customWidth="1"/>
    <col min="11" max="11" width="11.7265625" style="11" hidden="1" customWidth="1"/>
    <col min="12" max="16" width="6" style="11" hidden="1" customWidth="1"/>
    <col min="17" max="17" width="11.7265625" style="11" hidden="1" customWidth="1"/>
    <col min="18" max="22" width="6" style="11" hidden="1" customWidth="1"/>
    <col min="23" max="23" width="11.7265625" style="11" hidden="1" customWidth="1"/>
    <col min="24" max="28" width="6" style="11" hidden="1" customWidth="1"/>
    <col min="29" max="29" width="11.7265625" style="11" hidden="1" customWidth="1"/>
    <col min="30" max="34" width="6" style="11" hidden="1" customWidth="1"/>
    <col min="35" max="35" width="11.7265625" style="11" hidden="1" customWidth="1"/>
    <col min="36" max="40" width="6" style="11" hidden="1" customWidth="1"/>
    <col min="41" max="41" width="11.7265625" style="11" hidden="1" customWidth="1"/>
    <col min="42" max="46" width="6" style="11" hidden="1" customWidth="1"/>
    <col min="47" max="47" width="11.7265625" style="11" hidden="1" customWidth="1"/>
    <col min="48" max="52" width="6" style="11" hidden="1" customWidth="1"/>
    <col min="53" max="53" width="11.7265625" style="11" hidden="1" customWidth="1"/>
    <col min="54" max="58" width="6" style="11" hidden="1" customWidth="1"/>
    <col min="59" max="59" width="11.7265625" style="11" hidden="1" customWidth="1"/>
    <col min="60" max="64" width="6" style="11" hidden="1" customWidth="1"/>
    <col min="65" max="65" width="11.7265625" style="11" hidden="1" customWidth="1"/>
    <col min="66" max="66" width="10" style="11" hidden="1" customWidth="1"/>
    <col min="67" max="67" width="10.1796875" style="11" hidden="1" customWidth="1"/>
    <col min="68" max="68" width="10.7265625" style="11" hidden="1" customWidth="1"/>
    <col min="69" max="69" width="10" style="11" hidden="1" customWidth="1"/>
    <col min="70" max="70" width="10.1796875" style="11" hidden="1" customWidth="1"/>
    <col min="71" max="71" width="10.7265625" style="11" hidden="1" customWidth="1"/>
    <col min="72" max="72" width="10" style="11" hidden="1" customWidth="1"/>
    <col min="73" max="73" width="10.1796875" style="11" hidden="1" customWidth="1"/>
    <col min="74" max="74" width="10.7265625" style="11" hidden="1" customWidth="1"/>
    <col min="75" max="75" width="10" style="11" hidden="1" customWidth="1"/>
    <col min="76" max="76" width="10.1796875" style="11" hidden="1" customWidth="1"/>
    <col min="77" max="77" width="10.7265625" style="11" hidden="1" customWidth="1"/>
    <col min="78" max="78" width="10" style="11" hidden="1" customWidth="1"/>
    <col min="79" max="79" width="10.1796875" style="11" hidden="1" customWidth="1"/>
    <col min="80" max="80" width="10.7265625" style="11" hidden="1" customWidth="1"/>
    <col min="81" max="81" width="10" style="11" hidden="1" customWidth="1"/>
    <col min="82" max="82" width="10.1796875" style="11" hidden="1" customWidth="1"/>
    <col min="83" max="83" width="10.7265625" style="11" hidden="1" customWidth="1"/>
    <col min="84" max="84" width="10" style="11" hidden="1" customWidth="1"/>
    <col min="85" max="85" width="10.1796875" style="11" hidden="1" customWidth="1"/>
    <col min="86" max="86" width="10.7265625" style="11" hidden="1" customWidth="1"/>
    <col min="87" max="87" width="10" style="11" hidden="1" customWidth="1"/>
    <col min="88" max="88" width="10.1796875" style="11" hidden="1" customWidth="1"/>
    <col min="89" max="89" width="10.7265625" style="11" hidden="1" customWidth="1"/>
    <col min="90" max="90" width="10" style="11" hidden="1" customWidth="1"/>
    <col min="91" max="91" width="10.1796875" style="11" hidden="1" customWidth="1"/>
    <col min="92" max="92" width="10.7265625" style="11" hidden="1" customWidth="1"/>
    <col min="93" max="93" width="10" style="11" hidden="1" customWidth="1"/>
    <col min="94" max="94" width="10.1796875" style="11" hidden="1" customWidth="1"/>
    <col min="95" max="95" width="10.7265625" style="11" hidden="1" customWidth="1"/>
    <col min="96" max="97" width="6.1796875" style="11" bestFit="1" customWidth="1"/>
    <col min="98" max="98" width="6.1796875" style="11" customWidth="1"/>
    <col min="99" max="99" width="6.1796875" style="11" bestFit="1" customWidth="1"/>
    <col min="100" max="105" width="6.1796875" style="11" customWidth="1"/>
    <col min="106" max="113" width="5" style="11" bestFit="1" customWidth="1"/>
    <col min="114" max="16384" width="9.1796875" style="11"/>
  </cols>
  <sheetData>
    <row r="1" spans="1:113" ht="18" x14ac:dyDescent="0.4">
      <c r="A1" s="13"/>
      <c r="B1" s="14" t="s">
        <v>60</v>
      </c>
      <c r="C1" s="14"/>
      <c r="D1" s="14"/>
      <c r="E1" s="14"/>
      <c r="F1" s="14"/>
      <c r="G1" s="14"/>
      <c r="H1" s="14"/>
      <c r="I1" s="14"/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</row>
    <row r="2" spans="1:113" ht="14.5" x14ac:dyDescent="0.35">
      <c r="A2" s="13"/>
      <c r="B2" s="24" t="s">
        <v>61</v>
      </c>
      <c r="C2" s="17"/>
      <c r="D2" s="17"/>
      <c r="E2" s="17"/>
      <c r="F2" s="17"/>
      <c r="G2" s="17"/>
      <c r="H2" s="17"/>
      <c r="I2" s="17"/>
      <c r="J2" s="18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</row>
    <row r="3" spans="1:113" ht="5.25" customHeight="1" x14ac:dyDescent="0.35">
      <c r="A3" s="13"/>
      <c r="B3" s="20"/>
      <c r="C3" s="15"/>
      <c r="D3" s="15"/>
      <c r="E3" s="21"/>
      <c r="F3" s="21"/>
      <c r="G3" s="21"/>
      <c r="H3" s="21"/>
      <c r="I3" s="21"/>
      <c r="J3" s="21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23"/>
    </row>
    <row r="4" spans="1:113" ht="26.25" customHeight="1" x14ac:dyDescent="0.25">
      <c r="A4" s="47" t="s">
        <v>201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</row>
    <row r="5" spans="1:113" ht="12.75" hidden="1" customHeight="1" x14ac:dyDescent="0.25">
      <c r="A5" s="49" t="s">
        <v>206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</row>
    <row r="6" spans="1:113" hidden="1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</row>
    <row r="7" spans="1:113" s="1" customFormat="1" ht="13.5" customHeight="1" x14ac:dyDescent="0.25">
      <c r="A7" s="34" t="s">
        <v>1</v>
      </c>
      <c r="B7" s="44" t="s">
        <v>2</v>
      </c>
      <c r="C7" s="44" t="s">
        <v>3</v>
      </c>
      <c r="D7" s="44" t="s">
        <v>207</v>
      </c>
      <c r="E7" s="44" t="s">
        <v>4</v>
      </c>
      <c r="F7" s="32" t="s">
        <v>18</v>
      </c>
      <c r="G7" s="33"/>
      <c r="H7" s="33"/>
      <c r="I7" s="33"/>
      <c r="J7" s="33"/>
      <c r="K7" s="34"/>
      <c r="L7" s="32" t="s">
        <v>17</v>
      </c>
      <c r="M7" s="33"/>
      <c r="N7" s="33"/>
      <c r="O7" s="33"/>
      <c r="P7" s="33"/>
      <c r="Q7" s="34"/>
      <c r="R7" s="32" t="s">
        <v>16</v>
      </c>
      <c r="S7" s="33"/>
      <c r="T7" s="33"/>
      <c r="U7" s="33"/>
      <c r="V7" s="33"/>
      <c r="W7" s="34"/>
      <c r="X7" s="32" t="s">
        <v>15</v>
      </c>
      <c r="Y7" s="33"/>
      <c r="Z7" s="33"/>
      <c r="AA7" s="33"/>
      <c r="AB7" s="33"/>
      <c r="AC7" s="34"/>
      <c r="AD7" s="32" t="s">
        <v>26</v>
      </c>
      <c r="AE7" s="33"/>
      <c r="AF7" s="33"/>
      <c r="AG7" s="33"/>
      <c r="AH7" s="33"/>
      <c r="AI7" s="34"/>
      <c r="AJ7" s="32" t="s">
        <v>28</v>
      </c>
      <c r="AK7" s="33"/>
      <c r="AL7" s="33"/>
      <c r="AM7" s="33"/>
      <c r="AN7" s="33"/>
      <c r="AO7" s="34"/>
      <c r="AP7" s="32" t="s">
        <v>48</v>
      </c>
      <c r="AQ7" s="33"/>
      <c r="AR7" s="33"/>
      <c r="AS7" s="33"/>
      <c r="AT7" s="33"/>
      <c r="AU7" s="34"/>
      <c r="AV7" s="32" t="s">
        <v>62</v>
      </c>
      <c r="AW7" s="33"/>
      <c r="AX7" s="33"/>
      <c r="AY7" s="33"/>
      <c r="AZ7" s="33"/>
      <c r="BA7" s="34"/>
      <c r="BB7" s="32" t="s">
        <v>202</v>
      </c>
      <c r="BC7" s="33"/>
      <c r="BD7" s="33"/>
      <c r="BE7" s="33"/>
      <c r="BF7" s="33"/>
      <c r="BG7" s="34"/>
      <c r="BH7" s="32" t="s">
        <v>174</v>
      </c>
      <c r="BI7" s="33"/>
      <c r="BJ7" s="33"/>
      <c r="BK7" s="33"/>
      <c r="BL7" s="33"/>
      <c r="BM7" s="34"/>
      <c r="BN7" s="32" t="s">
        <v>53</v>
      </c>
      <c r="BO7" s="33"/>
      <c r="BP7" s="33"/>
      <c r="BQ7" s="32" t="s">
        <v>54</v>
      </c>
      <c r="BR7" s="33"/>
      <c r="BS7" s="33"/>
      <c r="BT7" s="32" t="s">
        <v>55</v>
      </c>
      <c r="BU7" s="33"/>
      <c r="BV7" s="33"/>
      <c r="BW7" s="32" t="s">
        <v>56</v>
      </c>
      <c r="BX7" s="33"/>
      <c r="BY7" s="33"/>
      <c r="BZ7" s="32" t="s">
        <v>57</v>
      </c>
      <c r="CA7" s="33"/>
      <c r="CB7" s="33"/>
      <c r="CC7" s="32" t="s">
        <v>58</v>
      </c>
      <c r="CD7" s="33"/>
      <c r="CE7" s="33"/>
      <c r="CF7" s="32" t="s">
        <v>59</v>
      </c>
      <c r="CG7" s="33"/>
      <c r="CH7" s="33"/>
      <c r="CI7" s="32" t="s">
        <v>63</v>
      </c>
      <c r="CJ7" s="33"/>
      <c r="CK7" s="33"/>
      <c r="CL7" s="32" t="s">
        <v>203</v>
      </c>
      <c r="CM7" s="33"/>
      <c r="CN7" s="33"/>
      <c r="CO7" s="32" t="s">
        <v>175</v>
      </c>
      <c r="CP7" s="33"/>
      <c r="CQ7" s="33"/>
      <c r="CR7" s="32" t="s">
        <v>5</v>
      </c>
      <c r="CS7" s="32" t="s">
        <v>6</v>
      </c>
      <c r="CT7" s="32" t="s">
        <v>7</v>
      </c>
      <c r="CU7" s="32" t="s">
        <v>19</v>
      </c>
      <c r="CV7" s="32" t="s">
        <v>27</v>
      </c>
      <c r="CW7" s="32" t="s">
        <v>29</v>
      </c>
      <c r="CX7" s="32" t="s">
        <v>49</v>
      </c>
      <c r="CY7" s="32" t="s">
        <v>64</v>
      </c>
      <c r="CZ7" s="32" t="s">
        <v>204</v>
      </c>
      <c r="DA7" s="32" t="s">
        <v>176</v>
      </c>
      <c r="DB7" s="40" t="s">
        <v>205</v>
      </c>
      <c r="DC7" s="40"/>
      <c r="DD7" s="40"/>
      <c r="DE7" s="40"/>
      <c r="DF7" s="40"/>
      <c r="DG7" s="40"/>
      <c r="DH7" s="40"/>
      <c r="DI7" s="41"/>
    </row>
    <row r="8" spans="1:113" s="1" customFormat="1" ht="10.5" customHeight="1" x14ac:dyDescent="0.25">
      <c r="A8" s="43"/>
      <c r="B8" s="45"/>
      <c r="C8" s="45"/>
      <c r="D8" s="45"/>
      <c r="E8" s="45"/>
      <c r="F8" s="35"/>
      <c r="G8" s="36"/>
      <c r="H8" s="36"/>
      <c r="I8" s="36"/>
      <c r="J8" s="36"/>
      <c r="K8" s="37"/>
      <c r="L8" s="35"/>
      <c r="M8" s="36"/>
      <c r="N8" s="36"/>
      <c r="O8" s="36"/>
      <c r="P8" s="36"/>
      <c r="Q8" s="37"/>
      <c r="R8" s="35"/>
      <c r="S8" s="36"/>
      <c r="T8" s="36"/>
      <c r="U8" s="36"/>
      <c r="V8" s="36"/>
      <c r="W8" s="37"/>
      <c r="X8" s="35"/>
      <c r="Y8" s="36"/>
      <c r="Z8" s="36"/>
      <c r="AA8" s="36"/>
      <c r="AB8" s="36"/>
      <c r="AC8" s="37"/>
      <c r="AD8" s="35"/>
      <c r="AE8" s="36"/>
      <c r="AF8" s="36"/>
      <c r="AG8" s="36"/>
      <c r="AH8" s="36"/>
      <c r="AI8" s="37"/>
      <c r="AJ8" s="35"/>
      <c r="AK8" s="36"/>
      <c r="AL8" s="36"/>
      <c r="AM8" s="36"/>
      <c r="AN8" s="36"/>
      <c r="AO8" s="37"/>
      <c r="AP8" s="35"/>
      <c r="AQ8" s="36"/>
      <c r="AR8" s="36"/>
      <c r="AS8" s="36"/>
      <c r="AT8" s="36"/>
      <c r="AU8" s="37"/>
      <c r="AV8" s="35"/>
      <c r="AW8" s="36"/>
      <c r="AX8" s="36"/>
      <c r="AY8" s="36"/>
      <c r="AZ8" s="36"/>
      <c r="BA8" s="37"/>
      <c r="BB8" s="35"/>
      <c r="BC8" s="36"/>
      <c r="BD8" s="36"/>
      <c r="BE8" s="36"/>
      <c r="BF8" s="36"/>
      <c r="BG8" s="37"/>
      <c r="BH8" s="35"/>
      <c r="BI8" s="36"/>
      <c r="BJ8" s="36"/>
      <c r="BK8" s="36"/>
      <c r="BL8" s="36"/>
      <c r="BM8" s="37"/>
      <c r="BN8" s="30" t="s">
        <v>8</v>
      </c>
      <c r="BO8" s="30" t="s">
        <v>9</v>
      </c>
      <c r="BP8" s="38" t="s">
        <v>10</v>
      </c>
      <c r="BQ8" s="30" t="s">
        <v>8</v>
      </c>
      <c r="BR8" s="30" t="s">
        <v>9</v>
      </c>
      <c r="BS8" s="38" t="s">
        <v>10</v>
      </c>
      <c r="BT8" s="30" t="s">
        <v>8</v>
      </c>
      <c r="BU8" s="30" t="s">
        <v>9</v>
      </c>
      <c r="BV8" s="38" t="s">
        <v>10</v>
      </c>
      <c r="BW8" s="30" t="s">
        <v>8</v>
      </c>
      <c r="BX8" s="30" t="s">
        <v>9</v>
      </c>
      <c r="BY8" s="38" t="s">
        <v>10</v>
      </c>
      <c r="BZ8" s="30" t="s">
        <v>8</v>
      </c>
      <c r="CA8" s="30" t="s">
        <v>9</v>
      </c>
      <c r="CB8" s="38" t="s">
        <v>10</v>
      </c>
      <c r="CC8" s="30" t="s">
        <v>8</v>
      </c>
      <c r="CD8" s="30" t="s">
        <v>9</v>
      </c>
      <c r="CE8" s="38" t="s">
        <v>10</v>
      </c>
      <c r="CF8" s="30" t="s">
        <v>8</v>
      </c>
      <c r="CG8" s="30" t="s">
        <v>9</v>
      </c>
      <c r="CH8" s="38" t="s">
        <v>10</v>
      </c>
      <c r="CI8" s="30" t="s">
        <v>8</v>
      </c>
      <c r="CJ8" s="30" t="s">
        <v>9</v>
      </c>
      <c r="CK8" s="38" t="s">
        <v>10</v>
      </c>
      <c r="CL8" s="30" t="s">
        <v>8</v>
      </c>
      <c r="CM8" s="30" t="s">
        <v>9</v>
      </c>
      <c r="CN8" s="38" t="s">
        <v>10</v>
      </c>
      <c r="CO8" s="30" t="s">
        <v>8</v>
      </c>
      <c r="CP8" s="30" t="s">
        <v>9</v>
      </c>
      <c r="CQ8" s="38" t="s">
        <v>10</v>
      </c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0"/>
      <c r="DC8" s="40"/>
      <c r="DD8" s="40"/>
      <c r="DE8" s="40"/>
      <c r="DF8" s="40"/>
      <c r="DG8" s="40"/>
      <c r="DH8" s="40"/>
      <c r="DI8" s="41"/>
    </row>
    <row r="9" spans="1:113" s="1" customFormat="1" ht="36.75" customHeight="1" x14ac:dyDescent="0.25">
      <c r="A9" s="37"/>
      <c r="B9" s="46"/>
      <c r="C9" s="46"/>
      <c r="D9" s="46"/>
      <c r="E9" s="46"/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11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  <c r="Q9" s="2" t="s">
        <v>11</v>
      </c>
      <c r="R9" s="2" t="s">
        <v>21</v>
      </c>
      <c r="S9" s="2" t="s">
        <v>22</v>
      </c>
      <c r="T9" s="2" t="s">
        <v>23</v>
      </c>
      <c r="U9" s="2" t="s">
        <v>24</v>
      </c>
      <c r="V9" s="2" t="s">
        <v>25</v>
      </c>
      <c r="W9" s="2" t="s">
        <v>11</v>
      </c>
      <c r="X9" s="2" t="s">
        <v>21</v>
      </c>
      <c r="Y9" s="2" t="s">
        <v>22</v>
      </c>
      <c r="Z9" s="2" t="s">
        <v>23</v>
      </c>
      <c r="AA9" s="2" t="s">
        <v>24</v>
      </c>
      <c r="AB9" s="2" t="s">
        <v>25</v>
      </c>
      <c r="AC9" s="2" t="s">
        <v>11</v>
      </c>
      <c r="AD9" s="2" t="s">
        <v>21</v>
      </c>
      <c r="AE9" s="2" t="s">
        <v>22</v>
      </c>
      <c r="AF9" s="2" t="s">
        <v>23</v>
      </c>
      <c r="AG9" s="2" t="s">
        <v>24</v>
      </c>
      <c r="AH9" s="2" t="s">
        <v>25</v>
      </c>
      <c r="AI9" s="2" t="s">
        <v>11</v>
      </c>
      <c r="AJ9" s="2" t="s">
        <v>21</v>
      </c>
      <c r="AK9" s="2" t="s">
        <v>22</v>
      </c>
      <c r="AL9" s="2" t="s">
        <v>23</v>
      </c>
      <c r="AM9" s="2" t="s">
        <v>24</v>
      </c>
      <c r="AN9" s="2" t="s">
        <v>25</v>
      </c>
      <c r="AO9" s="2" t="s">
        <v>11</v>
      </c>
      <c r="AP9" s="2" t="s">
        <v>21</v>
      </c>
      <c r="AQ9" s="2" t="s">
        <v>22</v>
      </c>
      <c r="AR9" s="2" t="s">
        <v>23</v>
      </c>
      <c r="AS9" s="2" t="s">
        <v>24</v>
      </c>
      <c r="AT9" s="2" t="s">
        <v>25</v>
      </c>
      <c r="AU9" s="2" t="s">
        <v>11</v>
      </c>
      <c r="AV9" s="2" t="s">
        <v>21</v>
      </c>
      <c r="AW9" s="2" t="s">
        <v>22</v>
      </c>
      <c r="AX9" s="2" t="s">
        <v>23</v>
      </c>
      <c r="AY9" s="2" t="s">
        <v>24</v>
      </c>
      <c r="AZ9" s="2" t="s">
        <v>25</v>
      </c>
      <c r="BA9" s="2" t="s">
        <v>11</v>
      </c>
      <c r="BB9" s="2" t="s">
        <v>21</v>
      </c>
      <c r="BC9" s="2" t="s">
        <v>22</v>
      </c>
      <c r="BD9" s="2" t="s">
        <v>23</v>
      </c>
      <c r="BE9" s="2" t="s">
        <v>24</v>
      </c>
      <c r="BF9" s="2" t="s">
        <v>25</v>
      </c>
      <c r="BG9" s="2" t="s">
        <v>11</v>
      </c>
      <c r="BH9" s="2" t="s">
        <v>21</v>
      </c>
      <c r="BI9" s="2" t="s">
        <v>22</v>
      </c>
      <c r="BJ9" s="2" t="s">
        <v>23</v>
      </c>
      <c r="BK9" s="2" t="s">
        <v>24</v>
      </c>
      <c r="BL9" s="2" t="s">
        <v>25</v>
      </c>
      <c r="BM9" s="2" t="s">
        <v>11</v>
      </c>
      <c r="BN9" s="31"/>
      <c r="BO9" s="31"/>
      <c r="BP9" s="39"/>
      <c r="BQ9" s="31"/>
      <c r="BR9" s="31"/>
      <c r="BS9" s="39"/>
      <c r="BT9" s="31"/>
      <c r="BU9" s="31"/>
      <c r="BV9" s="39"/>
      <c r="BW9" s="31"/>
      <c r="BX9" s="31"/>
      <c r="BY9" s="39"/>
      <c r="BZ9" s="31"/>
      <c r="CA9" s="31"/>
      <c r="CB9" s="39"/>
      <c r="CC9" s="31"/>
      <c r="CD9" s="31"/>
      <c r="CE9" s="39"/>
      <c r="CF9" s="31"/>
      <c r="CG9" s="31"/>
      <c r="CH9" s="39"/>
      <c r="CI9" s="31"/>
      <c r="CJ9" s="31"/>
      <c r="CK9" s="39"/>
      <c r="CL9" s="31"/>
      <c r="CM9" s="31"/>
      <c r="CN9" s="39"/>
      <c r="CO9" s="31"/>
      <c r="CP9" s="31"/>
      <c r="CQ9" s="39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">
        <v>2007</v>
      </c>
      <c r="DC9" s="3">
        <v>2009</v>
      </c>
      <c r="DD9" s="3">
        <v>2011</v>
      </c>
      <c r="DE9" s="3">
        <v>2013</v>
      </c>
      <c r="DF9" s="3">
        <v>2015</v>
      </c>
      <c r="DG9" s="3">
        <v>2017</v>
      </c>
      <c r="DH9" s="3">
        <v>2019</v>
      </c>
      <c r="DI9" s="4">
        <v>2021</v>
      </c>
    </row>
    <row r="10" spans="1:113" s="5" customFormat="1" ht="13.5" customHeight="1" x14ac:dyDescent="0.25">
      <c r="A10" s="5" t="s">
        <v>50</v>
      </c>
      <c r="B10" s="5" t="s">
        <v>65</v>
      </c>
      <c r="C10" s="5" t="s">
        <v>51</v>
      </c>
      <c r="D10" s="5" t="s">
        <v>210</v>
      </c>
      <c r="E10" s="5" t="s">
        <v>52</v>
      </c>
      <c r="F10" s="5" t="s">
        <v>66</v>
      </c>
      <c r="G10" s="5" t="s">
        <v>67</v>
      </c>
      <c r="H10" s="5" t="s">
        <v>68</v>
      </c>
      <c r="I10" s="5" t="s">
        <v>69</v>
      </c>
      <c r="J10" s="5" t="s">
        <v>70</v>
      </c>
      <c r="K10" s="5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5" t="s">
        <v>76</v>
      </c>
      <c r="Q10" s="5" t="s">
        <v>77</v>
      </c>
      <c r="R10" s="5" t="s">
        <v>78</v>
      </c>
      <c r="S10" s="5" t="s">
        <v>79</v>
      </c>
      <c r="T10" s="5" t="s">
        <v>80</v>
      </c>
      <c r="U10" s="5" t="s">
        <v>81</v>
      </c>
      <c r="V10" s="5" t="s">
        <v>82</v>
      </c>
      <c r="W10" s="5" t="s">
        <v>83</v>
      </c>
      <c r="X10" s="5" t="s">
        <v>84</v>
      </c>
      <c r="Y10" s="5" t="s">
        <v>85</v>
      </c>
      <c r="Z10" s="5" t="s">
        <v>86</v>
      </c>
      <c r="AA10" s="5" t="s">
        <v>87</v>
      </c>
      <c r="AB10" s="5" t="s">
        <v>88</v>
      </c>
      <c r="AC10" s="5" t="s">
        <v>89</v>
      </c>
      <c r="AD10" s="5" t="s">
        <v>90</v>
      </c>
      <c r="AE10" s="5" t="s">
        <v>91</v>
      </c>
      <c r="AF10" s="5" t="s">
        <v>92</v>
      </c>
      <c r="AG10" s="5" t="s">
        <v>93</v>
      </c>
      <c r="AH10" s="5" t="s">
        <v>94</v>
      </c>
      <c r="AI10" s="5" t="s">
        <v>95</v>
      </c>
      <c r="AJ10" s="5" t="s">
        <v>96</v>
      </c>
      <c r="AK10" s="5" t="s">
        <v>97</v>
      </c>
      <c r="AL10" s="5" t="s">
        <v>98</v>
      </c>
      <c r="AM10" s="5" t="s">
        <v>99</v>
      </c>
      <c r="AN10" s="5" t="s">
        <v>100</v>
      </c>
      <c r="AO10" s="5" t="s">
        <v>101</v>
      </c>
      <c r="AP10" s="5" t="s">
        <v>102</v>
      </c>
      <c r="AQ10" s="5" t="s">
        <v>103</v>
      </c>
      <c r="AR10" s="5" t="s">
        <v>104</v>
      </c>
      <c r="AS10" s="5" t="s">
        <v>105</v>
      </c>
      <c r="AT10" s="5" t="s">
        <v>106</v>
      </c>
      <c r="AU10" s="5" t="s">
        <v>107</v>
      </c>
      <c r="AV10" s="5" t="s">
        <v>108</v>
      </c>
      <c r="AW10" s="5" t="s">
        <v>109</v>
      </c>
      <c r="AX10" s="5" t="s">
        <v>110</v>
      </c>
      <c r="AY10" s="5" t="s">
        <v>111</v>
      </c>
      <c r="AZ10" s="5" t="s">
        <v>112</v>
      </c>
      <c r="BA10" s="5" t="s">
        <v>113</v>
      </c>
      <c r="BB10" s="5" t="s">
        <v>164</v>
      </c>
      <c r="BC10" s="5" t="s">
        <v>165</v>
      </c>
      <c r="BD10" s="5" t="s">
        <v>166</v>
      </c>
      <c r="BE10" s="5" t="s">
        <v>167</v>
      </c>
      <c r="BF10" s="5" t="s">
        <v>168</v>
      </c>
      <c r="BG10" s="5" t="s">
        <v>169</v>
      </c>
      <c r="BH10" s="5" t="s">
        <v>177</v>
      </c>
      <c r="BI10" s="5" t="s">
        <v>178</v>
      </c>
      <c r="BJ10" s="5" t="s">
        <v>179</v>
      </c>
      <c r="BK10" s="5" t="s">
        <v>180</v>
      </c>
      <c r="BL10" s="5" t="s">
        <v>181</v>
      </c>
      <c r="BM10" s="5" t="s">
        <v>182</v>
      </c>
      <c r="BN10" s="5" t="s">
        <v>114</v>
      </c>
      <c r="BO10" s="5" t="s">
        <v>115</v>
      </c>
      <c r="BP10" s="5" t="s">
        <v>116</v>
      </c>
      <c r="BQ10" s="5" t="s">
        <v>117</v>
      </c>
      <c r="BR10" s="5" t="s">
        <v>118</v>
      </c>
      <c r="BS10" s="5" t="s">
        <v>119</v>
      </c>
      <c r="BT10" s="5" t="s">
        <v>120</v>
      </c>
      <c r="BU10" s="5" t="s">
        <v>121</v>
      </c>
      <c r="BV10" s="5" t="s">
        <v>122</v>
      </c>
      <c r="BW10" s="5" t="s">
        <v>123</v>
      </c>
      <c r="BX10" s="5" t="s">
        <v>124</v>
      </c>
      <c r="BY10" s="5" t="s">
        <v>125</v>
      </c>
      <c r="BZ10" s="5" t="s">
        <v>126</v>
      </c>
      <c r="CA10" s="5" t="s">
        <v>127</v>
      </c>
      <c r="CB10" s="5" t="s">
        <v>128</v>
      </c>
      <c r="CC10" s="5" t="s">
        <v>129</v>
      </c>
      <c r="CD10" s="5" t="s">
        <v>130</v>
      </c>
      <c r="CE10" s="5" t="s">
        <v>131</v>
      </c>
      <c r="CF10" s="5" t="s">
        <v>132</v>
      </c>
      <c r="CG10" s="5" t="s">
        <v>133</v>
      </c>
      <c r="CH10" s="5" t="s">
        <v>134</v>
      </c>
      <c r="CI10" s="5" t="s">
        <v>135</v>
      </c>
      <c r="CJ10" s="5" t="s">
        <v>136</v>
      </c>
      <c r="CK10" s="5" t="s">
        <v>137</v>
      </c>
      <c r="CL10" s="5" t="s">
        <v>170</v>
      </c>
      <c r="CM10" s="5" t="s">
        <v>171</v>
      </c>
      <c r="CN10" s="5" t="s">
        <v>172</v>
      </c>
      <c r="CO10" s="5" t="s">
        <v>183</v>
      </c>
      <c r="CP10" s="5" t="s">
        <v>184</v>
      </c>
      <c r="CQ10" s="5" t="s">
        <v>185</v>
      </c>
      <c r="CR10" s="5" t="s">
        <v>138</v>
      </c>
      <c r="CS10" s="5" t="s">
        <v>139</v>
      </c>
      <c r="CT10" s="5" t="s">
        <v>140</v>
      </c>
      <c r="CU10" s="5" t="s">
        <v>141</v>
      </c>
      <c r="CV10" s="5" t="s">
        <v>142</v>
      </c>
      <c r="CW10" s="5" t="s">
        <v>143</v>
      </c>
      <c r="CX10" s="5" t="s">
        <v>144</v>
      </c>
      <c r="CY10" s="5" t="s">
        <v>145</v>
      </c>
      <c r="CZ10" s="5" t="s">
        <v>173</v>
      </c>
      <c r="DA10" s="5" t="s">
        <v>186</v>
      </c>
      <c r="DB10" s="5" t="s">
        <v>146</v>
      </c>
      <c r="DC10" s="5" t="s">
        <v>147</v>
      </c>
      <c r="DD10" s="5" t="s">
        <v>148</v>
      </c>
      <c r="DE10" s="5" t="s">
        <v>149</v>
      </c>
      <c r="DF10" s="5" t="s">
        <v>150</v>
      </c>
      <c r="DG10" s="5" t="s">
        <v>151</v>
      </c>
      <c r="DH10" s="5" t="s">
        <v>152</v>
      </c>
      <c r="DI10" s="5" t="s">
        <v>153</v>
      </c>
    </row>
    <row r="11" spans="1:113" ht="14.15" customHeight="1" x14ac:dyDescent="0.25">
      <c r="A11" s="6" t="s">
        <v>0</v>
      </c>
      <c r="B11" s="7">
        <v>3104700</v>
      </c>
      <c r="C11" s="6" t="s">
        <v>30</v>
      </c>
      <c r="D11" s="8" t="str">
        <f>VLOOKUP(B11,Planilha1!$A:$B,2,0)</f>
        <v>Vale do Mucuri</v>
      </c>
      <c r="E11" s="8" t="s">
        <v>20</v>
      </c>
      <c r="F11" s="9" t="s">
        <v>14</v>
      </c>
      <c r="G11" s="9" t="s">
        <v>14</v>
      </c>
      <c r="H11" s="9" t="s">
        <v>14</v>
      </c>
      <c r="I11" s="9" t="s">
        <v>14</v>
      </c>
      <c r="J11" s="9" t="s">
        <v>14</v>
      </c>
      <c r="K11" s="10" t="s">
        <v>14</v>
      </c>
      <c r="L11" s="9" t="s">
        <v>14</v>
      </c>
      <c r="M11" s="9" t="s">
        <v>14</v>
      </c>
      <c r="N11" s="9" t="s">
        <v>14</v>
      </c>
      <c r="O11" s="9" t="s">
        <v>14</v>
      </c>
      <c r="P11" s="9" t="s">
        <v>14</v>
      </c>
      <c r="Q11" s="10" t="s">
        <v>14</v>
      </c>
      <c r="R11" s="9" t="s">
        <v>14</v>
      </c>
      <c r="S11" s="9" t="s">
        <v>14</v>
      </c>
      <c r="T11" s="9" t="s">
        <v>14</v>
      </c>
      <c r="U11" s="9" t="s">
        <v>14</v>
      </c>
      <c r="V11" s="9" t="s">
        <v>14</v>
      </c>
      <c r="W11" s="10" t="s">
        <v>14</v>
      </c>
      <c r="X11" s="9" t="s">
        <v>14</v>
      </c>
      <c r="Y11" s="9" t="s">
        <v>14</v>
      </c>
      <c r="Z11" s="9" t="s">
        <v>14</v>
      </c>
      <c r="AA11" s="9" t="s">
        <v>14</v>
      </c>
      <c r="AB11" s="9" t="s">
        <v>14</v>
      </c>
      <c r="AC11" s="10" t="s">
        <v>14</v>
      </c>
      <c r="AD11" s="9" t="s">
        <v>14</v>
      </c>
      <c r="AE11" s="9" t="s">
        <v>14</v>
      </c>
      <c r="AF11" s="9" t="s">
        <v>14</v>
      </c>
      <c r="AG11" s="9" t="s">
        <v>14</v>
      </c>
      <c r="AH11" s="9" t="s">
        <v>14</v>
      </c>
      <c r="AI11" s="10" t="s">
        <v>14</v>
      </c>
      <c r="AJ11" s="9" t="s">
        <v>14</v>
      </c>
      <c r="AK11" s="9" t="s">
        <v>14</v>
      </c>
      <c r="AL11" s="9" t="s">
        <v>14</v>
      </c>
      <c r="AM11" s="9" t="s">
        <v>14</v>
      </c>
      <c r="AN11" s="9" t="s">
        <v>14</v>
      </c>
      <c r="AO11" s="10" t="s">
        <v>14</v>
      </c>
      <c r="AP11" s="9">
        <v>87.8</v>
      </c>
      <c r="AQ11" s="9">
        <v>76.900000000000006</v>
      </c>
      <c r="AR11" s="9">
        <v>85.7</v>
      </c>
      <c r="AS11" s="9">
        <v>89.5</v>
      </c>
      <c r="AT11" s="9">
        <v>100</v>
      </c>
      <c r="AU11" s="10">
        <v>0.87249200000000005</v>
      </c>
      <c r="AV11" s="9" t="s">
        <v>14</v>
      </c>
      <c r="AW11" s="9" t="s">
        <v>14</v>
      </c>
      <c r="AX11" s="9" t="s">
        <v>14</v>
      </c>
      <c r="AY11" s="9" t="s">
        <v>14</v>
      </c>
      <c r="AZ11" s="9" t="s">
        <v>14</v>
      </c>
      <c r="BA11" s="10" t="s">
        <v>14</v>
      </c>
      <c r="BB11" s="9">
        <v>100</v>
      </c>
      <c r="BC11" s="9">
        <v>100</v>
      </c>
      <c r="BD11" s="9">
        <v>100</v>
      </c>
      <c r="BE11" s="9">
        <v>100</v>
      </c>
      <c r="BF11" s="9">
        <v>100</v>
      </c>
      <c r="BG11" s="10">
        <v>1</v>
      </c>
      <c r="BH11" s="9">
        <v>97.8</v>
      </c>
      <c r="BI11" s="9">
        <v>100</v>
      </c>
      <c r="BJ11" s="9">
        <v>100</v>
      </c>
      <c r="BK11" s="9">
        <v>90</v>
      </c>
      <c r="BL11" s="9">
        <v>100</v>
      </c>
      <c r="BM11" s="10">
        <v>0.97297299999999998</v>
      </c>
      <c r="BN11" s="10" t="s">
        <v>14</v>
      </c>
      <c r="BO11" s="10" t="s">
        <v>14</v>
      </c>
      <c r="BP11" s="10" t="s">
        <v>14</v>
      </c>
      <c r="BQ11" s="10" t="s">
        <v>14</v>
      </c>
      <c r="BR11" s="10" t="s">
        <v>14</v>
      </c>
      <c r="BS11" s="10" t="s">
        <v>14</v>
      </c>
      <c r="BT11" s="10" t="s">
        <v>14</v>
      </c>
      <c r="BU11" s="10" t="s">
        <v>14</v>
      </c>
      <c r="BV11" s="10" t="s">
        <v>14</v>
      </c>
      <c r="BW11" s="10" t="s">
        <v>14</v>
      </c>
      <c r="BX11" s="10" t="s">
        <v>14</v>
      </c>
      <c r="BY11" s="10" t="s">
        <v>14</v>
      </c>
      <c r="BZ11" s="10" t="s">
        <v>14</v>
      </c>
      <c r="CA11" s="10" t="s">
        <v>14</v>
      </c>
      <c r="CB11" s="10" t="s">
        <v>14</v>
      </c>
      <c r="CC11" s="10" t="s">
        <v>14</v>
      </c>
      <c r="CD11" s="10" t="s">
        <v>14</v>
      </c>
      <c r="CE11" s="10" t="s">
        <v>14</v>
      </c>
      <c r="CF11" s="10">
        <v>241.36</v>
      </c>
      <c r="CG11" s="10">
        <v>240.31</v>
      </c>
      <c r="CH11" s="10">
        <v>4.6944999999999997</v>
      </c>
      <c r="CI11" s="10" t="s">
        <v>14</v>
      </c>
      <c r="CJ11" s="10" t="s">
        <v>14</v>
      </c>
      <c r="CK11" s="10" t="s">
        <v>14</v>
      </c>
      <c r="CL11" s="10">
        <v>232.05</v>
      </c>
      <c r="CM11" s="10">
        <v>231.75</v>
      </c>
      <c r="CN11" s="10">
        <v>4.3966669999999999</v>
      </c>
      <c r="CO11" s="10">
        <v>212.43</v>
      </c>
      <c r="CP11" s="10">
        <v>214.86</v>
      </c>
      <c r="CQ11" s="10">
        <v>3.7881670000000001</v>
      </c>
      <c r="CR11" s="9" t="s">
        <v>14</v>
      </c>
      <c r="CS11" s="9" t="s">
        <v>14</v>
      </c>
      <c r="CT11" s="9" t="s">
        <v>14</v>
      </c>
      <c r="CU11" s="9" t="s">
        <v>14</v>
      </c>
      <c r="CV11" s="9" t="s">
        <v>14</v>
      </c>
      <c r="CW11" s="9" t="s">
        <v>14</v>
      </c>
      <c r="CX11" s="9">
        <v>4.0999999999999996</v>
      </c>
      <c r="CY11" s="9" t="s">
        <v>14</v>
      </c>
      <c r="CZ11" s="9">
        <v>4.4000000000000004</v>
      </c>
      <c r="DA11" s="9">
        <v>3.7</v>
      </c>
      <c r="DB11" s="9" t="s">
        <v>14</v>
      </c>
      <c r="DC11" s="9" t="s">
        <v>14</v>
      </c>
      <c r="DD11" s="9" t="s">
        <v>14</v>
      </c>
      <c r="DE11" s="9" t="s">
        <v>14</v>
      </c>
      <c r="DF11" s="9" t="s">
        <v>14</v>
      </c>
      <c r="DG11" s="9" t="s">
        <v>14</v>
      </c>
      <c r="DH11" s="9">
        <v>4.3</v>
      </c>
      <c r="DI11" s="22">
        <v>4.5999999999999996</v>
      </c>
    </row>
    <row r="12" spans="1:113" ht="14.15" customHeight="1" x14ac:dyDescent="0.25">
      <c r="A12" s="6" t="s">
        <v>0</v>
      </c>
      <c r="B12" s="7">
        <v>3106606</v>
      </c>
      <c r="C12" s="6" t="s">
        <v>31</v>
      </c>
      <c r="D12" s="8" t="str">
        <f>VLOOKUP(B12,Planilha1!$A:$B,2,0)</f>
        <v>Vale do Mucuri</v>
      </c>
      <c r="E12" s="8" t="s">
        <v>20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  <c r="K12" s="10" t="s">
        <v>14</v>
      </c>
      <c r="L12" s="9">
        <v>79.599999999999994</v>
      </c>
      <c r="M12" s="9">
        <v>78.400000000000006</v>
      </c>
      <c r="N12" s="9">
        <v>68.099999999999994</v>
      </c>
      <c r="O12" s="9">
        <v>85.9</v>
      </c>
      <c r="P12" s="9">
        <v>86.5</v>
      </c>
      <c r="Q12" s="10">
        <v>0.78986599999999996</v>
      </c>
      <c r="R12" s="9">
        <v>85.4</v>
      </c>
      <c r="S12" s="9">
        <v>80.5</v>
      </c>
      <c r="T12" s="9">
        <v>88.9</v>
      </c>
      <c r="U12" s="9">
        <v>85</v>
      </c>
      <c r="V12" s="9">
        <v>87.8</v>
      </c>
      <c r="W12" s="10">
        <v>0.85424100000000003</v>
      </c>
      <c r="X12" s="9" t="s">
        <v>14</v>
      </c>
      <c r="Y12" s="9" t="s">
        <v>14</v>
      </c>
      <c r="Z12" s="9" t="s">
        <v>14</v>
      </c>
      <c r="AA12" s="9" t="s">
        <v>14</v>
      </c>
      <c r="AB12" s="9" t="s">
        <v>14</v>
      </c>
      <c r="AC12" s="10" t="s">
        <v>14</v>
      </c>
      <c r="AD12" s="9" t="s">
        <v>14</v>
      </c>
      <c r="AE12" s="9" t="s">
        <v>14</v>
      </c>
      <c r="AF12" s="9" t="s">
        <v>14</v>
      </c>
      <c r="AG12" s="9" t="s">
        <v>14</v>
      </c>
      <c r="AH12" s="9" t="s">
        <v>14</v>
      </c>
      <c r="AI12" s="10" t="s">
        <v>14</v>
      </c>
      <c r="AJ12" s="9" t="s">
        <v>14</v>
      </c>
      <c r="AK12" s="9" t="s">
        <v>14</v>
      </c>
      <c r="AL12" s="9" t="s">
        <v>14</v>
      </c>
      <c r="AM12" s="9" t="s">
        <v>14</v>
      </c>
      <c r="AN12" s="9" t="s">
        <v>14</v>
      </c>
      <c r="AO12" s="10" t="s">
        <v>14</v>
      </c>
      <c r="AP12" s="9" t="s">
        <v>14</v>
      </c>
      <c r="AQ12" s="9" t="s">
        <v>14</v>
      </c>
      <c r="AR12" s="9" t="s">
        <v>14</v>
      </c>
      <c r="AS12" s="9" t="s">
        <v>14</v>
      </c>
      <c r="AT12" s="9" t="s">
        <v>14</v>
      </c>
      <c r="AU12" s="10" t="s">
        <v>14</v>
      </c>
      <c r="AV12" s="9" t="s">
        <v>14</v>
      </c>
      <c r="AW12" s="9" t="s">
        <v>14</v>
      </c>
      <c r="AX12" s="9" t="s">
        <v>14</v>
      </c>
      <c r="AY12" s="9" t="s">
        <v>14</v>
      </c>
      <c r="AZ12" s="9" t="s">
        <v>14</v>
      </c>
      <c r="BA12" s="10" t="s">
        <v>14</v>
      </c>
      <c r="BB12" s="9" t="s">
        <v>14</v>
      </c>
      <c r="BC12" s="9" t="s">
        <v>14</v>
      </c>
      <c r="BD12" s="9" t="s">
        <v>14</v>
      </c>
      <c r="BE12" s="9" t="s">
        <v>14</v>
      </c>
      <c r="BF12" s="9" t="s">
        <v>14</v>
      </c>
      <c r="BG12" s="10" t="s">
        <v>14</v>
      </c>
      <c r="BH12" s="9" t="s">
        <v>14</v>
      </c>
      <c r="BI12" s="9" t="s">
        <v>14</v>
      </c>
      <c r="BJ12" s="9" t="s">
        <v>14</v>
      </c>
      <c r="BK12" s="9" t="s">
        <v>14</v>
      </c>
      <c r="BL12" s="9" t="s">
        <v>14</v>
      </c>
      <c r="BM12" s="10" t="s">
        <v>14</v>
      </c>
      <c r="BN12" s="10" t="s">
        <v>14</v>
      </c>
      <c r="BO12" s="10" t="s">
        <v>14</v>
      </c>
      <c r="BP12" s="10" t="s">
        <v>14</v>
      </c>
      <c r="BQ12" s="10">
        <v>276.27</v>
      </c>
      <c r="BR12" s="10">
        <v>251.56</v>
      </c>
      <c r="BS12" s="10">
        <v>5.4638330000000002</v>
      </c>
      <c r="BT12" s="10">
        <v>240.95</v>
      </c>
      <c r="BU12" s="10">
        <v>237.93</v>
      </c>
      <c r="BV12" s="10">
        <v>4.6479999999999997</v>
      </c>
      <c r="BW12" s="10" t="s">
        <v>14</v>
      </c>
      <c r="BX12" s="10" t="s">
        <v>14</v>
      </c>
      <c r="BY12" s="10" t="s">
        <v>14</v>
      </c>
      <c r="BZ12" s="10" t="s">
        <v>14</v>
      </c>
      <c r="CA12" s="10" t="s">
        <v>14</v>
      </c>
      <c r="CB12" s="10" t="s">
        <v>14</v>
      </c>
      <c r="CC12" s="10" t="s">
        <v>14</v>
      </c>
      <c r="CD12" s="10" t="s">
        <v>14</v>
      </c>
      <c r="CE12" s="10" t="s">
        <v>14</v>
      </c>
      <c r="CF12" s="10" t="s">
        <v>14</v>
      </c>
      <c r="CG12" s="10" t="s">
        <v>14</v>
      </c>
      <c r="CH12" s="10" t="s">
        <v>14</v>
      </c>
      <c r="CI12" s="10" t="s">
        <v>14</v>
      </c>
      <c r="CJ12" s="10" t="s">
        <v>14</v>
      </c>
      <c r="CK12" s="10" t="s">
        <v>14</v>
      </c>
      <c r="CL12" s="10" t="s">
        <v>14</v>
      </c>
      <c r="CM12" s="10" t="s">
        <v>14</v>
      </c>
      <c r="CN12" s="10" t="s">
        <v>14</v>
      </c>
      <c r="CO12" s="10" t="s">
        <v>14</v>
      </c>
      <c r="CP12" s="10" t="s">
        <v>14</v>
      </c>
      <c r="CQ12" s="10" t="s">
        <v>14</v>
      </c>
      <c r="CR12" s="9" t="s">
        <v>14</v>
      </c>
      <c r="CS12" s="9">
        <v>4.3</v>
      </c>
      <c r="CT12" s="9">
        <v>4</v>
      </c>
      <c r="CU12" s="9" t="s">
        <v>14</v>
      </c>
      <c r="CV12" s="9" t="s">
        <v>14</v>
      </c>
      <c r="CW12" s="9" t="s">
        <v>14</v>
      </c>
      <c r="CX12" s="9" t="s">
        <v>14</v>
      </c>
      <c r="CY12" s="9" t="s">
        <v>14</v>
      </c>
      <c r="CZ12" s="9" t="s">
        <v>14</v>
      </c>
      <c r="DA12" s="9" t="s">
        <v>14</v>
      </c>
      <c r="DB12" s="9" t="s">
        <v>14</v>
      </c>
      <c r="DC12" s="9">
        <v>4.4000000000000004</v>
      </c>
      <c r="DD12" s="9">
        <v>4.5999999999999996</v>
      </c>
      <c r="DE12" s="9">
        <v>4.9000000000000004</v>
      </c>
      <c r="DF12" s="9">
        <v>5.3</v>
      </c>
      <c r="DG12" s="9">
        <v>5.5</v>
      </c>
      <c r="DH12" s="9">
        <v>5.7</v>
      </c>
      <c r="DI12" s="22">
        <v>6</v>
      </c>
    </row>
    <row r="13" spans="1:113" ht="14.15" customHeight="1" x14ac:dyDescent="0.25">
      <c r="A13" s="6" t="s">
        <v>0</v>
      </c>
      <c r="B13" s="7">
        <v>3113701</v>
      </c>
      <c r="C13" s="6" t="s">
        <v>32</v>
      </c>
      <c r="D13" s="8" t="str">
        <f>VLOOKUP(B13,Planilha1!$A:$B,2,0)</f>
        <v>Vale do Mucuri</v>
      </c>
      <c r="E13" s="8" t="s">
        <v>20</v>
      </c>
      <c r="F13" s="9">
        <v>77.5</v>
      </c>
      <c r="G13" s="9">
        <v>78</v>
      </c>
      <c r="H13" s="9">
        <v>74.2</v>
      </c>
      <c r="I13" s="9">
        <v>71.400000000000006</v>
      </c>
      <c r="J13" s="9">
        <v>95.7</v>
      </c>
      <c r="K13" s="10">
        <v>0.78813800000000001</v>
      </c>
      <c r="L13" s="9">
        <v>91.4</v>
      </c>
      <c r="M13" s="9">
        <v>87.6</v>
      </c>
      <c r="N13" s="9">
        <v>91.9</v>
      </c>
      <c r="O13" s="9">
        <v>98.3</v>
      </c>
      <c r="P13" s="9">
        <v>87.6</v>
      </c>
      <c r="Q13" s="10">
        <v>0.91146499999999997</v>
      </c>
      <c r="R13" s="9">
        <v>89.9</v>
      </c>
      <c r="S13" s="9">
        <v>80.7</v>
      </c>
      <c r="T13" s="9">
        <v>95.4</v>
      </c>
      <c r="U13" s="9">
        <v>94.4</v>
      </c>
      <c r="V13" s="9">
        <v>92.4</v>
      </c>
      <c r="W13" s="10">
        <v>0.90314899999999998</v>
      </c>
      <c r="X13" s="9">
        <v>95</v>
      </c>
      <c r="Y13" s="9">
        <v>94</v>
      </c>
      <c r="Z13" s="9">
        <v>93</v>
      </c>
      <c r="AA13" s="9">
        <v>97.3</v>
      </c>
      <c r="AB13" s="9">
        <v>96.7</v>
      </c>
      <c r="AC13" s="10">
        <v>0.95216000000000001</v>
      </c>
      <c r="AD13" s="9">
        <v>91.7</v>
      </c>
      <c r="AE13" s="9">
        <v>92.6</v>
      </c>
      <c r="AF13" s="9">
        <v>93.2</v>
      </c>
      <c r="AG13" s="9">
        <v>87.5</v>
      </c>
      <c r="AH13" s="9">
        <v>94.8</v>
      </c>
      <c r="AI13" s="10">
        <v>0.91941700000000004</v>
      </c>
      <c r="AJ13" s="9">
        <v>92.2</v>
      </c>
      <c r="AK13" s="9">
        <v>83.6</v>
      </c>
      <c r="AL13" s="9">
        <v>96</v>
      </c>
      <c r="AM13" s="9">
        <v>95.5</v>
      </c>
      <c r="AN13" s="9">
        <v>96.2</v>
      </c>
      <c r="AO13" s="10">
        <v>0.92497099999999999</v>
      </c>
      <c r="AP13" s="9">
        <v>82.2</v>
      </c>
      <c r="AQ13" s="9">
        <v>81.8</v>
      </c>
      <c r="AR13" s="9">
        <v>83.7</v>
      </c>
      <c r="AS13" s="9">
        <v>75.599999999999994</v>
      </c>
      <c r="AT13" s="9">
        <v>87.8</v>
      </c>
      <c r="AU13" s="10">
        <v>0.81984999999999997</v>
      </c>
      <c r="AV13" s="9">
        <v>84.1</v>
      </c>
      <c r="AW13" s="9">
        <v>73.3</v>
      </c>
      <c r="AX13" s="9">
        <v>85.6</v>
      </c>
      <c r="AY13" s="9">
        <v>87.7</v>
      </c>
      <c r="AZ13" s="9">
        <v>95.9</v>
      </c>
      <c r="BA13" s="10">
        <v>0.84826900000000005</v>
      </c>
      <c r="BB13" s="9">
        <v>93.2</v>
      </c>
      <c r="BC13" s="9">
        <v>90.9</v>
      </c>
      <c r="BD13" s="9">
        <v>91.1</v>
      </c>
      <c r="BE13" s="9">
        <v>94</v>
      </c>
      <c r="BF13" s="9">
        <v>97.5</v>
      </c>
      <c r="BG13" s="10">
        <v>0.93299299999999996</v>
      </c>
      <c r="BH13" s="9">
        <v>90</v>
      </c>
      <c r="BI13" s="9">
        <v>82.7</v>
      </c>
      <c r="BJ13" s="9">
        <v>94</v>
      </c>
      <c r="BK13" s="9">
        <v>91</v>
      </c>
      <c r="BL13" s="9">
        <v>95.1</v>
      </c>
      <c r="BM13" s="10">
        <v>0.90427199999999996</v>
      </c>
      <c r="BN13" s="10">
        <v>238.4</v>
      </c>
      <c r="BO13" s="10">
        <v>221.8</v>
      </c>
      <c r="BP13" s="10">
        <v>4.3368330000000004</v>
      </c>
      <c r="BQ13" s="10">
        <v>242.95</v>
      </c>
      <c r="BR13" s="10">
        <v>247.1</v>
      </c>
      <c r="BS13" s="10">
        <v>4.8341669999999999</v>
      </c>
      <c r="BT13" s="10">
        <v>251.44</v>
      </c>
      <c r="BU13" s="10">
        <v>248.82</v>
      </c>
      <c r="BV13" s="10">
        <v>5.0043329999999999</v>
      </c>
      <c r="BW13" s="10">
        <v>231.91</v>
      </c>
      <c r="BX13" s="10">
        <v>227.24</v>
      </c>
      <c r="BY13" s="10">
        <v>4.3191670000000002</v>
      </c>
      <c r="BZ13" s="10">
        <v>231.17</v>
      </c>
      <c r="CA13" s="10">
        <v>242.62</v>
      </c>
      <c r="CB13" s="10">
        <v>4.563167</v>
      </c>
      <c r="CC13" s="10" t="s">
        <v>155</v>
      </c>
      <c r="CD13" s="10" t="s">
        <v>160</v>
      </c>
      <c r="CE13" s="10">
        <v>4.7316669999999998</v>
      </c>
      <c r="CF13" s="10">
        <v>241.71</v>
      </c>
      <c r="CG13" s="10">
        <v>255.16</v>
      </c>
      <c r="CH13" s="10">
        <v>4.9478330000000001</v>
      </c>
      <c r="CI13" s="10" t="s">
        <v>13</v>
      </c>
      <c r="CJ13" s="10" t="s">
        <v>13</v>
      </c>
      <c r="CK13" s="10" t="s">
        <v>14</v>
      </c>
      <c r="CL13" s="10">
        <v>246.17</v>
      </c>
      <c r="CM13" s="10">
        <v>247.34</v>
      </c>
      <c r="CN13" s="10">
        <v>4.8918330000000001</v>
      </c>
      <c r="CO13" s="10">
        <v>236.82</v>
      </c>
      <c r="CP13" s="10">
        <v>229.8</v>
      </c>
      <c r="CQ13" s="10">
        <v>4.4436669999999996</v>
      </c>
      <c r="CR13" s="9">
        <v>3.4</v>
      </c>
      <c r="CS13" s="9">
        <v>4.4000000000000004</v>
      </c>
      <c r="CT13" s="9">
        <v>4.5</v>
      </c>
      <c r="CU13" s="9">
        <v>4.0999999999999996</v>
      </c>
      <c r="CV13" s="9">
        <v>4.2</v>
      </c>
      <c r="CW13" s="9">
        <v>4.4000000000000004</v>
      </c>
      <c r="CX13" s="9">
        <v>4.0999999999999996</v>
      </c>
      <c r="CY13" s="9" t="s">
        <v>14</v>
      </c>
      <c r="CZ13" s="9">
        <v>4.5999999999999996</v>
      </c>
      <c r="DA13" s="9">
        <v>4</v>
      </c>
      <c r="DB13" s="9">
        <v>3.4</v>
      </c>
      <c r="DC13" s="9">
        <v>3.6</v>
      </c>
      <c r="DD13" s="9">
        <v>3.9</v>
      </c>
      <c r="DE13" s="9">
        <v>4.3</v>
      </c>
      <c r="DF13" s="9">
        <v>4.7</v>
      </c>
      <c r="DG13" s="9">
        <v>4.9000000000000004</v>
      </c>
      <c r="DH13" s="9">
        <v>5.2</v>
      </c>
      <c r="DI13" s="22">
        <v>5.4</v>
      </c>
    </row>
    <row r="14" spans="1:113" ht="14.15" customHeight="1" x14ac:dyDescent="0.25">
      <c r="A14" s="6" t="s">
        <v>0</v>
      </c>
      <c r="B14" s="7">
        <v>3115458</v>
      </c>
      <c r="C14" s="6" t="s">
        <v>33</v>
      </c>
      <c r="D14" s="8" t="str">
        <f>VLOOKUP(B14,Planilha1!$A:$B,2,0)</f>
        <v>Vale do Mucuri</v>
      </c>
      <c r="E14" s="8" t="s">
        <v>20</v>
      </c>
      <c r="F14" s="9" t="s">
        <v>14</v>
      </c>
      <c r="G14" s="9" t="s">
        <v>14</v>
      </c>
      <c r="H14" s="9" t="s">
        <v>14</v>
      </c>
      <c r="I14" s="9" t="s">
        <v>14</v>
      </c>
      <c r="J14" s="9" t="s">
        <v>14</v>
      </c>
      <c r="K14" s="10" t="s">
        <v>14</v>
      </c>
      <c r="L14" s="9" t="s">
        <v>14</v>
      </c>
      <c r="M14" s="9" t="s">
        <v>14</v>
      </c>
      <c r="N14" s="9" t="s">
        <v>14</v>
      </c>
      <c r="O14" s="9" t="s">
        <v>14</v>
      </c>
      <c r="P14" s="9" t="s">
        <v>14</v>
      </c>
      <c r="Q14" s="10" t="s">
        <v>14</v>
      </c>
      <c r="R14" s="9">
        <v>52.9</v>
      </c>
      <c r="S14" s="9">
        <v>48</v>
      </c>
      <c r="T14" s="9">
        <v>33.299999999999997</v>
      </c>
      <c r="U14" s="9">
        <v>66.7</v>
      </c>
      <c r="V14" s="9">
        <v>62.5</v>
      </c>
      <c r="W14" s="10">
        <v>0.48866399999999999</v>
      </c>
      <c r="X14" s="9">
        <v>54.7</v>
      </c>
      <c r="Y14" s="9">
        <v>20</v>
      </c>
      <c r="Z14" s="9">
        <v>28.6</v>
      </c>
      <c r="AA14" s="9">
        <v>71.400000000000006</v>
      </c>
      <c r="AB14" s="9">
        <v>82.6</v>
      </c>
      <c r="AC14" s="10">
        <v>0.36010999999999999</v>
      </c>
      <c r="AD14" s="9" t="s">
        <v>14</v>
      </c>
      <c r="AE14" s="9" t="s">
        <v>14</v>
      </c>
      <c r="AF14" s="9" t="s">
        <v>14</v>
      </c>
      <c r="AG14" s="9" t="s">
        <v>14</v>
      </c>
      <c r="AH14" s="9" t="s">
        <v>14</v>
      </c>
      <c r="AI14" s="10" t="s">
        <v>14</v>
      </c>
      <c r="AJ14" s="9" t="s">
        <v>14</v>
      </c>
      <c r="AK14" s="9" t="s">
        <v>14</v>
      </c>
      <c r="AL14" s="9" t="s">
        <v>14</v>
      </c>
      <c r="AM14" s="9" t="s">
        <v>14</v>
      </c>
      <c r="AN14" s="9" t="s">
        <v>14</v>
      </c>
      <c r="AO14" s="10" t="s">
        <v>14</v>
      </c>
      <c r="AP14" s="9" t="s">
        <v>14</v>
      </c>
      <c r="AQ14" s="9" t="s">
        <v>14</v>
      </c>
      <c r="AR14" s="9" t="s">
        <v>14</v>
      </c>
      <c r="AS14" s="9" t="s">
        <v>14</v>
      </c>
      <c r="AT14" s="9" t="s">
        <v>14</v>
      </c>
      <c r="AU14" s="10" t="s">
        <v>14</v>
      </c>
      <c r="AV14" s="9" t="s">
        <v>14</v>
      </c>
      <c r="AW14" s="9" t="s">
        <v>14</v>
      </c>
      <c r="AX14" s="9" t="s">
        <v>14</v>
      </c>
      <c r="AY14" s="9" t="s">
        <v>14</v>
      </c>
      <c r="AZ14" s="9" t="s">
        <v>14</v>
      </c>
      <c r="BA14" s="10" t="s">
        <v>14</v>
      </c>
      <c r="BB14" s="9" t="s">
        <v>14</v>
      </c>
      <c r="BC14" s="9" t="s">
        <v>14</v>
      </c>
      <c r="BD14" s="9" t="s">
        <v>14</v>
      </c>
      <c r="BE14" s="9" t="s">
        <v>14</v>
      </c>
      <c r="BF14" s="9" t="s">
        <v>14</v>
      </c>
      <c r="BG14" s="10" t="s">
        <v>14</v>
      </c>
      <c r="BH14" s="9" t="s">
        <v>14</v>
      </c>
      <c r="BI14" s="9" t="s">
        <v>14</v>
      </c>
      <c r="BJ14" s="9" t="s">
        <v>14</v>
      </c>
      <c r="BK14" s="9" t="s">
        <v>14</v>
      </c>
      <c r="BL14" s="9" t="s">
        <v>14</v>
      </c>
      <c r="BM14" s="10" t="s">
        <v>14</v>
      </c>
      <c r="BN14" s="10" t="s">
        <v>14</v>
      </c>
      <c r="BO14" s="10" t="s">
        <v>14</v>
      </c>
      <c r="BP14" s="10" t="s">
        <v>14</v>
      </c>
      <c r="BQ14" s="10" t="s">
        <v>14</v>
      </c>
      <c r="BR14" s="10" t="s">
        <v>14</v>
      </c>
      <c r="BS14" s="10" t="s">
        <v>14</v>
      </c>
      <c r="BT14" s="10">
        <v>223.32</v>
      </c>
      <c r="BU14" s="10">
        <v>234.87</v>
      </c>
      <c r="BV14" s="10">
        <v>4.3031670000000002</v>
      </c>
      <c r="BW14" s="10">
        <v>236.65</v>
      </c>
      <c r="BX14" s="10">
        <v>238.7</v>
      </c>
      <c r="BY14" s="10">
        <v>4.5891669999999998</v>
      </c>
      <c r="BZ14" s="10" t="s">
        <v>14</v>
      </c>
      <c r="CA14" s="10" t="s">
        <v>14</v>
      </c>
      <c r="CB14" s="10" t="s">
        <v>14</v>
      </c>
      <c r="CC14" s="10" t="s">
        <v>14</v>
      </c>
      <c r="CD14" s="10" t="s">
        <v>14</v>
      </c>
      <c r="CE14" s="10" t="s">
        <v>14</v>
      </c>
      <c r="CF14" s="10" t="s">
        <v>14</v>
      </c>
      <c r="CG14" s="10" t="s">
        <v>14</v>
      </c>
      <c r="CH14" s="10" t="s">
        <v>14</v>
      </c>
      <c r="CI14" s="10" t="s">
        <v>14</v>
      </c>
      <c r="CJ14" s="10" t="s">
        <v>14</v>
      </c>
      <c r="CK14" s="10" t="s">
        <v>14</v>
      </c>
      <c r="CL14" s="10" t="s">
        <v>14</v>
      </c>
      <c r="CM14" s="10" t="s">
        <v>14</v>
      </c>
      <c r="CN14" s="10" t="s">
        <v>14</v>
      </c>
      <c r="CO14" s="10" t="s">
        <v>14</v>
      </c>
      <c r="CP14" s="10" t="s">
        <v>14</v>
      </c>
      <c r="CQ14" s="10" t="s">
        <v>14</v>
      </c>
      <c r="CR14" s="9" t="s">
        <v>14</v>
      </c>
      <c r="CS14" s="9" t="s">
        <v>14</v>
      </c>
      <c r="CT14" s="9">
        <v>2.1</v>
      </c>
      <c r="CU14" s="9">
        <v>1.7</v>
      </c>
      <c r="CV14" s="9" t="s">
        <v>14</v>
      </c>
      <c r="CW14" s="9" t="s">
        <v>14</v>
      </c>
      <c r="CX14" s="9" t="s">
        <v>14</v>
      </c>
      <c r="CY14" s="9" t="s">
        <v>14</v>
      </c>
      <c r="CZ14" s="9" t="s">
        <v>14</v>
      </c>
      <c r="DA14" s="9" t="s">
        <v>14</v>
      </c>
      <c r="DB14" s="9" t="s">
        <v>14</v>
      </c>
      <c r="DC14" s="9" t="s">
        <v>14</v>
      </c>
      <c r="DD14" s="9">
        <v>2.7</v>
      </c>
      <c r="DE14" s="9">
        <v>3.1</v>
      </c>
      <c r="DF14" s="9">
        <v>3.5</v>
      </c>
      <c r="DG14" s="9">
        <v>3.8</v>
      </c>
      <c r="DH14" s="9">
        <v>4.0999999999999996</v>
      </c>
      <c r="DI14" s="22">
        <v>4.3</v>
      </c>
    </row>
    <row r="15" spans="1:113" ht="14.15" customHeight="1" x14ac:dyDescent="0.25">
      <c r="A15" s="6" t="s">
        <v>0</v>
      </c>
      <c r="B15" s="7">
        <v>3120151</v>
      </c>
      <c r="C15" s="6" t="s">
        <v>34</v>
      </c>
      <c r="D15" s="8" t="str">
        <f>VLOOKUP(B15,Planilha1!$A:$B,2,0)</f>
        <v>Vale do Mucuri</v>
      </c>
      <c r="E15" s="8" t="s">
        <v>20</v>
      </c>
      <c r="F15" s="9">
        <v>76.599999999999994</v>
      </c>
      <c r="G15" s="9">
        <v>68.900000000000006</v>
      </c>
      <c r="H15" s="9">
        <v>79.2</v>
      </c>
      <c r="I15" s="9">
        <v>76.2</v>
      </c>
      <c r="J15" s="9">
        <v>86.8</v>
      </c>
      <c r="K15" s="10">
        <v>0.77243700000000004</v>
      </c>
      <c r="L15" s="9">
        <v>86.4</v>
      </c>
      <c r="M15" s="9">
        <v>74.7</v>
      </c>
      <c r="N15" s="9">
        <v>88.9</v>
      </c>
      <c r="O15" s="9">
        <v>93.2</v>
      </c>
      <c r="P15" s="9">
        <v>93.3</v>
      </c>
      <c r="Q15" s="10">
        <v>0.86799499999999996</v>
      </c>
      <c r="R15" s="9">
        <v>74.2</v>
      </c>
      <c r="S15" s="9">
        <v>51.5</v>
      </c>
      <c r="T15" s="9">
        <v>87.5</v>
      </c>
      <c r="U15" s="9">
        <v>83.6</v>
      </c>
      <c r="V15" s="9">
        <v>79.7</v>
      </c>
      <c r="W15" s="10">
        <v>0.722611</v>
      </c>
      <c r="X15" s="9">
        <v>81.5</v>
      </c>
      <c r="Y15" s="9">
        <v>70.400000000000006</v>
      </c>
      <c r="Z15" s="9">
        <v>74</v>
      </c>
      <c r="AA15" s="9">
        <v>97.7</v>
      </c>
      <c r="AB15" s="9">
        <v>91.8</v>
      </c>
      <c r="AC15" s="10">
        <v>0.81888799999999995</v>
      </c>
      <c r="AD15" s="9">
        <v>88.3</v>
      </c>
      <c r="AE15" s="9">
        <v>79.2</v>
      </c>
      <c r="AF15" s="9">
        <v>92.7</v>
      </c>
      <c r="AG15" s="9">
        <v>93.7</v>
      </c>
      <c r="AH15" s="9">
        <v>91.8</v>
      </c>
      <c r="AI15" s="10">
        <v>0.889297</v>
      </c>
      <c r="AJ15" s="9">
        <v>87.9</v>
      </c>
      <c r="AK15" s="9">
        <v>77.2</v>
      </c>
      <c r="AL15" s="9">
        <v>80</v>
      </c>
      <c r="AM15" s="9">
        <v>97.4</v>
      </c>
      <c r="AN15" s="9">
        <v>95.9</v>
      </c>
      <c r="AO15" s="10">
        <v>0.86677999999999999</v>
      </c>
      <c r="AP15" s="9">
        <v>95.3</v>
      </c>
      <c r="AQ15" s="9">
        <v>100</v>
      </c>
      <c r="AR15" s="9">
        <v>94.7</v>
      </c>
      <c r="AS15" s="9">
        <v>100</v>
      </c>
      <c r="AT15" s="9">
        <v>88.9</v>
      </c>
      <c r="AU15" s="10">
        <v>0.95674899999999996</v>
      </c>
      <c r="AV15" s="9">
        <v>80</v>
      </c>
      <c r="AW15" s="9">
        <v>70</v>
      </c>
      <c r="AX15" s="9">
        <v>76.900000000000006</v>
      </c>
      <c r="AY15" s="9">
        <v>91.7</v>
      </c>
      <c r="AZ15" s="9">
        <v>83.8</v>
      </c>
      <c r="BA15" s="10">
        <v>0.79795899999999997</v>
      </c>
      <c r="BB15" s="9">
        <v>94.6</v>
      </c>
      <c r="BC15" s="9">
        <v>100</v>
      </c>
      <c r="BD15" s="9">
        <v>93.9</v>
      </c>
      <c r="BE15" s="9">
        <v>89.3</v>
      </c>
      <c r="BF15" s="9">
        <v>93.9</v>
      </c>
      <c r="BG15" s="10">
        <v>0.94123299999999999</v>
      </c>
      <c r="BH15" s="9">
        <v>95.8</v>
      </c>
      <c r="BI15" s="9">
        <v>94.6</v>
      </c>
      <c r="BJ15" s="9">
        <v>93.8</v>
      </c>
      <c r="BK15" s="9">
        <v>97.1</v>
      </c>
      <c r="BL15" s="9">
        <v>96.9</v>
      </c>
      <c r="BM15" s="10">
        <v>0.95578600000000002</v>
      </c>
      <c r="BN15" s="10">
        <v>215.2</v>
      </c>
      <c r="BO15" s="10">
        <v>200.3</v>
      </c>
      <c r="BP15" s="10">
        <v>3.592333</v>
      </c>
      <c r="BQ15" s="10">
        <v>215.71</v>
      </c>
      <c r="BR15" s="10">
        <v>208.74</v>
      </c>
      <c r="BS15" s="10">
        <v>3.7408329999999999</v>
      </c>
      <c r="BT15" s="10">
        <v>230.86</v>
      </c>
      <c r="BU15" s="10">
        <v>229.6</v>
      </c>
      <c r="BV15" s="10">
        <v>4.3410000000000002</v>
      </c>
      <c r="BW15" s="10">
        <v>231.16</v>
      </c>
      <c r="BX15" s="10">
        <v>227.63</v>
      </c>
      <c r="BY15" s="10">
        <v>4.313167</v>
      </c>
      <c r="BZ15" s="10">
        <v>234.52</v>
      </c>
      <c r="CA15" s="10">
        <v>235.5</v>
      </c>
      <c r="CB15" s="10">
        <v>4.5003330000000004</v>
      </c>
      <c r="CC15" s="10" t="s">
        <v>157</v>
      </c>
      <c r="CD15" s="10" t="s">
        <v>158</v>
      </c>
      <c r="CE15" s="10">
        <v>4.6021669999999997</v>
      </c>
      <c r="CF15" s="10">
        <v>228.82</v>
      </c>
      <c r="CG15" s="10">
        <v>240.07</v>
      </c>
      <c r="CH15" s="10">
        <v>4.4814999999999996</v>
      </c>
      <c r="CI15" s="10">
        <v>232.96</v>
      </c>
      <c r="CJ15" s="10">
        <v>226.05</v>
      </c>
      <c r="CK15" s="10">
        <v>4.3168329999999999</v>
      </c>
      <c r="CL15" s="10">
        <v>226.56</v>
      </c>
      <c r="CM15" s="10">
        <v>229.62</v>
      </c>
      <c r="CN15" s="10">
        <v>4.2696670000000001</v>
      </c>
      <c r="CO15" s="10">
        <v>221.47</v>
      </c>
      <c r="CP15" s="10">
        <v>230.89</v>
      </c>
      <c r="CQ15" s="10">
        <v>4.2060000000000004</v>
      </c>
      <c r="CR15" s="9">
        <v>2.8</v>
      </c>
      <c r="CS15" s="9">
        <v>3.2</v>
      </c>
      <c r="CT15" s="9">
        <v>3.1</v>
      </c>
      <c r="CU15" s="9">
        <v>3.5</v>
      </c>
      <c r="CV15" s="9">
        <v>4</v>
      </c>
      <c r="CW15" s="9">
        <v>4</v>
      </c>
      <c r="CX15" s="9">
        <v>4.3</v>
      </c>
      <c r="CY15" s="9">
        <v>3.4</v>
      </c>
      <c r="CZ15" s="9">
        <v>4</v>
      </c>
      <c r="DA15" s="9">
        <v>4</v>
      </c>
      <c r="DB15" s="9">
        <v>2.8</v>
      </c>
      <c r="DC15" s="9">
        <v>2.9</v>
      </c>
      <c r="DD15" s="9">
        <v>3.2</v>
      </c>
      <c r="DE15" s="9">
        <v>3.6</v>
      </c>
      <c r="DF15" s="9">
        <v>4</v>
      </c>
      <c r="DG15" s="9">
        <v>4.3</v>
      </c>
      <c r="DH15" s="9">
        <v>4.5</v>
      </c>
      <c r="DI15" s="22">
        <v>4.8</v>
      </c>
    </row>
    <row r="16" spans="1:113" ht="14.15" customHeight="1" x14ac:dyDescent="0.25">
      <c r="A16" s="6" t="s">
        <v>0</v>
      </c>
      <c r="B16" s="7">
        <v>3126752</v>
      </c>
      <c r="C16" s="6" t="s">
        <v>35</v>
      </c>
      <c r="D16" s="8" t="str">
        <f>VLOOKUP(B16,Planilha1!$A:$B,2,0)</f>
        <v>Vale do Mucuri</v>
      </c>
      <c r="E16" s="8" t="s">
        <v>20</v>
      </c>
      <c r="F16" s="9">
        <v>44.7</v>
      </c>
      <c r="G16" s="9">
        <v>37.5</v>
      </c>
      <c r="H16" s="9">
        <v>26.9</v>
      </c>
      <c r="I16" s="9">
        <v>58.6</v>
      </c>
      <c r="J16" s="9">
        <v>50</v>
      </c>
      <c r="K16" s="10">
        <v>0.39640799999999998</v>
      </c>
      <c r="L16" s="9">
        <v>47.1</v>
      </c>
      <c r="M16" s="9">
        <v>45.5</v>
      </c>
      <c r="N16" s="9">
        <v>46.2</v>
      </c>
      <c r="O16" s="9">
        <v>20</v>
      </c>
      <c r="P16" s="9">
        <v>63.2</v>
      </c>
      <c r="Q16" s="10">
        <v>0.36547800000000003</v>
      </c>
      <c r="R16" s="9">
        <v>76.900000000000006</v>
      </c>
      <c r="S16" s="9">
        <v>70</v>
      </c>
      <c r="T16" s="9" t="s">
        <v>14</v>
      </c>
      <c r="U16" s="9">
        <v>72.7</v>
      </c>
      <c r="V16" s="9">
        <v>100</v>
      </c>
      <c r="W16" s="10">
        <v>0.78862500000000002</v>
      </c>
      <c r="X16" s="9" t="s">
        <v>14</v>
      </c>
      <c r="Y16" s="9" t="s">
        <v>14</v>
      </c>
      <c r="Z16" s="9" t="s">
        <v>14</v>
      </c>
      <c r="AA16" s="9" t="s">
        <v>14</v>
      </c>
      <c r="AB16" s="9" t="s">
        <v>14</v>
      </c>
      <c r="AC16" s="10" t="s">
        <v>14</v>
      </c>
      <c r="AD16" s="9" t="s">
        <v>14</v>
      </c>
      <c r="AE16" s="9" t="s">
        <v>14</v>
      </c>
      <c r="AF16" s="9" t="s">
        <v>14</v>
      </c>
      <c r="AG16" s="9" t="s">
        <v>14</v>
      </c>
      <c r="AH16" s="9" t="s">
        <v>14</v>
      </c>
      <c r="AI16" s="10" t="s">
        <v>14</v>
      </c>
      <c r="AJ16" s="9" t="s">
        <v>14</v>
      </c>
      <c r="AK16" s="9" t="s">
        <v>14</v>
      </c>
      <c r="AL16" s="9" t="s">
        <v>14</v>
      </c>
      <c r="AM16" s="9" t="s">
        <v>14</v>
      </c>
      <c r="AN16" s="9" t="s">
        <v>14</v>
      </c>
      <c r="AO16" s="10" t="s">
        <v>14</v>
      </c>
      <c r="AP16" s="9" t="s">
        <v>14</v>
      </c>
      <c r="AQ16" s="9" t="s">
        <v>14</v>
      </c>
      <c r="AR16" s="9" t="s">
        <v>14</v>
      </c>
      <c r="AS16" s="9" t="s">
        <v>14</v>
      </c>
      <c r="AT16" s="9" t="s">
        <v>14</v>
      </c>
      <c r="AU16" s="10" t="s">
        <v>14</v>
      </c>
      <c r="AV16" s="9" t="s">
        <v>14</v>
      </c>
      <c r="AW16" s="9" t="s">
        <v>14</v>
      </c>
      <c r="AX16" s="9" t="s">
        <v>14</v>
      </c>
      <c r="AY16" s="9" t="s">
        <v>14</v>
      </c>
      <c r="AZ16" s="9" t="s">
        <v>14</v>
      </c>
      <c r="BA16" s="10" t="s">
        <v>14</v>
      </c>
      <c r="BB16" s="9" t="s">
        <v>14</v>
      </c>
      <c r="BC16" s="9" t="s">
        <v>14</v>
      </c>
      <c r="BD16" s="9" t="s">
        <v>14</v>
      </c>
      <c r="BE16" s="9" t="s">
        <v>14</v>
      </c>
      <c r="BF16" s="9" t="s">
        <v>14</v>
      </c>
      <c r="BG16" s="10" t="s">
        <v>14</v>
      </c>
      <c r="BH16" s="9" t="s">
        <v>14</v>
      </c>
      <c r="BI16" s="9" t="s">
        <v>14</v>
      </c>
      <c r="BJ16" s="9" t="s">
        <v>14</v>
      </c>
      <c r="BK16" s="9" t="s">
        <v>14</v>
      </c>
      <c r="BL16" s="9" t="s">
        <v>14</v>
      </c>
      <c r="BM16" s="10" t="s">
        <v>14</v>
      </c>
      <c r="BN16" s="10">
        <v>218.6</v>
      </c>
      <c r="BO16" s="10">
        <v>193.7</v>
      </c>
      <c r="BP16" s="10">
        <v>3.5390000000000001</v>
      </c>
      <c r="BQ16" s="10">
        <v>251.32</v>
      </c>
      <c r="BR16" s="10">
        <v>242.04</v>
      </c>
      <c r="BS16" s="10">
        <v>4.8893329999999997</v>
      </c>
      <c r="BT16" s="10" t="s">
        <v>14</v>
      </c>
      <c r="BU16" s="10" t="s">
        <v>14</v>
      </c>
      <c r="BV16" s="10" t="s">
        <v>14</v>
      </c>
      <c r="BW16" s="10" t="s">
        <v>14</v>
      </c>
      <c r="BX16" s="10" t="s">
        <v>14</v>
      </c>
      <c r="BY16" s="10" t="s">
        <v>14</v>
      </c>
      <c r="BZ16" s="10" t="s">
        <v>14</v>
      </c>
      <c r="CA16" s="10" t="s">
        <v>14</v>
      </c>
      <c r="CB16" s="10" t="s">
        <v>14</v>
      </c>
      <c r="CC16" s="10" t="s">
        <v>14</v>
      </c>
      <c r="CD16" s="10" t="s">
        <v>14</v>
      </c>
      <c r="CE16" s="10" t="s">
        <v>14</v>
      </c>
      <c r="CF16" s="10" t="s">
        <v>14</v>
      </c>
      <c r="CG16" s="10" t="s">
        <v>14</v>
      </c>
      <c r="CH16" s="10" t="s">
        <v>14</v>
      </c>
      <c r="CI16" s="10" t="s">
        <v>14</v>
      </c>
      <c r="CJ16" s="10" t="s">
        <v>14</v>
      </c>
      <c r="CK16" s="10" t="s">
        <v>14</v>
      </c>
      <c r="CL16" s="10" t="s">
        <v>14</v>
      </c>
      <c r="CM16" s="10" t="s">
        <v>14</v>
      </c>
      <c r="CN16" s="10" t="s">
        <v>14</v>
      </c>
      <c r="CO16" s="10" t="s">
        <v>14</v>
      </c>
      <c r="CP16" s="10" t="s">
        <v>14</v>
      </c>
      <c r="CQ16" s="10" t="s">
        <v>14</v>
      </c>
      <c r="CR16" s="9">
        <v>1.4</v>
      </c>
      <c r="CS16" s="9">
        <v>1.8</v>
      </c>
      <c r="CT16" s="9" t="s">
        <v>14</v>
      </c>
      <c r="CU16" s="9" t="s">
        <v>14</v>
      </c>
      <c r="CV16" s="9" t="s">
        <v>14</v>
      </c>
      <c r="CW16" s="9" t="s">
        <v>14</v>
      </c>
      <c r="CX16" s="9" t="s">
        <v>14</v>
      </c>
      <c r="CY16" s="9" t="s">
        <v>14</v>
      </c>
      <c r="CZ16" s="9" t="s">
        <v>14</v>
      </c>
      <c r="DA16" s="9" t="s">
        <v>14</v>
      </c>
      <c r="DB16" s="9">
        <v>1.5</v>
      </c>
      <c r="DC16" s="9">
        <v>1.9</v>
      </c>
      <c r="DD16" s="9">
        <v>2.4</v>
      </c>
      <c r="DE16" s="9">
        <v>3</v>
      </c>
      <c r="DF16" s="9">
        <v>3.5</v>
      </c>
      <c r="DG16" s="9">
        <v>3.7</v>
      </c>
      <c r="DH16" s="9">
        <v>4</v>
      </c>
      <c r="DI16" s="22">
        <v>4.3</v>
      </c>
    </row>
    <row r="17" spans="1:113" ht="14.15" hidden="1" customHeight="1" x14ac:dyDescent="0.25">
      <c r="A17" s="6" t="s">
        <v>0</v>
      </c>
      <c r="B17" s="7">
        <v>3126802</v>
      </c>
      <c r="C17" s="6" t="s">
        <v>36</v>
      </c>
      <c r="D17" s="8" t="str">
        <f>VLOOKUP(B17,Planilha1!$A:$B,2,0)</f>
        <v>Vale do Mucuri</v>
      </c>
      <c r="E17" s="8" t="s">
        <v>20</v>
      </c>
      <c r="F17" s="9" t="s">
        <v>14</v>
      </c>
      <c r="G17" s="9" t="s">
        <v>14</v>
      </c>
      <c r="H17" s="9" t="s">
        <v>14</v>
      </c>
      <c r="I17" s="9" t="s">
        <v>14</v>
      </c>
      <c r="J17" s="9" t="s">
        <v>14</v>
      </c>
      <c r="K17" s="10" t="s">
        <v>14</v>
      </c>
      <c r="L17" s="9" t="s">
        <v>14</v>
      </c>
      <c r="M17" s="9" t="s">
        <v>14</v>
      </c>
      <c r="N17" s="9" t="s">
        <v>14</v>
      </c>
      <c r="O17" s="9" t="s">
        <v>14</v>
      </c>
      <c r="P17" s="9" t="s">
        <v>14</v>
      </c>
      <c r="Q17" s="10" t="s">
        <v>14</v>
      </c>
      <c r="R17" s="9" t="s">
        <v>14</v>
      </c>
      <c r="S17" s="9" t="s">
        <v>14</v>
      </c>
      <c r="T17" s="9" t="s">
        <v>14</v>
      </c>
      <c r="U17" s="9" t="s">
        <v>14</v>
      </c>
      <c r="V17" s="9" t="s">
        <v>14</v>
      </c>
      <c r="W17" s="10" t="s">
        <v>14</v>
      </c>
      <c r="X17" s="9" t="s">
        <v>14</v>
      </c>
      <c r="Y17" s="9" t="s">
        <v>14</v>
      </c>
      <c r="Z17" s="9" t="s">
        <v>14</v>
      </c>
      <c r="AA17" s="9" t="s">
        <v>14</v>
      </c>
      <c r="AB17" s="9" t="s">
        <v>14</v>
      </c>
      <c r="AC17" s="10" t="s">
        <v>14</v>
      </c>
      <c r="AD17" s="9" t="s">
        <v>14</v>
      </c>
      <c r="AE17" s="9" t="s">
        <v>14</v>
      </c>
      <c r="AF17" s="9" t="s">
        <v>14</v>
      </c>
      <c r="AG17" s="9" t="s">
        <v>14</v>
      </c>
      <c r="AH17" s="9" t="s">
        <v>14</v>
      </c>
      <c r="AI17" s="10" t="s">
        <v>14</v>
      </c>
      <c r="AJ17" s="9" t="s">
        <v>14</v>
      </c>
      <c r="AK17" s="9" t="s">
        <v>14</v>
      </c>
      <c r="AL17" s="9" t="s">
        <v>14</v>
      </c>
      <c r="AM17" s="9" t="s">
        <v>14</v>
      </c>
      <c r="AN17" s="9" t="s">
        <v>14</v>
      </c>
      <c r="AO17" s="10" t="s">
        <v>14</v>
      </c>
      <c r="AP17" s="9">
        <v>81.2</v>
      </c>
      <c r="AQ17" s="9">
        <v>69.2</v>
      </c>
      <c r="AR17" s="9">
        <v>78.599999999999994</v>
      </c>
      <c r="AS17" s="9">
        <v>85.1</v>
      </c>
      <c r="AT17" s="9">
        <v>100</v>
      </c>
      <c r="AU17" s="10">
        <v>0.81758799999999998</v>
      </c>
      <c r="AV17" s="9" t="s">
        <v>14</v>
      </c>
      <c r="AW17" s="9" t="s">
        <v>14</v>
      </c>
      <c r="AX17" s="9" t="s">
        <v>14</v>
      </c>
      <c r="AY17" s="9" t="s">
        <v>14</v>
      </c>
      <c r="AZ17" s="9" t="s">
        <v>14</v>
      </c>
      <c r="BA17" s="10" t="s">
        <v>14</v>
      </c>
      <c r="BB17" s="9" t="s">
        <v>14</v>
      </c>
      <c r="BC17" s="9" t="s">
        <v>14</v>
      </c>
      <c r="BD17" s="9" t="s">
        <v>14</v>
      </c>
      <c r="BE17" s="9" t="s">
        <v>14</v>
      </c>
      <c r="BF17" s="9" t="s">
        <v>14</v>
      </c>
      <c r="BG17" s="10" t="s">
        <v>14</v>
      </c>
      <c r="BH17" s="9" t="s">
        <v>14</v>
      </c>
      <c r="BI17" s="9" t="s">
        <v>14</v>
      </c>
      <c r="BJ17" s="9" t="s">
        <v>14</v>
      </c>
      <c r="BK17" s="9" t="s">
        <v>14</v>
      </c>
      <c r="BL17" s="9" t="s">
        <v>14</v>
      </c>
      <c r="BM17" s="10" t="s">
        <v>14</v>
      </c>
      <c r="BN17" s="10" t="s">
        <v>14</v>
      </c>
      <c r="BO17" s="10" t="s">
        <v>14</v>
      </c>
      <c r="BP17" s="10" t="s">
        <v>14</v>
      </c>
      <c r="BQ17" s="10" t="s">
        <v>14</v>
      </c>
      <c r="BR17" s="10" t="s">
        <v>14</v>
      </c>
      <c r="BS17" s="10" t="s">
        <v>14</v>
      </c>
      <c r="BT17" s="10" t="s">
        <v>14</v>
      </c>
      <c r="BU17" s="10" t="s">
        <v>14</v>
      </c>
      <c r="BV17" s="10" t="s">
        <v>14</v>
      </c>
      <c r="BW17" s="10" t="s">
        <v>14</v>
      </c>
      <c r="BX17" s="10" t="s">
        <v>14</v>
      </c>
      <c r="BY17" s="10" t="s">
        <v>14</v>
      </c>
      <c r="BZ17" s="10" t="s">
        <v>14</v>
      </c>
      <c r="CA17" s="10" t="s">
        <v>14</v>
      </c>
      <c r="CB17" s="10" t="s">
        <v>14</v>
      </c>
      <c r="CC17" s="10" t="s">
        <v>14</v>
      </c>
      <c r="CD17" s="10" t="s">
        <v>14</v>
      </c>
      <c r="CE17" s="10" t="s">
        <v>14</v>
      </c>
      <c r="CF17" s="10" t="s">
        <v>14</v>
      </c>
      <c r="CG17" s="10" t="s">
        <v>14</v>
      </c>
      <c r="CH17" s="10" t="s">
        <v>14</v>
      </c>
      <c r="CI17" s="10" t="s">
        <v>14</v>
      </c>
      <c r="CJ17" s="10" t="s">
        <v>14</v>
      </c>
      <c r="CK17" s="10" t="s">
        <v>14</v>
      </c>
      <c r="CL17" s="10" t="s">
        <v>14</v>
      </c>
      <c r="CM17" s="10" t="s">
        <v>14</v>
      </c>
      <c r="CN17" s="10" t="s">
        <v>14</v>
      </c>
      <c r="CO17" s="10" t="s">
        <v>14</v>
      </c>
      <c r="CP17" s="10" t="s">
        <v>14</v>
      </c>
      <c r="CQ17" s="10" t="s">
        <v>14</v>
      </c>
      <c r="CR17" s="9" t="s">
        <v>14</v>
      </c>
      <c r="CS17" s="9" t="s">
        <v>14</v>
      </c>
      <c r="CT17" s="9" t="s">
        <v>14</v>
      </c>
      <c r="CU17" s="9" t="s">
        <v>14</v>
      </c>
      <c r="CV17" s="9" t="s">
        <v>14</v>
      </c>
      <c r="CW17" s="9" t="s">
        <v>14</v>
      </c>
      <c r="CX17" s="9" t="s">
        <v>14</v>
      </c>
      <c r="CY17" s="9" t="s">
        <v>14</v>
      </c>
      <c r="CZ17" s="9" t="s">
        <v>14</v>
      </c>
      <c r="DA17" s="9" t="s">
        <v>14</v>
      </c>
      <c r="DB17" s="9" t="s">
        <v>14</v>
      </c>
      <c r="DC17" s="9" t="s">
        <v>14</v>
      </c>
      <c r="DD17" s="9" t="s">
        <v>14</v>
      </c>
      <c r="DE17" s="9" t="s">
        <v>14</v>
      </c>
      <c r="DF17" s="9" t="s">
        <v>14</v>
      </c>
      <c r="DG17" s="9" t="s">
        <v>14</v>
      </c>
      <c r="DH17" s="9" t="s">
        <v>14</v>
      </c>
      <c r="DI17" s="22" t="s">
        <v>14</v>
      </c>
    </row>
    <row r="18" spans="1:113" ht="14.15" hidden="1" customHeight="1" x14ac:dyDescent="0.25">
      <c r="A18" s="6" t="s">
        <v>0</v>
      </c>
      <c r="B18" s="7">
        <v>3127057</v>
      </c>
      <c r="C18" s="6" t="s">
        <v>37</v>
      </c>
      <c r="D18" s="8" t="str">
        <f>VLOOKUP(B18,Planilha1!$A:$B,2,0)</f>
        <v>Vale do Mucuri</v>
      </c>
      <c r="E18" s="8" t="s">
        <v>20</v>
      </c>
      <c r="F18" s="9" t="s">
        <v>14</v>
      </c>
      <c r="G18" s="9" t="s">
        <v>14</v>
      </c>
      <c r="H18" s="9" t="s">
        <v>14</v>
      </c>
      <c r="I18" s="9" t="s">
        <v>14</v>
      </c>
      <c r="J18" s="9" t="s">
        <v>14</v>
      </c>
      <c r="K18" s="10" t="s">
        <v>14</v>
      </c>
      <c r="L18" s="9" t="s">
        <v>14</v>
      </c>
      <c r="M18" s="9" t="s">
        <v>14</v>
      </c>
      <c r="N18" s="9" t="s">
        <v>14</v>
      </c>
      <c r="O18" s="9" t="s">
        <v>14</v>
      </c>
      <c r="P18" s="9" t="s">
        <v>14</v>
      </c>
      <c r="Q18" s="10" t="s">
        <v>14</v>
      </c>
      <c r="R18" s="9" t="s">
        <v>14</v>
      </c>
      <c r="S18" s="9" t="s">
        <v>14</v>
      </c>
      <c r="T18" s="9" t="s">
        <v>14</v>
      </c>
      <c r="U18" s="9" t="s">
        <v>14</v>
      </c>
      <c r="V18" s="9" t="s">
        <v>14</v>
      </c>
      <c r="W18" s="10" t="s">
        <v>14</v>
      </c>
      <c r="X18" s="9" t="s">
        <v>14</v>
      </c>
      <c r="Y18" s="9" t="s">
        <v>14</v>
      </c>
      <c r="Z18" s="9" t="s">
        <v>14</v>
      </c>
      <c r="AA18" s="9" t="s">
        <v>14</v>
      </c>
      <c r="AB18" s="9" t="s">
        <v>14</v>
      </c>
      <c r="AC18" s="10" t="s">
        <v>14</v>
      </c>
      <c r="AD18" s="9" t="s">
        <v>14</v>
      </c>
      <c r="AE18" s="9" t="s">
        <v>14</v>
      </c>
      <c r="AF18" s="9" t="s">
        <v>14</v>
      </c>
      <c r="AG18" s="9" t="s">
        <v>14</v>
      </c>
      <c r="AH18" s="9" t="s">
        <v>14</v>
      </c>
      <c r="AI18" s="10" t="s">
        <v>14</v>
      </c>
      <c r="AJ18" s="9" t="s">
        <v>14</v>
      </c>
      <c r="AK18" s="9" t="s">
        <v>14</v>
      </c>
      <c r="AL18" s="9" t="s">
        <v>14</v>
      </c>
      <c r="AM18" s="9" t="s">
        <v>14</v>
      </c>
      <c r="AN18" s="9" t="s">
        <v>14</v>
      </c>
      <c r="AO18" s="10" t="s">
        <v>14</v>
      </c>
      <c r="AP18" s="9">
        <v>94.7</v>
      </c>
      <c r="AQ18" s="9">
        <v>96.2</v>
      </c>
      <c r="AR18" s="9">
        <v>88.9</v>
      </c>
      <c r="AS18" s="9">
        <v>100</v>
      </c>
      <c r="AT18" s="9">
        <v>94.1</v>
      </c>
      <c r="AU18" s="10">
        <v>0.94628400000000001</v>
      </c>
      <c r="AV18" s="9" t="s">
        <v>14</v>
      </c>
      <c r="AW18" s="9" t="s">
        <v>14</v>
      </c>
      <c r="AX18" s="9" t="s">
        <v>14</v>
      </c>
      <c r="AY18" s="9" t="s">
        <v>14</v>
      </c>
      <c r="AZ18" s="9" t="s">
        <v>14</v>
      </c>
      <c r="BA18" s="10" t="s">
        <v>14</v>
      </c>
      <c r="BB18" s="9" t="s">
        <v>14</v>
      </c>
      <c r="BC18" s="9" t="s">
        <v>14</v>
      </c>
      <c r="BD18" s="9" t="s">
        <v>14</v>
      </c>
      <c r="BE18" s="9" t="s">
        <v>14</v>
      </c>
      <c r="BF18" s="9" t="s">
        <v>14</v>
      </c>
      <c r="BG18" s="10" t="s">
        <v>14</v>
      </c>
      <c r="BH18" s="9" t="s">
        <v>14</v>
      </c>
      <c r="BI18" s="9" t="s">
        <v>14</v>
      </c>
      <c r="BJ18" s="9" t="s">
        <v>14</v>
      </c>
      <c r="BK18" s="9" t="s">
        <v>14</v>
      </c>
      <c r="BL18" s="9" t="s">
        <v>14</v>
      </c>
      <c r="BM18" s="10" t="s">
        <v>14</v>
      </c>
      <c r="BN18" s="10" t="s">
        <v>14</v>
      </c>
      <c r="BO18" s="10" t="s">
        <v>14</v>
      </c>
      <c r="BP18" s="10" t="s">
        <v>14</v>
      </c>
      <c r="BQ18" s="10" t="s">
        <v>14</v>
      </c>
      <c r="BR18" s="10" t="s">
        <v>14</v>
      </c>
      <c r="BS18" s="10" t="s">
        <v>14</v>
      </c>
      <c r="BT18" s="10" t="s">
        <v>14</v>
      </c>
      <c r="BU18" s="10" t="s">
        <v>14</v>
      </c>
      <c r="BV18" s="10" t="s">
        <v>14</v>
      </c>
      <c r="BW18" s="10" t="s">
        <v>14</v>
      </c>
      <c r="BX18" s="10" t="s">
        <v>14</v>
      </c>
      <c r="BY18" s="10" t="s">
        <v>14</v>
      </c>
      <c r="BZ18" s="10" t="s">
        <v>14</v>
      </c>
      <c r="CA18" s="10" t="s">
        <v>14</v>
      </c>
      <c r="CB18" s="10" t="s">
        <v>14</v>
      </c>
      <c r="CC18" s="10" t="s">
        <v>14</v>
      </c>
      <c r="CD18" s="10" t="s">
        <v>14</v>
      </c>
      <c r="CE18" s="10" t="s">
        <v>14</v>
      </c>
      <c r="CF18" s="10" t="s">
        <v>14</v>
      </c>
      <c r="CG18" s="10" t="s">
        <v>14</v>
      </c>
      <c r="CH18" s="10" t="s">
        <v>14</v>
      </c>
      <c r="CI18" s="10" t="s">
        <v>14</v>
      </c>
      <c r="CJ18" s="10" t="s">
        <v>14</v>
      </c>
      <c r="CK18" s="10" t="s">
        <v>14</v>
      </c>
      <c r="CL18" s="10" t="s">
        <v>14</v>
      </c>
      <c r="CM18" s="10" t="s">
        <v>14</v>
      </c>
      <c r="CN18" s="10" t="s">
        <v>14</v>
      </c>
      <c r="CO18" s="10" t="s">
        <v>14</v>
      </c>
      <c r="CP18" s="10" t="s">
        <v>14</v>
      </c>
      <c r="CQ18" s="10" t="s">
        <v>14</v>
      </c>
      <c r="CR18" s="9" t="s">
        <v>14</v>
      </c>
      <c r="CS18" s="9" t="s">
        <v>14</v>
      </c>
      <c r="CT18" s="9" t="s">
        <v>14</v>
      </c>
      <c r="CU18" s="9" t="s">
        <v>14</v>
      </c>
      <c r="CV18" s="9" t="s">
        <v>14</v>
      </c>
      <c r="CW18" s="9" t="s">
        <v>14</v>
      </c>
      <c r="CX18" s="9" t="s">
        <v>14</v>
      </c>
      <c r="CY18" s="9" t="s">
        <v>14</v>
      </c>
      <c r="CZ18" s="9" t="s">
        <v>14</v>
      </c>
      <c r="DA18" s="9" t="s">
        <v>14</v>
      </c>
      <c r="DB18" s="9" t="s">
        <v>14</v>
      </c>
      <c r="DC18" s="9" t="s">
        <v>14</v>
      </c>
      <c r="DD18" s="9" t="s">
        <v>14</v>
      </c>
      <c r="DE18" s="9" t="s">
        <v>14</v>
      </c>
      <c r="DF18" s="9" t="s">
        <v>14</v>
      </c>
      <c r="DG18" s="9" t="s">
        <v>14</v>
      </c>
      <c r="DH18" s="9" t="s">
        <v>14</v>
      </c>
      <c r="DI18" s="22" t="s">
        <v>14</v>
      </c>
    </row>
    <row r="19" spans="1:113" ht="14.15" customHeight="1" x14ac:dyDescent="0.25">
      <c r="A19" s="6" t="s">
        <v>0</v>
      </c>
      <c r="B19" s="7">
        <v>3132305</v>
      </c>
      <c r="C19" s="6" t="s">
        <v>38</v>
      </c>
      <c r="D19" s="8" t="str">
        <f>VLOOKUP(B19,Planilha1!$A:$B,2,0)</f>
        <v>Vale do Mucuri</v>
      </c>
      <c r="E19" s="8" t="s">
        <v>20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  <c r="K19" s="10" t="s">
        <v>14</v>
      </c>
      <c r="L19" s="9" t="s">
        <v>14</v>
      </c>
      <c r="M19" s="9" t="s">
        <v>14</v>
      </c>
      <c r="N19" s="9" t="s">
        <v>14</v>
      </c>
      <c r="O19" s="9" t="s">
        <v>14</v>
      </c>
      <c r="P19" s="9" t="s">
        <v>14</v>
      </c>
      <c r="Q19" s="10" t="s">
        <v>14</v>
      </c>
      <c r="R19" s="9" t="s">
        <v>14</v>
      </c>
      <c r="S19" s="9" t="s">
        <v>14</v>
      </c>
      <c r="T19" s="9" t="s">
        <v>14</v>
      </c>
      <c r="U19" s="9" t="s">
        <v>14</v>
      </c>
      <c r="V19" s="9" t="s">
        <v>14</v>
      </c>
      <c r="W19" s="10" t="s">
        <v>14</v>
      </c>
      <c r="X19" s="9">
        <v>73.2</v>
      </c>
      <c r="Y19" s="9">
        <v>61</v>
      </c>
      <c r="Z19" s="9">
        <v>80</v>
      </c>
      <c r="AA19" s="9">
        <v>88</v>
      </c>
      <c r="AB19" s="9">
        <v>76.8</v>
      </c>
      <c r="AC19" s="10">
        <v>0.75078</v>
      </c>
      <c r="AD19" s="9">
        <v>87.8</v>
      </c>
      <c r="AE19" s="9">
        <v>82.6</v>
      </c>
      <c r="AF19" s="9">
        <v>89.7</v>
      </c>
      <c r="AG19" s="9">
        <v>93.4</v>
      </c>
      <c r="AH19" s="9">
        <v>89.4</v>
      </c>
      <c r="AI19" s="10">
        <v>0.885992</v>
      </c>
      <c r="AJ19" s="9">
        <v>73.599999999999994</v>
      </c>
      <c r="AK19" s="9">
        <v>61.8</v>
      </c>
      <c r="AL19" s="9">
        <v>80.8</v>
      </c>
      <c r="AM19" s="9">
        <v>84.3</v>
      </c>
      <c r="AN19" s="9">
        <v>87</v>
      </c>
      <c r="AO19" s="10">
        <v>0.77050300000000005</v>
      </c>
      <c r="AP19" s="9">
        <v>61.8</v>
      </c>
      <c r="AQ19" s="9">
        <v>44.3</v>
      </c>
      <c r="AR19" s="9">
        <v>64.7</v>
      </c>
      <c r="AS19" s="9">
        <v>79.400000000000006</v>
      </c>
      <c r="AT19" s="9">
        <v>86.4</v>
      </c>
      <c r="AU19" s="10">
        <v>0.64310900000000004</v>
      </c>
      <c r="AV19" s="9">
        <v>44.8</v>
      </c>
      <c r="AW19" s="9">
        <v>35.1</v>
      </c>
      <c r="AX19" s="9">
        <v>38.299999999999997</v>
      </c>
      <c r="AY19" s="9">
        <v>56.9</v>
      </c>
      <c r="AZ19" s="9">
        <v>74.5</v>
      </c>
      <c r="BA19" s="10">
        <v>0.46730500000000003</v>
      </c>
      <c r="BB19" s="9">
        <v>99.3</v>
      </c>
      <c r="BC19" s="9">
        <v>98.9</v>
      </c>
      <c r="BD19" s="9">
        <v>100</v>
      </c>
      <c r="BE19" s="9">
        <v>98.9</v>
      </c>
      <c r="BF19" s="9">
        <v>98.1</v>
      </c>
      <c r="BG19" s="10">
        <v>0.98970400000000003</v>
      </c>
      <c r="BH19" s="9">
        <v>62.6</v>
      </c>
      <c r="BI19" s="9">
        <v>58.8</v>
      </c>
      <c r="BJ19" s="9">
        <v>62.3</v>
      </c>
      <c r="BK19" s="9">
        <v>54.1</v>
      </c>
      <c r="BL19" s="9">
        <v>81.900000000000006</v>
      </c>
      <c r="BM19" s="10">
        <v>0.62742699999999996</v>
      </c>
      <c r="BN19" s="10" t="s">
        <v>14</v>
      </c>
      <c r="BO19" s="10" t="s">
        <v>14</v>
      </c>
      <c r="BP19" s="10" t="s">
        <v>14</v>
      </c>
      <c r="BQ19" s="10" t="s">
        <v>14</v>
      </c>
      <c r="BR19" s="10" t="s">
        <v>14</v>
      </c>
      <c r="BS19" s="10" t="s">
        <v>14</v>
      </c>
      <c r="BT19" s="10" t="s">
        <v>14</v>
      </c>
      <c r="BU19" s="10" t="s">
        <v>14</v>
      </c>
      <c r="BV19" s="10" t="s">
        <v>14</v>
      </c>
      <c r="BW19" s="10">
        <v>239.32</v>
      </c>
      <c r="BX19" s="10">
        <v>241.52</v>
      </c>
      <c r="BY19" s="10">
        <v>4.6806669999999997</v>
      </c>
      <c r="BZ19" s="10">
        <v>258.49</v>
      </c>
      <c r="CA19" s="10">
        <v>241.54</v>
      </c>
      <c r="CB19" s="10">
        <v>5.0004999999999997</v>
      </c>
      <c r="CC19" s="10" t="s">
        <v>13</v>
      </c>
      <c r="CD19" s="10" t="s">
        <v>13</v>
      </c>
      <c r="CE19" s="10" t="s">
        <v>14</v>
      </c>
      <c r="CF19" s="10">
        <v>253.71</v>
      </c>
      <c r="CG19" s="10">
        <v>254.01</v>
      </c>
      <c r="CH19" s="10">
        <v>5.1286670000000001</v>
      </c>
      <c r="CI19" s="10">
        <v>230.96</v>
      </c>
      <c r="CJ19" s="10">
        <v>249.7</v>
      </c>
      <c r="CK19" s="10">
        <v>4.6776669999999996</v>
      </c>
      <c r="CL19" s="10" t="s">
        <v>13</v>
      </c>
      <c r="CM19" s="10" t="s">
        <v>13</v>
      </c>
      <c r="CN19" s="10" t="s">
        <v>14</v>
      </c>
      <c r="CO19" s="10">
        <v>227.73</v>
      </c>
      <c r="CP19" s="10">
        <v>226.19</v>
      </c>
      <c r="CQ19" s="10">
        <v>4.2320000000000002</v>
      </c>
      <c r="CR19" s="9" t="s">
        <v>14</v>
      </c>
      <c r="CS19" s="9" t="s">
        <v>14</v>
      </c>
      <c r="CT19" s="9" t="s">
        <v>14</v>
      </c>
      <c r="CU19" s="9">
        <v>3.5</v>
      </c>
      <c r="CV19" s="9">
        <v>4.4000000000000004</v>
      </c>
      <c r="CW19" s="9" t="s">
        <v>14</v>
      </c>
      <c r="CX19" s="9">
        <v>3.3</v>
      </c>
      <c r="CY19" s="9">
        <v>2.2000000000000002</v>
      </c>
      <c r="CZ19" s="9" t="s">
        <v>14</v>
      </c>
      <c r="DA19" s="9">
        <v>2.7</v>
      </c>
      <c r="DB19" s="9" t="s">
        <v>14</v>
      </c>
      <c r="DC19" s="9" t="s">
        <v>14</v>
      </c>
      <c r="DD19" s="9" t="s">
        <v>14</v>
      </c>
      <c r="DE19" s="9">
        <v>3.7</v>
      </c>
      <c r="DF19" s="9">
        <v>4</v>
      </c>
      <c r="DG19" s="9">
        <v>4.3</v>
      </c>
      <c r="DH19" s="9">
        <v>4.5</v>
      </c>
      <c r="DI19" s="22">
        <v>4.8</v>
      </c>
    </row>
    <row r="20" spans="1:113" ht="14.15" customHeight="1" x14ac:dyDescent="0.25">
      <c r="A20" s="6" t="s">
        <v>0</v>
      </c>
      <c r="B20" s="7">
        <v>3139201</v>
      </c>
      <c r="C20" s="6" t="s">
        <v>39</v>
      </c>
      <c r="D20" s="8" t="str">
        <f>VLOOKUP(B20,Planilha1!$A:$B,2,0)</f>
        <v>Vale do Mucuri</v>
      </c>
      <c r="E20" s="8" t="s">
        <v>20</v>
      </c>
      <c r="F20" s="9">
        <v>46.4</v>
      </c>
      <c r="G20" s="9">
        <v>46.4</v>
      </c>
      <c r="H20" s="9">
        <v>43.1</v>
      </c>
      <c r="I20" s="9">
        <v>41.3</v>
      </c>
      <c r="J20" s="9">
        <v>52.6</v>
      </c>
      <c r="K20" s="10">
        <v>0.45465899999999998</v>
      </c>
      <c r="L20" s="9">
        <v>62.3</v>
      </c>
      <c r="M20" s="9">
        <v>61.5</v>
      </c>
      <c r="N20" s="9">
        <v>70.8</v>
      </c>
      <c r="O20" s="9">
        <v>52.4</v>
      </c>
      <c r="P20" s="9">
        <v>65.099999999999994</v>
      </c>
      <c r="Q20" s="10">
        <v>0.617004</v>
      </c>
      <c r="R20" s="9">
        <v>67.8</v>
      </c>
      <c r="S20" s="9">
        <v>59.3</v>
      </c>
      <c r="T20" s="9">
        <v>73.3</v>
      </c>
      <c r="U20" s="9">
        <v>63.6</v>
      </c>
      <c r="V20" s="9">
        <v>76.5</v>
      </c>
      <c r="W20" s="10">
        <v>0.67452299999999998</v>
      </c>
      <c r="X20" s="9">
        <v>83.6</v>
      </c>
      <c r="Y20" s="9">
        <v>74.3</v>
      </c>
      <c r="Z20" s="9">
        <v>87.1</v>
      </c>
      <c r="AA20" s="9">
        <v>90</v>
      </c>
      <c r="AB20" s="9">
        <v>84.6</v>
      </c>
      <c r="AC20" s="10">
        <v>0.83557099999999995</v>
      </c>
      <c r="AD20" s="9">
        <v>97.1</v>
      </c>
      <c r="AE20" s="9">
        <v>97.3</v>
      </c>
      <c r="AF20" s="9">
        <v>97.9</v>
      </c>
      <c r="AG20" s="9">
        <v>96.4</v>
      </c>
      <c r="AH20" s="9">
        <v>96.3</v>
      </c>
      <c r="AI20" s="10">
        <v>0.96970500000000004</v>
      </c>
      <c r="AJ20" s="9">
        <v>98.2</v>
      </c>
      <c r="AK20" s="9">
        <v>100</v>
      </c>
      <c r="AL20" s="9">
        <v>97.7</v>
      </c>
      <c r="AM20" s="9">
        <v>97.3</v>
      </c>
      <c r="AN20" s="9">
        <v>97.6</v>
      </c>
      <c r="AO20" s="10">
        <v>0.98138300000000001</v>
      </c>
      <c r="AP20" s="9">
        <v>86.4</v>
      </c>
      <c r="AQ20" s="9">
        <v>94.9</v>
      </c>
      <c r="AR20" s="9">
        <v>76.3</v>
      </c>
      <c r="AS20" s="9">
        <v>81.3</v>
      </c>
      <c r="AT20" s="9">
        <v>92.1</v>
      </c>
      <c r="AU20" s="10">
        <v>0.85467400000000004</v>
      </c>
      <c r="AV20" s="9" t="s">
        <v>14</v>
      </c>
      <c r="AW20" s="9" t="s">
        <v>14</v>
      </c>
      <c r="AX20" s="9" t="s">
        <v>14</v>
      </c>
      <c r="AY20" s="9" t="s">
        <v>14</v>
      </c>
      <c r="AZ20" s="9" t="s">
        <v>14</v>
      </c>
      <c r="BA20" s="10" t="s">
        <v>14</v>
      </c>
      <c r="BB20" s="9" t="s">
        <v>14</v>
      </c>
      <c r="BC20" s="9" t="s">
        <v>14</v>
      </c>
      <c r="BD20" s="9" t="s">
        <v>14</v>
      </c>
      <c r="BE20" s="9" t="s">
        <v>14</v>
      </c>
      <c r="BF20" s="9" t="s">
        <v>14</v>
      </c>
      <c r="BG20" s="10" t="s">
        <v>14</v>
      </c>
      <c r="BH20" s="9" t="s">
        <v>14</v>
      </c>
      <c r="BI20" s="9" t="s">
        <v>14</v>
      </c>
      <c r="BJ20" s="9" t="s">
        <v>14</v>
      </c>
      <c r="BK20" s="9" t="s">
        <v>14</v>
      </c>
      <c r="BL20" s="9" t="s">
        <v>14</v>
      </c>
      <c r="BM20" s="10" t="s">
        <v>14</v>
      </c>
      <c r="BN20" s="10">
        <v>225.9</v>
      </c>
      <c r="BO20" s="10">
        <v>201.6</v>
      </c>
      <c r="BP20" s="10">
        <v>3.7919999999999998</v>
      </c>
      <c r="BQ20" s="10">
        <v>237.74</v>
      </c>
      <c r="BR20" s="10">
        <v>226.36</v>
      </c>
      <c r="BS20" s="10">
        <v>4.4016669999999998</v>
      </c>
      <c r="BT20" s="10">
        <v>230.85</v>
      </c>
      <c r="BU20" s="10">
        <v>218.3</v>
      </c>
      <c r="BV20" s="10">
        <v>4.1524999999999999</v>
      </c>
      <c r="BW20" s="10" t="s">
        <v>14</v>
      </c>
      <c r="BX20" s="10" t="s">
        <v>14</v>
      </c>
      <c r="BY20" s="10" t="s">
        <v>14</v>
      </c>
      <c r="BZ20" s="10" t="s">
        <v>14</v>
      </c>
      <c r="CA20" s="10" t="s">
        <v>14</v>
      </c>
      <c r="CB20" s="10" t="s">
        <v>14</v>
      </c>
      <c r="CC20" s="10" t="s">
        <v>14</v>
      </c>
      <c r="CD20" s="10" t="s">
        <v>14</v>
      </c>
      <c r="CE20" s="10" t="s">
        <v>14</v>
      </c>
      <c r="CF20" s="10" t="s">
        <v>14</v>
      </c>
      <c r="CG20" s="10" t="s">
        <v>14</v>
      </c>
      <c r="CH20" s="10" t="s">
        <v>14</v>
      </c>
      <c r="CI20" s="10" t="s">
        <v>14</v>
      </c>
      <c r="CJ20" s="10" t="s">
        <v>14</v>
      </c>
      <c r="CK20" s="10" t="s">
        <v>14</v>
      </c>
      <c r="CL20" s="10" t="s">
        <v>14</v>
      </c>
      <c r="CM20" s="10" t="s">
        <v>14</v>
      </c>
      <c r="CN20" s="10" t="s">
        <v>14</v>
      </c>
      <c r="CO20" s="10" t="s">
        <v>14</v>
      </c>
      <c r="CP20" s="10" t="s">
        <v>14</v>
      </c>
      <c r="CQ20" s="10" t="s">
        <v>14</v>
      </c>
      <c r="CR20" s="9">
        <v>1.7</v>
      </c>
      <c r="CS20" s="9">
        <v>2.7</v>
      </c>
      <c r="CT20" s="9">
        <v>2.8</v>
      </c>
      <c r="CU20" s="9" t="s">
        <v>14</v>
      </c>
      <c r="CV20" s="9" t="s">
        <v>14</v>
      </c>
      <c r="CW20" s="9" t="s">
        <v>14</v>
      </c>
      <c r="CX20" s="9" t="s">
        <v>14</v>
      </c>
      <c r="CY20" s="9" t="s">
        <v>14</v>
      </c>
      <c r="CZ20" s="9" t="s">
        <v>14</v>
      </c>
      <c r="DA20" s="9" t="s">
        <v>14</v>
      </c>
      <c r="DB20" s="9">
        <v>1.8</v>
      </c>
      <c r="DC20" s="9">
        <v>2.2000000000000002</v>
      </c>
      <c r="DD20" s="9">
        <v>2.6</v>
      </c>
      <c r="DE20" s="9">
        <v>3.2</v>
      </c>
      <c r="DF20" s="9">
        <v>3.6</v>
      </c>
      <c r="DG20" s="9">
        <v>3.9</v>
      </c>
      <c r="DH20" s="9">
        <v>4.2</v>
      </c>
      <c r="DI20" s="22">
        <v>4.5</v>
      </c>
    </row>
    <row r="21" spans="1:113" ht="14.15" customHeight="1" x14ac:dyDescent="0.25">
      <c r="A21" s="6" t="s">
        <v>0</v>
      </c>
      <c r="B21" s="7">
        <v>3144300</v>
      </c>
      <c r="C21" s="6" t="s">
        <v>40</v>
      </c>
      <c r="D21" s="8" t="str">
        <f>VLOOKUP(B21,Planilha1!$A:$B,2,0)</f>
        <v>Vale do Mucuri</v>
      </c>
      <c r="E21" s="8" t="s">
        <v>20</v>
      </c>
      <c r="F21" s="9">
        <v>73.2</v>
      </c>
      <c r="G21" s="9">
        <v>66.099999999999994</v>
      </c>
      <c r="H21" s="9">
        <v>76.5</v>
      </c>
      <c r="I21" s="9">
        <v>76.099999999999994</v>
      </c>
      <c r="J21" s="9">
        <v>82.1</v>
      </c>
      <c r="K21" s="10">
        <v>0.74736499999999995</v>
      </c>
      <c r="L21" s="9">
        <v>73.3</v>
      </c>
      <c r="M21" s="9">
        <v>67.099999999999994</v>
      </c>
      <c r="N21" s="9">
        <v>68.3</v>
      </c>
      <c r="O21" s="9">
        <v>75</v>
      </c>
      <c r="P21" s="9">
        <v>90.9</v>
      </c>
      <c r="Q21" s="10">
        <v>0.74240600000000001</v>
      </c>
      <c r="R21" s="9">
        <v>75.099999999999994</v>
      </c>
      <c r="S21" s="9">
        <v>62.3</v>
      </c>
      <c r="T21" s="9">
        <v>84</v>
      </c>
      <c r="U21" s="9">
        <v>79.599999999999994</v>
      </c>
      <c r="V21" s="9">
        <v>84</v>
      </c>
      <c r="W21" s="10">
        <v>0.76301399999999997</v>
      </c>
      <c r="X21" s="9">
        <v>76.8</v>
      </c>
      <c r="Y21" s="9">
        <v>67.599999999999994</v>
      </c>
      <c r="Z21" s="9">
        <v>77.099999999999994</v>
      </c>
      <c r="AA21" s="9">
        <v>83.5</v>
      </c>
      <c r="AB21" s="9">
        <v>85.4</v>
      </c>
      <c r="AC21" s="10">
        <v>0.77747299999999997</v>
      </c>
      <c r="AD21" s="9">
        <v>88.1</v>
      </c>
      <c r="AE21" s="9">
        <v>86.3</v>
      </c>
      <c r="AF21" s="9">
        <v>92.3</v>
      </c>
      <c r="AG21" s="9">
        <v>83.2</v>
      </c>
      <c r="AH21" s="9">
        <v>90.9</v>
      </c>
      <c r="AI21" s="10">
        <v>0.88024199999999997</v>
      </c>
      <c r="AJ21" s="9">
        <v>85.9</v>
      </c>
      <c r="AK21" s="9">
        <v>85</v>
      </c>
      <c r="AL21" s="9">
        <v>89</v>
      </c>
      <c r="AM21" s="9">
        <v>83.2</v>
      </c>
      <c r="AN21" s="9">
        <v>86.9</v>
      </c>
      <c r="AO21" s="10">
        <v>0.85970899999999995</v>
      </c>
      <c r="AP21" s="9">
        <v>75.2</v>
      </c>
      <c r="AQ21" s="9">
        <v>62.9</v>
      </c>
      <c r="AR21" s="9">
        <v>74.599999999999994</v>
      </c>
      <c r="AS21" s="9">
        <v>80.400000000000006</v>
      </c>
      <c r="AT21" s="9">
        <v>90.1</v>
      </c>
      <c r="AU21" s="10">
        <v>0.75700699999999999</v>
      </c>
      <c r="AV21" s="9">
        <v>75.7</v>
      </c>
      <c r="AW21" s="9">
        <v>66.900000000000006</v>
      </c>
      <c r="AX21" s="9">
        <v>78.7</v>
      </c>
      <c r="AY21" s="9">
        <v>79.599999999999994</v>
      </c>
      <c r="AZ21" s="9">
        <v>83.3</v>
      </c>
      <c r="BA21" s="10">
        <v>0.76596399999999998</v>
      </c>
      <c r="BB21" s="9">
        <v>91.5</v>
      </c>
      <c r="BC21" s="9">
        <v>94.1</v>
      </c>
      <c r="BD21" s="9">
        <v>86.9</v>
      </c>
      <c r="BE21" s="9">
        <v>92.6</v>
      </c>
      <c r="BF21" s="9">
        <v>92.8</v>
      </c>
      <c r="BG21" s="10">
        <v>0.91513299999999997</v>
      </c>
      <c r="BH21" s="9">
        <v>88.8</v>
      </c>
      <c r="BI21" s="9">
        <v>91.5</v>
      </c>
      <c r="BJ21" s="9">
        <v>84.7</v>
      </c>
      <c r="BK21" s="9">
        <v>89.6</v>
      </c>
      <c r="BL21" s="9">
        <v>85.1</v>
      </c>
      <c r="BM21" s="10">
        <v>0.87629100000000004</v>
      </c>
      <c r="BN21" s="10">
        <v>234</v>
      </c>
      <c r="BO21" s="10">
        <v>215.5</v>
      </c>
      <c r="BP21" s="10">
        <v>4.1591670000000001</v>
      </c>
      <c r="BQ21" s="10">
        <v>233.65</v>
      </c>
      <c r="BR21" s="10">
        <v>223.42</v>
      </c>
      <c r="BS21" s="10">
        <v>4.2845000000000004</v>
      </c>
      <c r="BT21" s="10">
        <v>237.38</v>
      </c>
      <c r="BU21" s="10">
        <v>230.73</v>
      </c>
      <c r="BV21" s="10">
        <v>4.4684999999999997</v>
      </c>
      <c r="BW21" s="10">
        <v>236.71</v>
      </c>
      <c r="BX21" s="10">
        <v>232.52</v>
      </c>
      <c r="BY21" s="10">
        <v>4.4871670000000003</v>
      </c>
      <c r="BZ21" s="10">
        <v>227.47</v>
      </c>
      <c r="CA21" s="10">
        <v>232.61</v>
      </c>
      <c r="CB21" s="10">
        <v>4.3346669999999996</v>
      </c>
      <c r="CC21" s="10" t="s">
        <v>159</v>
      </c>
      <c r="CD21" s="10" t="s">
        <v>156</v>
      </c>
      <c r="CE21" s="10">
        <v>4.8821669999999999</v>
      </c>
      <c r="CF21" s="10">
        <v>238.93</v>
      </c>
      <c r="CG21" s="10">
        <v>253.52</v>
      </c>
      <c r="CH21" s="10">
        <v>4.8741669999999999</v>
      </c>
      <c r="CI21" s="10">
        <v>235.81</v>
      </c>
      <c r="CJ21" s="10">
        <v>235.31</v>
      </c>
      <c r="CK21" s="10">
        <v>4.5186669999999998</v>
      </c>
      <c r="CL21" s="10">
        <v>229.81</v>
      </c>
      <c r="CM21" s="10">
        <v>237.46</v>
      </c>
      <c r="CN21" s="10">
        <v>4.4545000000000003</v>
      </c>
      <c r="CO21" s="10">
        <v>217.36</v>
      </c>
      <c r="CP21" s="10">
        <v>222.75</v>
      </c>
      <c r="CQ21" s="10">
        <v>4.0018330000000004</v>
      </c>
      <c r="CR21" s="9">
        <v>3.1</v>
      </c>
      <c r="CS21" s="9">
        <v>3.2</v>
      </c>
      <c r="CT21" s="9">
        <v>3.4</v>
      </c>
      <c r="CU21" s="9">
        <v>3.5</v>
      </c>
      <c r="CV21" s="9">
        <v>3.8</v>
      </c>
      <c r="CW21" s="9">
        <v>4.2</v>
      </c>
      <c r="CX21" s="9">
        <v>3.7</v>
      </c>
      <c r="CY21" s="9">
        <v>3.5</v>
      </c>
      <c r="CZ21" s="9">
        <v>4.0999999999999996</v>
      </c>
      <c r="DA21" s="9">
        <v>3.5</v>
      </c>
      <c r="DB21" s="9">
        <v>3.1</v>
      </c>
      <c r="DC21" s="9">
        <v>3.3</v>
      </c>
      <c r="DD21" s="9">
        <v>3.6</v>
      </c>
      <c r="DE21" s="9">
        <v>4</v>
      </c>
      <c r="DF21" s="9">
        <v>4.3</v>
      </c>
      <c r="DG21" s="9">
        <v>4.5999999999999996</v>
      </c>
      <c r="DH21" s="9">
        <v>4.9000000000000004</v>
      </c>
      <c r="DI21" s="22">
        <v>5.0999999999999996</v>
      </c>
    </row>
    <row r="22" spans="1:113" ht="14.15" hidden="1" customHeight="1" x14ac:dyDescent="0.25">
      <c r="A22" s="6" t="s">
        <v>0</v>
      </c>
      <c r="B22" s="7">
        <v>3145356</v>
      </c>
      <c r="C22" s="6" t="s">
        <v>41</v>
      </c>
      <c r="D22" s="8" t="str">
        <f>VLOOKUP(B22,Planilha1!$A:$B,2,0)</f>
        <v>Vale do Mucuri</v>
      </c>
      <c r="E22" s="8" t="s">
        <v>20</v>
      </c>
      <c r="F22" s="9" t="s">
        <v>14</v>
      </c>
      <c r="G22" s="9" t="s">
        <v>14</v>
      </c>
      <c r="H22" s="9" t="s">
        <v>14</v>
      </c>
      <c r="I22" s="9" t="s">
        <v>14</v>
      </c>
      <c r="J22" s="9" t="s">
        <v>14</v>
      </c>
      <c r="K22" s="10" t="s">
        <v>14</v>
      </c>
      <c r="L22" s="9" t="s">
        <v>14</v>
      </c>
      <c r="M22" s="9" t="s">
        <v>14</v>
      </c>
      <c r="N22" s="9" t="s">
        <v>14</v>
      </c>
      <c r="O22" s="9" t="s">
        <v>14</v>
      </c>
      <c r="P22" s="9" t="s">
        <v>14</v>
      </c>
      <c r="Q22" s="10" t="s">
        <v>14</v>
      </c>
      <c r="R22" s="9" t="s">
        <v>14</v>
      </c>
      <c r="S22" s="9" t="s">
        <v>14</v>
      </c>
      <c r="T22" s="9" t="s">
        <v>14</v>
      </c>
      <c r="U22" s="9" t="s">
        <v>14</v>
      </c>
      <c r="V22" s="9" t="s">
        <v>14</v>
      </c>
      <c r="W22" s="10" t="s">
        <v>14</v>
      </c>
      <c r="X22" s="9" t="s">
        <v>14</v>
      </c>
      <c r="Y22" s="9" t="s">
        <v>14</v>
      </c>
      <c r="Z22" s="9" t="s">
        <v>14</v>
      </c>
      <c r="AA22" s="9" t="s">
        <v>14</v>
      </c>
      <c r="AB22" s="9" t="s">
        <v>14</v>
      </c>
      <c r="AC22" s="10" t="s">
        <v>14</v>
      </c>
      <c r="AD22" s="9" t="s">
        <v>14</v>
      </c>
      <c r="AE22" s="9" t="s">
        <v>14</v>
      </c>
      <c r="AF22" s="9" t="s">
        <v>14</v>
      </c>
      <c r="AG22" s="9" t="s">
        <v>14</v>
      </c>
      <c r="AH22" s="9" t="s">
        <v>14</v>
      </c>
      <c r="AI22" s="10" t="s">
        <v>14</v>
      </c>
      <c r="AJ22" s="9" t="s">
        <v>14</v>
      </c>
      <c r="AK22" s="9" t="s">
        <v>14</v>
      </c>
      <c r="AL22" s="9" t="s">
        <v>14</v>
      </c>
      <c r="AM22" s="9" t="s">
        <v>14</v>
      </c>
      <c r="AN22" s="9" t="s">
        <v>14</v>
      </c>
      <c r="AO22" s="10" t="s">
        <v>14</v>
      </c>
      <c r="AP22" s="9">
        <v>98</v>
      </c>
      <c r="AQ22" s="9">
        <v>100</v>
      </c>
      <c r="AR22" s="9">
        <v>100</v>
      </c>
      <c r="AS22" s="9">
        <v>100</v>
      </c>
      <c r="AT22" s="9">
        <v>93.1</v>
      </c>
      <c r="AU22" s="10">
        <v>0.98180900000000004</v>
      </c>
      <c r="AV22" s="9" t="s">
        <v>14</v>
      </c>
      <c r="AW22" s="9" t="s">
        <v>14</v>
      </c>
      <c r="AX22" s="9" t="s">
        <v>14</v>
      </c>
      <c r="AY22" s="9" t="s">
        <v>14</v>
      </c>
      <c r="AZ22" s="9" t="s">
        <v>14</v>
      </c>
      <c r="BA22" s="10" t="s">
        <v>14</v>
      </c>
      <c r="BB22" s="9" t="s">
        <v>14</v>
      </c>
      <c r="BC22" s="9" t="s">
        <v>14</v>
      </c>
      <c r="BD22" s="9" t="s">
        <v>14</v>
      </c>
      <c r="BE22" s="9" t="s">
        <v>14</v>
      </c>
      <c r="BF22" s="9" t="s">
        <v>14</v>
      </c>
      <c r="BG22" s="10" t="s">
        <v>14</v>
      </c>
      <c r="BH22" s="9" t="s">
        <v>14</v>
      </c>
      <c r="BI22" s="9" t="s">
        <v>14</v>
      </c>
      <c r="BJ22" s="9" t="s">
        <v>14</v>
      </c>
      <c r="BK22" s="9" t="s">
        <v>14</v>
      </c>
      <c r="BL22" s="9" t="s">
        <v>14</v>
      </c>
      <c r="BM22" s="10" t="s">
        <v>14</v>
      </c>
      <c r="BN22" s="10" t="s">
        <v>14</v>
      </c>
      <c r="BO22" s="10" t="s">
        <v>14</v>
      </c>
      <c r="BP22" s="10" t="s">
        <v>14</v>
      </c>
      <c r="BQ22" s="10" t="s">
        <v>14</v>
      </c>
      <c r="BR22" s="10" t="s">
        <v>14</v>
      </c>
      <c r="BS22" s="10" t="s">
        <v>14</v>
      </c>
      <c r="BT22" s="10" t="s">
        <v>14</v>
      </c>
      <c r="BU22" s="10" t="s">
        <v>14</v>
      </c>
      <c r="BV22" s="10" t="s">
        <v>14</v>
      </c>
      <c r="BW22" s="10" t="s">
        <v>14</v>
      </c>
      <c r="BX22" s="10" t="s">
        <v>14</v>
      </c>
      <c r="BY22" s="10" t="s">
        <v>14</v>
      </c>
      <c r="BZ22" s="10" t="s">
        <v>14</v>
      </c>
      <c r="CA22" s="10" t="s">
        <v>14</v>
      </c>
      <c r="CB22" s="10" t="s">
        <v>14</v>
      </c>
      <c r="CC22" s="10" t="s">
        <v>14</v>
      </c>
      <c r="CD22" s="10" t="s">
        <v>14</v>
      </c>
      <c r="CE22" s="10" t="s">
        <v>14</v>
      </c>
      <c r="CF22" s="10" t="s">
        <v>14</v>
      </c>
      <c r="CG22" s="10" t="s">
        <v>14</v>
      </c>
      <c r="CH22" s="10" t="s">
        <v>14</v>
      </c>
      <c r="CI22" s="10" t="s">
        <v>14</v>
      </c>
      <c r="CJ22" s="10" t="s">
        <v>14</v>
      </c>
      <c r="CK22" s="10" t="s">
        <v>14</v>
      </c>
      <c r="CL22" s="10" t="s">
        <v>14</v>
      </c>
      <c r="CM22" s="10" t="s">
        <v>14</v>
      </c>
      <c r="CN22" s="10" t="s">
        <v>14</v>
      </c>
      <c r="CO22" s="10" t="s">
        <v>14</v>
      </c>
      <c r="CP22" s="10" t="s">
        <v>14</v>
      </c>
      <c r="CQ22" s="10" t="s">
        <v>14</v>
      </c>
      <c r="CR22" s="9" t="s">
        <v>14</v>
      </c>
      <c r="CS22" s="9" t="s">
        <v>14</v>
      </c>
      <c r="CT22" s="9" t="s">
        <v>14</v>
      </c>
      <c r="CU22" s="9" t="s">
        <v>14</v>
      </c>
      <c r="CV22" s="9" t="s">
        <v>14</v>
      </c>
      <c r="CW22" s="9" t="s">
        <v>14</v>
      </c>
      <c r="CX22" s="9" t="s">
        <v>14</v>
      </c>
      <c r="CY22" s="9" t="s">
        <v>14</v>
      </c>
      <c r="CZ22" s="9" t="s">
        <v>14</v>
      </c>
      <c r="DA22" s="9" t="s">
        <v>14</v>
      </c>
      <c r="DB22" s="9" t="s">
        <v>14</v>
      </c>
      <c r="DC22" s="9" t="s">
        <v>14</v>
      </c>
      <c r="DD22" s="9" t="s">
        <v>14</v>
      </c>
      <c r="DE22" s="9" t="s">
        <v>14</v>
      </c>
      <c r="DF22" s="9" t="s">
        <v>14</v>
      </c>
      <c r="DG22" s="9" t="s">
        <v>14</v>
      </c>
      <c r="DH22" s="9" t="s">
        <v>14</v>
      </c>
      <c r="DI22" s="22" t="s">
        <v>14</v>
      </c>
    </row>
    <row r="23" spans="1:113" ht="14.15" hidden="1" customHeight="1" x14ac:dyDescent="0.25">
      <c r="A23" s="6" t="s">
        <v>0</v>
      </c>
      <c r="B23" s="7">
        <v>3146206</v>
      </c>
      <c r="C23" s="6" t="s">
        <v>42</v>
      </c>
      <c r="D23" s="8" t="str">
        <f>VLOOKUP(B23,Planilha1!$A:$B,2,0)</f>
        <v>Vale do Mucuri</v>
      </c>
      <c r="E23" s="8" t="s">
        <v>20</v>
      </c>
      <c r="F23" s="9" t="s">
        <v>14</v>
      </c>
      <c r="G23" s="9" t="s">
        <v>14</v>
      </c>
      <c r="H23" s="9" t="s">
        <v>14</v>
      </c>
      <c r="I23" s="9" t="s">
        <v>14</v>
      </c>
      <c r="J23" s="9" t="s">
        <v>14</v>
      </c>
      <c r="K23" s="10" t="s">
        <v>14</v>
      </c>
      <c r="L23" s="9" t="s">
        <v>14</v>
      </c>
      <c r="M23" s="9" t="s">
        <v>14</v>
      </c>
      <c r="N23" s="9" t="s">
        <v>14</v>
      </c>
      <c r="O23" s="9" t="s">
        <v>14</v>
      </c>
      <c r="P23" s="9" t="s">
        <v>14</v>
      </c>
      <c r="Q23" s="10" t="s">
        <v>14</v>
      </c>
      <c r="R23" s="9" t="s">
        <v>14</v>
      </c>
      <c r="S23" s="9" t="s">
        <v>14</v>
      </c>
      <c r="T23" s="9" t="s">
        <v>14</v>
      </c>
      <c r="U23" s="9" t="s">
        <v>14</v>
      </c>
      <c r="V23" s="9" t="s">
        <v>14</v>
      </c>
      <c r="W23" s="10" t="s">
        <v>14</v>
      </c>
      <c r="X23" s="9" t="s">
        <v>14</v>
      </c>
      <c r="Y23" s="9" t="s">
        <v>14</v>
      </c>
      <c r="Z23" s="9" t="s">
        <v>14</v>
      </c>
      <c r="AA23" s="9" t="s">
        <v>14</v>
      </c>
      <c r="AB23" s="9" t="s">
        <v>14</v>
      </c>
      <c r="AC23" s="10" t="s">
        <v>14</v>
      </c>
      <c r="AD23" s="9" t="s">
        <v>14</v>
      </c>
      <c r="AE23" s="9" t="s">
        <v>14</v>
      </c>
      <c r="AF23" s="9" t="s">
        <v>14</v>
      </c>
      <c r="AG23" s="9" t="s">
        <v>14</v>
      </c>
      <c r="AH23" s="9" t="s">
        <v>14</v>
      </c>
      <c r="AI23" s="10" t="s">
        <v>14</v>
      </c>
      <c r="AJ23" s="9" t="s">
        <v>14</v>
      </c>
      <c r="AK23" s="9" t="s">
        <v>14</v>
      </c>
      <c r="AL23" s="9" t="s">
        <v>14</v>
      </c>
      <c r="AM23" s="9" t="s">
        <v>14</v>
      </c>
      <c r="AN23" s="9" t="s">
        <v>14</v>
      </c>
      <c r="AO23" s="10" t="s">
        <v>14</v>
      </c>
      <c r="AP23" s="9">
        <v>78.3</v>
      </c>
      <c r="AQ23" s="9">
        <v>64.7</v>
      </c>
      <c r="AR23" s="9">
        <v>100</v>
      </c>
      <c r="AS23" s="9" t="s">
        <v>14</v>
      </c>
      <c r="AT23" s="9">
        <v>81.8</v>
      </c>
      <c r="AU23" s="10">
        <v>0.79615999999999998</v>
      </c>
      <c r="AV23" s="9" t="s">
        <v>14</v>
      </c>
      <c r="AW23" s="9" t="s">
        <v>14</v>
      </c>
      <c r="AX23" s="9" t="s">
        <v>14</v>
      </c>
      <c r="AY23" s="9" t="s">
        <v>14</v>
      </c>
      <c r="AZ23" s="9" t="s">
        <v>14</v>
      </c>
      <c r="BA23" s="10" t="s">
        <v>14</v>
      </c>
      <c r="BB23" s="9" t="s">
        <v>14</v>
      </c>
      <c r="BC23" s="9" t="s">
        <v>14</v>
      </c>
      <c r="BD23" s="9" t="s">
        <v>14</v>
      </c>
      <c r="BE23" s="9" t="s">
        <v>14</v>
      </c>
      <c r="BF23" s="9" t="s">
        <v>14</v>
      </c>
      <c r="BG23" s="10" t="s">
        <v>14</v>
      </c>
      <c r="BH23" s="9" t="s">
        <v>14</v>
      </c>
      <c r="BI23" s="9" t="s">
        <v>14</v>
      </c>
      <c r="BJ23" s="9" t="s">
        <v>14</v>
      </c>
      <c r="BK23" s="9" t="s">
        <v>14</v>
      </c>
      <c r="BL23" s="9" t="s">
        <v>14</v>
      </c>
      <c r="BM23" s="10" t="s">
        <v>14</v>
      </c>
      <c r="BN23" s="10" t="s">
        <v>14</v>
      </c>
      <c r="BO23" s="10" t="s">
        <v>14</v>
      </c>
      <c r="BP23" s="10" t="s">
        <v>14</v>
      </c>
      <c r="BQ23" s="10" t="s">
        <v>14</v>
      </c>
      <c r="BR23" s="10" t="s">
        <v>14</v>
      </c>
      <c r="BS23" s="10" t="s">
        <v>14</v>
      </c>
      <c r="BT23" s="10" t="s">
        <v>14</v>
      </c>
      <c r="BU23" s="10" t="s">
        <v>14</v>
      </c>
      <c r="BV23" s="10" t="s">
        <v>14</v>
      </c>
      <c r="BW23" s="10" t="s">
        <v>14</v>
      </c>
      <c r="BX23" s="10" t="s">
        <v>14</v>
      </c>
      <c r="BY23" s="10" t="s">
        <v>14</v>
      </c>
      <c r="BZ23" s="10" t="s">
        <v>14</v>
      </c>
      <c r="CA23" s="10" t="s">
        <v>14</v>
      </c>
      <c r="CB23" s="10" t="s">
        <v>14</v>
      </c>
      <c r="CC23" s="10" t="s">
        <v>14</v>
      </c>
      <c r="CD23" s="10" t="s">
        <v>14</v>
      </c>
      <c r="CE23" s="10" t="s">
        <v>14</v>
      </c>
      <c r="CF23" s="10" t="s">
        <v>14</v>
      </c>
      <c r="CG23" s="10" t="s">
        <v>14</v>
      </c>
      <c r="CH23" s="10" t="s">
        <v>14</v>
      </c>
      <c r="CI23" s="10" t="s">
        <v>14</v>
      </c>
      <c r="CJ23" s="10" t="s">
        <v>14</v>
      </c>
      <c r="CK23" s="10" t="s">
        <v>14</v>
      </c>
      <c r="CL23" s="10" t="s">
        <v>14</v>
      </c>
      <c r="CM23" s="10" t="s">
        <v>14</v>
      </c>
      <c r="CN23" s="10" t="s">
        <v>14</v>
      </c>
      <c r="CO23" s="10" t="s">
        <v>14</v>
      </c>
      <c r="CP23" s="10" t="s">
        <v>14</v>
      </c>
      <c r="CQ23" s="10" t="s">
        <v>14</v>
      </c>
      <c r="CR23" s="9" t="s">
        <v>14</v>
      </c>
      <c r="CS23" s="9" t="s">
        <v>14</v>
      </c>
      <c r="CT23" s="9" t="s">
        <v>14</v>
      </c>
      <c r="CU23" s="9" t="s">
        <v>14</v>
      </c>
      <c r="CV23" s="9" t="s">
        <v>14</v>
      </c>
      <c r="CW23" s="9" t="s">
        <v>14</v>
      </c>
      <c r="CX23" s="9" t="s">
        <v>14</v>
      </c>
      <c r="CY23" s="9" t="s">
        <v>14</v>
      </c>
      <c r="CZ23" s="9" t="s">
        <v>14</v>
      </c>
      <c r="DA23" s="9" t="s">
        <v>14</v>
      </c>
      <c r="DB23" s="9" t="s">
        <v>14</v>
      </c>
      <c r="DC23" s="9" t="s">
        <v>14</v>
      </c>
      <c r="DD23" s="9" t="s">
        <v>14</v>
      </c>
      <c r="DE23" s="9" t="s">
        <v>14</v>
      </c>
      <c r="DF23" s="9" t="s">
        <v>14</v>
      </c>
      <c r="DG23" s="9" t="s">
        <v>14</v>
      </c>
      <c r="DH23" s="9" t="s">
        <v>14</v>
      </c>
      <c r="DI23" s="22" t="s">
        <v>14</v>
      </c>
    </row>
    <row r="24" spans="1:113" ht="14.15" customHeight="1" x14ac:dyDescent="0.25">
      <c r="A24" s="6" t="s">
        <v>0</v>
      </c>
      <c r="B24" s="7">
        <v>3152402</v>
      </c>
      <c r="C24" s="6" t="s">
        <v>43</v>
      </c>
      <c r="D24" s="8" t="str">
        <f>VLOOKUP(B24,Planilha1!$A:$B,2,0)</f>
        <v>Vale do Mucuri</v>
      </c>
      <c r="E24" s="8" t="s">
        <v>20</v>
      </c>
      <c r="F24" s="9" t="s">
        <v>14</v>
      </c>
      <c r="G24" s="9" t="s">
        <v>14</v>
      </c>
      <c r="H24" s="9" t="s">
        <v>14</v>
      </c>
      <c r="I24" s="9" t="s">
        <v>14</v>
      </c>
      <c r="J24" s="9" t="s">
        <v>14</v>
      </c>
      <c r="K24" s="10" t="s">
        <v>14</v>
      </c>
      <c r="L24" s="9" t="s">
        <v>14</v>
      </c>
      <c r="M24" s="9" t="s">
        <v>14</v>
      </c>
      <c r="N24" s="9" t="s">
        <v>14</v>
      </c>
      <c r="O24" s="9" t="s">
        <v>14</v>
      </c>
      <c r="P24" s="9" t="s">
        <v>14</v>
      </c>
      <c r="Q24" s="10" t="s">
        <v>14</v>
      </c>
      <c r="R24" s="9" t="s">
        <v>14</v>
      </c>
      <c r="S24" s="9" t="s">
        <v>14</v>
      </c>
      <c r="T24" s="9" t="s">
        <v>14</v>
      </c>
      <c r="U24" s="9" t="s">
        <v>14</v>
      </c>
      <c r="V24" s="9" t="s">
        <v>14</v>
      </c>
      <c r="W24" s="10" t="s">
        <v>14</v>
      </c>
      <c r="X24" s="9" t="s">
        <v>14</v>
      </c>
      <c r="Y24" s="9" t="s">
        <v>14</v>
      </c>
      <c r="Z24" s="9" t="s">
        <v>14</v>
      </c>
      <c r="AA24" s="9" t="s">
        <v>14</v>
      </c>
      <c r="AB24" s="9" t="s">
        <v>14</v>
      </c>
      <c r="AC24" s="10" t="s">
        <v>14</v>
      </c>
      <c r="AD24" s="9">
        <v>94.7</v>
      </c>
      <c r="AE24" s="9">
        <v>91.3</v>
      </c>
      <c r="AF24" s="9">
        <v>97.4</v>
      </c>
      <c r="AG24" s="9">
        <v>98</v>
      </c>
      <c r="AH24" s="9">
        <v>95.2</v>
      </c>
      <c r="AI24" s="10">
        <v>0.95401400000000003</v>
      </c>
      <c r="AJ24" s="9">
        <v>93.1</v>
      </c>
      <c r="AK24" s="9">
        <v>88.1</v>
      </c>
      <c r="AL24" s="9">
        <v>90.9</v>
      </c>
      <c r="AM24" s="9">
        <v>97.7</v>
      </c>
      <c r="AN24" s="9">
        <v>98.4</v>
      </c>
      <c r="AO24" s="10">
        <v>0.93567599999999995</v>
      </c>
      <c r="AP24" s="9">
        <v>95.3</v>
      </c>
      <c r="AQ24" s="9">
        <v>89.3</v>
      </c>
      <c r="AR24" s="9">
        <v>97.8</v>
      </c>
      <c r="AS24" s="9">
        <v>96.5</v>
      </c>
      <c r="AT24" s="9">
        <v>98.4</v>
      </c>
      <c r="AU24" s="10">
        <v>0.95355100000000004</v>
      </c>
      <c r="AV24" s="9">
        <v>88.7</v>
      </c>
      <c r="AW24" s="9">
        <v>90.4</v>
      </c>
      <c r="AX24" s="9">
        <v>81.099999999999994</v>
      </c>
      <c r="AY24" s="9">
        <v>90.6</v>
      </c>
      <c r="AZ24" s="9">
        <v>93.1</v>
      </c>
      <c r="BA24" s="10">
        <v>0.88552299999999995</v>
      </c>
      <c r="BB24" s="9">
        <v>98.4</v>
      </c>
      <c r="BC24" s="9">
        <v>98.7</v>
      </c>
      <c r="BD24" s="9">
        <v>98.4</v>
      </c>
      <c r="BE24" s="9">
        <v>97</v>
      </c>
      <c r="BF24" s="9">
        <v>100</v>
      </c>
      <c r="BG24" s="10">
        <v>0.98513499999999998</v>
      </c>
      <c r="BH24" s="9">
        <v>95.4</v>
      </c>
      <c r="BI24" s="9">
        <v>93.9</v>
      </c>
      <c r="BJ24" s="9">
        <v>95.8</v>
      </c>
      <c r="BK24" s="9">
        <v>94.9</v>
      </c>
      <c r="BL24" s="9">
        <v>97.7</v>
      </c>
      <c r="BM24" s="10">
        <v>0.95554600000000001</v>
      </c>
      <c r="BN24" s="10" t="s">
        <v>14</v>
      </c>
      <c r="BO24" s="10" t="s">
        <v>14</v>
      </c>
      <c r="BP24" s="10" t="s">
        <v>14</v>
      </c>
      <c r="BQ24" s="10" t="s">
        <v>14</v>
      </c>
      <c r="BR24" s="10" t="s">
        <v>14</v>
      </c>
      <c r="BS24" s="10" t="s">
        <v>14</v>
      </c>
      <c r="BT24" s="10" t="s">
        <v>14</v>
      </c>
      <c r="BU24" s="10" t="s">
        <v>14</v>
      </c>
      <c r="BV24" s="10" t="s">
        <v>14</v>
      </c>
      <c r="BW24" s="10" t="s">
        <v>14</v>
      </c>
      <c r="BX24" s="10" t="s">
        <v>14</v>
      </c>
      <c r="BY24" s="10" t="s">
        <v>14</v>
      </c>
      <c r="BZ24" s="10">
        <v>249.07</v>
      </c>
      <c r="CA24" s="10">
        <v>249.86</v>
      </c>
      <c r="CB24" s="10">
        <v>4.9821669999999996</v>
      </c>
      <c r="CC24" s="10" t="s">
        <v>154</v>
      </c>
      <c r="CD24" s="10" t="s">
        <v>161</v>
      </c>
      <c r="CE24" s="10">
        <v>4.8818330000000003</v>
      </c>
      <c r="CF24" s="10">
        <v>256.56</v>
      </c>
      <c r="CG24" s="10">
        <v>268.52</v>
      </c>
      <c r="CH24" s="10">
        <v>5.4180000000000001</v>
      </c>
      <c r="CI24" s="10">
        <v>264.08999999999997</v>
      </c>
      <c r="CJ24" s="10">
        <v>270.66000000000003</v>
      </c>
      <c r="CK24" s="10">
        <v>5.579167</v>
      </c>
      <c r="CL24" s="10" t="s">
        <v>13</v>
      </c>
      <c r="CM24" s="10" t="s">
        <v>13</v>
      </c>
      <c r="CN24" s="10" t="s">
        <v>14</v>
      </c>
      <c r="CO24" s="10">
        <v>235.63</v>
      </c>
      <c r="CP24" s="10">
        <v>247.65</v>
      </c>
      <c r="CQ24" s="10">
        <v>4.7213329999999996</v>
      </c>
      <c r="CR24" s="9" t="s">
        <v>14</v>
      </c>
      <c r="CS24" s="9" t="s">
        <v>14</v>
      </c>
      <c r="CT24" s="9" t="s">
        <v>14</v>
      </c>
      <c r="CU24" s="9" t="s">
        <v>14</v>
      </c>
      <c r="CV24" s="9">
        <v>4.8</v>
      </c>
      <c r="CW24" s="9">
        <v>4.5999999999999996</v>
      </c>
      <c r="CX24" s="9">
        <v>5.2</v>
      </c>
      <c r="CY24" s="9">
        <v>4.9000000000000004</v>
      </c>
      <c r="CZ24" s="9" t="s">
        <v>14</v>
      </c>
      <c r="DA24" s="9">
        <v>4.5</v>
      </c>
      <c r="DB24" s="9" t="s">
        <v>14</v>
      </c>
      <c r="DC24" s="9" t="s">
        <v>14</v>
      </c>
      <c r="DD24" s="9" t="s">
        <v>14</v>
      </c>
      <c r="DE24" s="9" t="s">
        <v>14</v>
      </c>
      <c r="DF24" s="9">
        <v>5</v>
      </c>
      <c r="DG24" s="9">
        <v>5.2</v>
      </c>
      <c r="DH24" s="9">
        <v>5.5</v>
      </c>
      <c r="DI24" s="22">
        <v>5.7</v>
      </c>
    </row>
    <row r="25" spans="1:113" ht="14.15" hidden="1" customHeight="1" x14ac:dyDescent="0.25">
      <c r="A25" s="6" t="s">
        <v>0</v>
      </c>
      <c r="B25" s="7">
        <v>3157658</v>
      </c>
      <c r="C25" s="6" t="s">
        <v>44</v>
      </c>
      <c r="D25" s="8" t="str">
        <f>VLOOKUP(B25,Planilha1!$A:$B,2,0)</f>
        <v>Vale do Mucuri</v>
      </c>
      <c r="E25" s="8" t="s">
        <v>20</v>
      </c>
      <c r="F25" s="9" t="s">
        <v>14</v>
      </c>
      <c r="G25" s="9" t="s">
        <v>14</v>
      </c>
      <c r="H25" s="9" t="s">
        <v>14</v>
      </c>
      <c r="I25" s="9" t="s">
        <v>14</v>
      </c>
      <c r="J25" s="9" t="s">
        <v>14</v>
      </c>
      <c r="K25" s="10" t="s">
        <v>14</v>
      </c>
      <c r="L25" s="9" t="s">
        <v>14</v>
      </c>
      <c r="M25" s="9" t="s">
        <v>14</v>
      </c>
      <c r="N25" s="9" t="s">
        <v>14</v>
      </c>
      <c r="O25" s="9" t="s">
        <v>14</v>
      </c>
      <c r="P25" s="9" t="s">
        <v>14</v>
      </c>
      <c r="Q25" s="10" t="s">
        <v>14</v>
      </c>
      <c r="R25" s="9" t="s">
        <v>14</v>
      </c>
      <c r="S25" s="9" t="s">
        <v>14</v>
      </c>
      <c r="T25" s="9" t="s">
        <v>14</v>
      </c>
      <c r="U25" s="9" t="s">
        <v>14</v>
      </c>
      <c r="V25" s="9" t="s">
        <v>14</v>
      </c>
      <c r="W25" s="10" t="s">
        <v>14</v>
      </c>
      <c r="X25" s="9" t="s">
        <v>14</v>
      </c>
      <c r="Y25" s="9" t="s">
        <v>14</v>
      </c>
      <c r="Z25" s="9" t="s">
        <v>14</v>
      </c>
      <c r="AA25" s="9" t="s">
        <v>14</v>
      </c>
      <c r="AB25" s="9" t="s">
        <v>14</v>
      </c>
      <c r="AC25" s="10" t="s">
        <v>14</v>
      </c>
      <c r="AD25" s="9" t="s">
        <v>14</v>
      </c>
      <c r="AE25" s="9" t="s">
        <v>14</v>
      </c>
      <c r="AF25" s="9" t="s">
        <v>14</v>
      </c>
      <c r="AG25" s="9" t="s">
        <v>14</v>
      </c>
      <c r="AH25" s="9" t="s">
        <v>14</v>
      </c>
      <c r="AI25" s="10" t="s">
        <v>14</v>
      </c>
      <c r="AJ25" s="9" t="s">
        <v>14</v>
      </c>
      <c r="AK25" s="9" t="s">
        <v>14</v>
      </c>
      <c r="AL25" s="9" t="s">
        <v>14</v>
      </c>
      <c r="AM25" s="9" t="s">
        <v>14</v>
      </c>
      <c r="AN25" s="9" t="s">
        <v>14</v>
      </c>
      <c r="AO25" s="10" t="s">
        <v>14</v>
      </c>
      <c r="AP25" s="9">
        <v>92.2</v>
      </c>
      <c r="AQ25" s="9">
        <v>100</v>
      </c>
      <c r="AR25" s="9">
        <v>78.900000000000006</v>
      </c>
      <c r="AS25" s="9">
        <v>94.7</v>
      </c>
      <c r="AT25" s="9">
        <v>100</v>
      </c>
      <c r="AU25" s="10">
        <v>0.92519899999999999</v>
      </c>
      <c r="AV25" s="9" t="s">
        <v>14</v>
      </c>
      <c r="AW25" s="9" t="s">
        <v>14</v>
      </c>
      <c r="AX25" s="9" t="s">
        <v>14</v>
      </c>
      <c r="AY25" s="9" t="s">
        <v>14</v>
      </c>
      <c r="AZ25" s="9" t="s">
        <v>14</v>
      </c>
      <c r="BA25" s="10" t="s">
        <v>14</v>
      </c>
      <c r="BB25" s="9" t="s">
        <v>14</v>
      </c>
      <c r="BC25" s="9" t="s">
        <v>14</v>
      </c>
      <c r="BD25" s="9" t="s">
        <v>14</v>
      </c>
      <c r="BE25" s="9" t="s">
        <v>14</v>
      </c>
      <c r="BF25" s="9" t="s">
        <v>14</v>
      </c>
      <c r="BG25" s="10" t="s">
        <v>14</v>
      </c>
      <c r="BH25" s="9">
        <v>95.7</v>
      </c>
      <c r="BI25" s="9">
        <v>100</v>
      </c>
      <c r="BJ25" s="9">
        <v>100</v>
      </c>
      <c r="BK25" s="9">
        <v>87.5</v>
      </c>
      <c r="BL25" s="9">
        <v>92.9</v>
      </c>
      <c r="BM25" s="10">
        <v>0.94802799999999998</v>
      </c>
      <c r="BN25" s="10" t="s">
        <v>14</v>
      </c>
      <c r="BO25" s="10" t="s">
        <v>14</v>
      </c>
      <c r="BP25" s="10" t="s">
        <v>14</v>
      </c>
      <c r="BQ25" s="10" t="s">
        <v>14</v>
      </c>
      <c r="BR25" s="10" t="s">
        <v>14</v>
      </c>
      <c r="BS25" s="10" t="s">
        <v>14</v>
      </c>
      <c r="BT25" s="10" t="s">
        <v>14</v>
      </c>
      <c r="BU25" s="10" t="s">
        <v>14</v>
      </c>
      <c r="BV25" s="10" t="s">
        <v>14</v>
      </c>
      <c r="BW25" s="10" t="s">
        <v>14</v>
      </c>
      <c r="BX25" s="10" t="s">
        <v>14</v>
      </c>
      <c r="BY25" s="10" t="s">
        <v>14</v>
      </c>
      <c r="BZ25" s="10" t="s">
        <v>14</v>
      </c>
      <c r="CA25" s="10" t="s">
        <v>14</v>
      </c>
      <c r="CB25" s="10" t="s">
        <v>14</v>
      </c>
      <c r="CC25" s="10" t="s">
        <v>14</v>
      </c>
      <c r="CD25" s="10" t="s">
        <v>14</v>
      </c>
      <c r="CE25" s="10" t="s">
        <v>14</v>
      </c>
      <c r="CF25" s="10" t="s">
        <v>14</v>
      </c>
      <c r="CG25" s="10" t="s">
        <v>14</v>
      </c>
      <c r="CH25" s="10" t="s">
        <v>14</v>
      </c>
      <c r="CI25" s="10" t="s">
        <v>14</v>
      </c>
      <c r="CJ25" s="10" t="s">
        <v>14</v>
      </c>
      <c r="CK25" s="10" t="s">
        <v>14</v>
      </c>
      <c r="CL25" s="10" t="s">
        <v>14</v>
      </c>
      <c r="CM25" s="10" t="s">
        <v>14</v>
      </c>
      <c r="CN25" s="10" t="s">
        <v>14</v>
      </c>
      <c r="CO25" s="10">
        <v>268.79000000000002</v>
      </c>
      <c r="CP25" s="10">
        <v>278.17</v>
      </c>
      <c r="CQ25" s="10">
        <v>5.782667</v>
      </c>
      <c r="CR25" s="9" t="s">
        <v>14</v>
      </c>
      <c r="CS25" s="9" t="s">
        <v>14</v>
      </c>
      <c r="CT25" s="9" t="s">
        <v>14</v>
      </c>
      <c r="CU25" s="9" t="s">
        <v>14</v>
      </c>
      <c r="CV25" s="9" t="s">
        <v>14</v>
      </c>
      <c r="CW25" s="9" t="s">
        <v>14</v>
      </c>
      <c r="CX25" s="9" t="s">
        <v>14</v>
      </c>
      <c r="CY25" s="9" t="s">
        <v>14</v>
      </c>
      <c r="CZ25" s="9" t="s">
        <v>14</v>
      </c>
      <c r="DA25" s="9">
        <v>5.5</v>
      </c>
      <c r="DB25" s="9" t="s">
        <v>14</v>
      </c>
      <c r="DC25" s="9" t="s">
        <v>14</v>
      </c>
      <c r="DD25" s="9" t="s">
        <v>14</v>
      </c>
      <c r="DE25" s="9" t="s">
        <v>14</v>
      </c>
      <c r="DF25" s="9" t="s">
        <v>14</v>
      </c>
      <c r="DG25" s="9" t="s">
        <v>14</v>
      </c>
      <c r="DH25" s="9" t="s">
        <v>14</v>
      </c>
      <c r="DI25" s="22" t="s">
        <v>14</v>
      </c>
    </row>
    <row r="26" spans="1:113" ht="14.15" customHeight="1" x14ac:dyDescent="0.25">
      <c r="A26" s="6" t="s">
        <v>0</v>
      </c>
      <c r="B26" s="7">
        <v>3166709</v>
      </c>
      <c r="C26" s="6" t="s">
        <v>45</v>
      </c>
      <c r="D26" s="8" t="str">
        <f>VLOOKUP(B26,Planilha1!$A:$B,2,0)</f>
        <v>Vale do Mucuri</v>
      </c>
      <c r="E26" s="8" t="s">
        <v>20</v>
      </c>
      <c r="F26" s="9" t="s">
        <v>14</v>
      </c>
      <c r="G26" s="9" t="s">
        <v>14</v>
      </c>
      <c r="H26" s="9" t="s">
        <v>14</v>
      </c>
      <c r="I26" s="9" t="s">
        <v>14</v>
      </c>
      <c r="J26" s="9" t="s">
        <v>14</v>
      </c>
      <c r="K26" s="10" t="s">
        <v>14</v>
      </c>
      <c r="L26" s="9">
        <v>84.3</v>
      </c>
      <c r="M26" s="9" t="s">
        <v>14</v>
      </c>
      <c r="N26" s="9" t="s">
        <v>14</v>
      </c>
      <c r="O26" s="9" t="s">
        <v>14</v>
      </c>
      <c r="P26" s="9">
        <v>84.3</v>
      </c>
      <c r="Q26" s="10">
        <v>0.84299999999999997</v>
      </c>
      <c r="R26" s="9">
        <v>96.6</v>
      </c>
      <c r="S26" s="9">
        <v>93.8</v>
      </c>
      <c r="T26" s="9">
        <v>100</v>
      </c>
      <c r="U26" s="9" t="s">
        <v>14</v>
      </c>
      <c r="V26" s="9" t="s">
        <v>14</v>
      </c>
      <c r="W26" s="10">
        <v>0.96800799999999998</v>
      </c>
      <c r="X26" s="9">
        <v>97.4</v>
      </c>
      <c r="Y26" s="9">
        <v>88.9</v>
      </c>
      <c r="Z26" s="9">
        <v>100</v>
      </c>
      <c r="AA26" s="9">
        <v>100</v>
      </c>
      <c r="AB26" s="9">
        <v>100</v>
      </c>
      <c r="AC26" s="10">
        <v>0.96972999999999998</v>
      </c>
      <c r="AD26" s="9">
        <v>77.099999999999994</v>
      </c>
      <c r="AE26" s="9">
        <v>100</v>
      </c>
      <c r="AF26" s="9">
        <v>100</v>
      </c>
      <c r="AG26" s="9">
        <v>100</v>
      </c>
      <c r="AH26" s="9">
        <v>52.9</v>
      </c>
      <c r="AI26" s="10">
        <v>0.817936</v>
      </c>
      <c r="AJ26" s="9">
        <v>100</v>
      </c>
      <c r="AK26" s="9">
        <v>100</v>
      </c>
      <c r="AL26" s="9">
        <v>100</v>
      </c>
      <c r="AM26" s="9">
        <v>100</v>
      </c>
      <c r="AN26" s="9">
        <v>100</v>
      </c>
      <c r="AO26" s="10">
        <v>1</v>
      </c>
      <c r="AP26" s="9">
        <v>100</v>
      </c>
      <c r="AQ26" s="9">
        <v>100</v>
      </c>
      <c r="AR26" s="9">
        <v>100</v>
      </c>
      <c r="AS26" s="9">
        <v>100</v>
      </c>
      <c r="AT26" s="9">
        <v>100</v>
      </c>
      <c r="AU26" s="10">
        <v>1</v>
      </c>
      <c r="AV26" s="9" t="s">
        <v>14</v>
      </c>
      <c r="AW26" s="9" t="s">
        <v>14</v>
      </c>
      <c r="AX26" s="9" t="s">
        <v>14</v>
      </c>
      <c r="AY26" s="9" t="s">
        <v>14</v>
      </c>
      <c r="AZ26" s="9" t="s">
        <v>14</v>
      </c>
      <c r="BA26" s="10" t="s">
        <v>14</v>
      </c>
      <c r="BB26" s="9" t="s">
        <v>14</v>
      </c>
      <c r="BC26" s="9" t="s">
        <v>14</v>
      </c>
      <c r="BD26" s="9" t="s">
        <v>14</v>
      </c>
      <c r="BE26" s="9" t="s">
        <v>14</v>
      </c>
      <c r="BF26" s="9" t="s">
        <v>14</v>
      </c>
      <c r="BG26" s="10" t="s">
        <v>14</v>
      </c>
      <c r="BH26" s="9" t="s">
        <v>14</v>
      </c>
      <c r="BI26" s="9" t="s">
        <v>14</v>
      </c>
      <c r="BJ26" s="9" t="s">
        <v>14</v>
      </c>
      <c r="BK26" s="9" t="s">
        <v>14</v>
      </c>
      <c r="BL26" s="9" t="s">
        <v>14</v>
      </c>
      <c r="BM26" s="10" t="s">
        <v>14</v>
      </c>
      <c r="BN26" s="10" t="s">
        <v>14</v>
      </c>
      <c r="BO26" s="10" t="s">
        <v>14</v>
      </c>
      <c r="BP26" s="10" t="s">
        <v>14</v>
      </c>
      <c r="BQ26" s="10">
        <v>212.82</v>
      </c>
      <c r="BR26" s="10">
        <v>196.83</v>
      </c>
      <c r="BS26" s="10">
        <v>3.494167</v>
      </c>
      <c r="BT26" s="10" t="s">
        <v>14</v>
      </c>
      <c r="BU26" s="10" t="s">
        <v>14</v>
      </c>
      <c r="BV26" s="10" t="s">
        <v>14</v>
      </c>
      <c r="BW26" s="10" t="s">
        <v>14</v>
      </c>
      <c r="BX26" s="10" t="s">
        <v>14</v>
      </c>
      <c r="BY26" s="10" t="s">
        <v>14</v>
      </c>
      <c r="BZ26" s="10" t="s">
        <v>14</v>
      </c>
      <c r="CA26" s="10" t="s">
        <v>14</v>
      </c>
      <c r="CB26" s="10" t="s">
        <v>14</v>
      </c>
      <c r="CC26" s="10" t="s">
        <v>14</v>
      </c>
      <c r="CD26" s="10" t="s">
        <v>14</v>
      </c>
      <c r="CE26" s="10" t="s">
        <v>14</v>
      </c>
      <c r="CF26" s="10" t="s">
        <v>14</v>
      </c>
      <c r="CG26" s="10" t="s">
        <v>14</v>
      </c>
      <c r="CH26" s="10" t="s">
        <v>14</v>
      </c>
      <c r="CI26" s="10" t="s">
        <v>14</v>
      </c>
      <c r="CJ26" s="10" t="s">
        <v>14</v>
      </c>
      <c r="CK26" s="10" t="s">
        <v>14</v>
      </c>
      <c r="CL26" s="10" t="s">
        <v>14</v>
      </c>
      <c r="CM26" s="10" t="s">
        <v>14</v>
      </c>
      <c r="CN26" s="10" t="s">
        <v>14</v>
      </c>
      <c r="CO26" s="10" t="s">
        <v>14</v>
      </c>
      <c r="CP26" s="10" t="s">
        <v>14</v>
      </c>
      <c r="CQ26" s="10" t="s">
        <v>14</v>
      </c>
      <c r="CR26" s="9" t="s">
        <v>14</v>
      </c>
      <c r="CS26" s="9">
        <v>2.9</v>
      </c>
      <c r="CT26" s="9" t="s">
        <v>14</v>
      </c>
      <c r="CU26" s="9" t="s">
        <v>14</v>
      </c>
      <c r="CV26" s="9" t="s">
        <v>14</v>
      </c>
      <c r="CW26" s="9" t="s">
        <v>14</v>
      </c>
      <c r="CX26" s="9" t="s">
        <v>14</v>
      </c>
      <c r="CY26" s="9" t="s">
        <v>14</v>
      </c>
      <c r="CZ26" s="9" t="s">
        <v>14</v>
      </c>
      <c r="DA26" s="9" t="s">
        <v>14</v>
      </c>
      <c r="DB26" s="9" t="s">
        <v>14</v>
      </c>
      <c r="DC26" s="9">
        <v>3</v>
      </c>
      <c r="DD26" s="9">
        <v>3.2</v>
      </c>
      <c r="DE26" s="9">
        <v>3.6</v>
      </c>
      <c r="DF26" s="9">
        <v>3.9</v>
      </c>
      <c r="DG26" s="9">
        <v>4.2</v>
      </c>
      <c r="DH26" s="9">
        <v>4.4000000000000004</v>
      </c>
      <c r="DI26" s="22">
        <v>4.7</v>
      </c>
    </row>
    <row r="27" spans="1:113" ht="14.15" customHeight="1" x14ac:dyDescent="0.25">
      <c r="A27" s="6" t="s">
        <v>0</v>
      </c>
      <c r="B27" s="7">
        <v>3168606</v>
      </c>
      <c r="C27" s="6" t="s">
        <v>46</v>
      </c>
      <c r="D27" s="8" t="str">
        <f>VLOOKUP(B27,Planilha1!$A:$B,2,0)</f>
        <v>Vale do Mucuri</v>
      </c>
      <c r="E27" s="8" t="s">
        <v>20</v>
      </c>
      <c r="F27" s="9">
        <v>65.8</v>
      </c>
      <c r="G27" s="9">
        <v>62.5</v>
      </c>
      <c r="H27" s="9">
        <v>65</v>
      </c>
      <c r="I27" s="9">
        <v>66.7</v>
      </c>
      <c r="J27" s="9">
        <v>71.8</v>
      </c>
      <c r="K27" s="10">
        <v>0.66329800000000005</v>
      </c>
      <c r="L27" s="9">
        <v>68.5</v>
      </c>
      <c r="M27" s="9">
        <v>66.400000000000006</v>
      </c>
      <c r="N27" s="9">
        <v>67.7</v>
      </c>
      <c r="O27" s="9">
        <v>72.7</v>
      </c>
      <c r="P27" s="9">
        <v>69</v>
      </c>
      <c r="Q27" s="10">
        <v>0.68871499999999997</v>
      </c>
      <c r="R27" s="9">
        <v>71.7</v>
      </c>
      <c r="S27" s="9">
        <v>67.7</v>
      </c>
      <c r="T27" s="9">
        <v>66.400000000000006</v>
      </c>
      <c r="U27" s="9">
        <v>74.900000000000006</v>
      </c>
      <c r="V27" s="9">
        <v>82.1</v>
      </c>
      <c r="W27" s="10">
        <v>0.72250800000000004</v>
      </c>
      <c r="X27" s="9">
        <v>76.900000000000006</v>
      </c>
      <c r="Y27" s="9">
        <v>71.400000000000006</v>
      </c>
      <c r="Z27" s="9">
        <v>75.8</v>
      </c>
      <c r="AA27" s="9">
        <v>77.5</v>
      </c>
      <c r="AB27" s="9">
        <v>85.1</v>
      </c>
      <c r="AC27" s="10">
        <v>0.77142200000000005</v>
      </c>
      <c r="AD27" s="9">
        <v>76.900000000000006</v>
      </c>
      <c r="AE27" s="9">
        <v>76.099999999999994</v>
      </c>
      <c r="AF27" s="9">
        <v>75.7</v>
      </c>
      <c r="AG27" s="9">
        <v>73.8</v>
      </c>
      <c r="AH27" s="9">
        <v>83</v>
      </c>
      <c r="AI27" s="10">
        <v>0.76998599999999995</v>
      </c>
      <c r="AJ27" s="9">
        <v>74.599999999999994</v>
      </c>
      <c r="AK27" s="9">
        <v>69.5</v>
      </c>
      <c r="AL27" s="9">
        <v>72.599999999999994</v>
      </c>
      <c r="AM27" s="9">
        <v>85.1</v>
      </c>
      <c r="AN27" s="9">
        <v>74.400000000000006</v>
      </c>
      <c r="AO27" s="10">
        <v>0.74970499999999995</v>
      </c>
      <c r="AP27" s="9">
        <v>77.2</v>
      </c>
      <c r="AQ27" s="9">
        <v>75.099999999999994</v>
      </c>
      <c r="AR27" s="9">
        <v>72.3</v>
      </c>
      <c r="AS27" s="9">
        <v>79.599999999999994</v>
      </c>
      <c r="AT27" s="9">
        <v>83.8</v>
      </c>
      <c r="AU27" s="10">
        <v>0.77455099999999999</v>
      </c>
      <c r="AV27" s="9">
        <v>81.400000000000006</v>
      </c>
      <c r="AW27" s="9">
        <v>80.900000000000006</v>
      </c>
      <c r="AX27" s="9">
        <v>77.7</v>
      </c>
      <c r="AY27" s="9">
        <v>84.2</v>
      </c>
      <c r="AZ27" s="9">
        <v>84.6</v>
      </c>
      <c r="BA27" s="10">
        <v>0.81753200000000004</v>
      </c>
      <c r="BB27" s="9">
        <v>90.1</v>
      </c>
      <c r="BC27" s="9">
        <v>85.6</v>
      </c>
      <c r="BD27" s="9">
        <v>88.9</v>
      </c>
      <c r="BE27" s="9">
        <v>91.3</v>
      </c>
      <c r="BF27" s="9">
        <v>96</v>
      </c>
      <c r="BG27" s="10">
        <v>0.90292600000000001</v>
      </c>
      <c r="BH27" s="9">
        <v>85.3</v>
      </c>
      <c r="BI27" s="9">
        <v>83.8</v>
      </c>
      <c r="BJ27" s="9">
        <v>81.5</v>
      </c>
      <c r="BK27" s="9">
        <v>86.2</v>
      </c>
      <c r="BL27" s="9">
        <v>91.7</v>
      </c>
      <c r="BM27" s="10">
        <v>0.85636299999999999</v>
      </c>
      <c r="BN27" s="10">
        <v>271.89999999999998</v>
      </c>
      <c r="BO27" s="10">
        <v>252</v>
      </c>
      <c r="BP27" s="10">
        <v>5.398333</v>
      </c>
      <c r="BQ27" s="10">
        <v>277.7</v>
      </c>
      <c r="BR27" s="10">
        <v>260.47000000000003</v>
      </c>
      <c r="BS27" s="10">
        <v>5.6361670000000004</v>
      </c>
      <c r="BT27" s="10">
        <v>285.98</v>
      </c>
      <c r="BU27" s="10">
        <v>267.20999999999998</v>
      </c>
      <c r="BV27" s="10">
        <v>5.8864999999999998</v>
      </c>
      <c r="BW27" s="10">
        <v>290.39999999999998</v>
      </c>
      <c r="BX27" s="10">
        <v>273.76</v>
      </c>
      <c r="BY27" s="10">
        <v>6.0693330000000003</v>
      </c>
      <c r="BZ27" s="10">
        <v>278.97000000000003</v>
      </c>
      <c r="CA27" s="10">
        <v>267.98</v>
      </c>
      <c r="CB27" s="10">
        <v>5.7824999999999998</v>
      </c>
      <c r="CC27" s="10" t="s">
        <v>162</v>
      </c>
      <c r="CD27" s="10" t="s">
        <v>163</v>
      </c>
      <c r="CE27" s="10">
        <v>6.0235000000000003</v>
      </c>
      <c r="CF27" s="10">
        <v>288.91000000000003</v>
      </c>
      <c r="CG27" s="10">
        <v>286.18</v>
      </c>
      <c r="CH27" s="10">
        <v>6.2515000000000001</v>
      </c>
      <c r="CI27" s="10">
        <v>291.18</v>
      </c>
      <c r="CJ27" s="10">
        <v>285.04000000000002</v>
      </c>
      <c r="CK27" s="10">
        <v>6.2703329999999999</v>
      </c>
      <c r="CL27" s="10">
        <v>269.42</v>
      </c>
      <c r="CM27" s="10">
        <v>270.82</v>
      </c>
      <c r="CN27" s="10">
        <v>5.6706669999999999</v>
      </c>
      <c r="CO27" s="10">
        <v>280.13</v>
      </c>
      <c r="CP27" s="10">
        <v>273.75</v>
      </c>
      <c r="CQ27" s="10">
        <v>5.8979999999999997</v>
      </c>
      <c r="CR27" s="9">
        <v>3.6</v>
      </c>
      <c r="CS27" s="9">
        <v>3.9</v>
      </c>
      <c r="CT27" s="9">
        <v>4.3</v>
      </c>
      <c r="CU27" s="9">
        <v>4.7</v>
      </c>
      <c r="CV27" s="9">
        <v>4.5</v>
      </c>
      <c r="CW27" s="9">
        <v>4.5</v>
      </c>
      <c r="CX27" s="9">
        <v>4.8</v>
      </c>
      <c r="CY27" s="9">
        <v>5.0999999999999996</v>
      </c>
      <c r="CZ27" s="9">
        <v>5.0999999999999996</v>
      </c>
      <c r="DA27" s="9">
        <v>5.0999999999999996</v>
      </c>
      <c r="DB27" s="9">
        <v>3.6</v>
      </c>
      <c r="DC27" s="9">
        <v>3.8</v>
      </c>
      <c r="DD27" s="9">
        <v>4</v>
      </c>
      <c r="DE27" s="9">
        <v>4.4000000000000004</v>
      </c>
      <c r="DF27" s="9">
        <v>4.8</v>
      </c>
      <c r="DG27" s="9">
        <v>5.0999999999999996</v>
      </c>
      <c r="DH27" s="9">
        <v>5.3</v>
      </c>
      <c r="DI27" s="22">
        <v>5.6</v>
      </c>
    </row>
    <row r="28" spans="1:113" ht="14.15" hidden="1" customHeight="1" x14ac:dyDescent="0.25">
      <c r="A28" s="6" t="s">
        <v>0</v>
      </c>
      <c r="B28" s="7">
        <v>3170305</v>
      </c>
      <c r="C28" s="6" t="s">
        <v>47</v>
      </c>
      <c r="D28" s="8" t="str">
        <f>VLOOKUP(B28,Planilha1!$A:$B,2,0)</f>
        <v>Vale do Mucuri</v>
      </c>
      <c r="E28" s="8" t="s">
        <v>20</v>
      </c>
      <c r="F28" s="9" t="s">
        <v>14</v>
      </c>
      <c r="G28" s="9" t="s">
        <v>14</v>
      </c>
      <c r="H28" s="9" t="s">
        <v>14</v>
      </c>
      <c r="I28" s="9" t="s">
        <v>14</v>
      </c>
      <c r="J28" s="9" t="s">
        <v>14</v>
      </c>
      <c r="K28" s="10" t="s">
        <v>14</v>
      </c>
      <c r="L28" s="9" t="s">
        <v>14</v>
      </c>
      <c r="M28" s="9" t="s">
        <v>14</v>
      </c>
      <c r="N28" s="9" t="s">
        <v>14</v>
      </c>
      <c r="O28" s="9" t="s">
        <v>14</v>
      </c>
      <c r="P28" s="9" t="s">
        <v>14</v>
      </c>
      <c r="Q28" s="10" t="s">
        <v>14</v>
      </c>
      <c r="R28" s="9" t="s">
        <v>14</v>
      </c>
      <c r="S28" s="9" t="s">
        <v>14</v>
      </c>
      <c r="T28" s="9" t="s">
        <v>14</v>
      </c>
      <c r="U28" s="9" t="s">
        <v>14</v>
      </c>
      <c r="V28" s="9" t="s">
        <v>14</v>
      </c>
      <c r="W28" s="10" t="s">
        <v>14</v>
      </c>
      <c r="X28" s="9" t="s">
        <v>14</v>
      </c>
      <c r="Y28" s="9" t="s">
        <v>14</v>
      </c>
      <c r="Z28" s="9" t="s">
        <v>14</v>
      </c>
      <c r="AA28" s="9" t="s">
        <v>14</v>
      </c>
      <c r="AB28" s="9" t="s">
        <v>14</v>
      </c>
      <c r="AC28" s="10" t="s">
        <v>14</v>
      </c>
      <c r="AD28" s="9" t="s">
        <v>14</v>
      </c>
      <c r="AE28" s="9" t="s">
        <v>14</v>
      </c>
      <c r="AF28" s="9" t="s">
        <v>14</v>
      </c>
      <c r="AG28" s="9" t="s">
        <v>14</v>
      </c>
      <c r="AH28" s="9" t="s">
        <v>14</v>
      </c>
      <c r="AI28" s="10" t="s">
        <v>14</v>
      </c>
      <c r="AJ28" s="9" t="s">
        <v>14</v>
      </c>
      <c r="AK28" s="9" t="s">
        <v>14</v>
      </c>
      <c r="AL28" s="9" t="s">
        <v>14</v>
      </c>
      <c r="AM28" s="9" t="s">
        <v>14</v>
      </c>
      <c r="AN28" s="9" t="s">
        <v>14</v>
      </c>
      <c r="AO28" s="10" t="s">
        <v>14</v>
      </c>
      <c r="AP28" s="9">
        <v>84.5</v>
      </c>
      <c r="AQ28" s="9">
        <v>72</v>
      </c>
      <c r="AR28" s="9">
        <v>78.3</v>
      </c>
      <c r="AS28" s="9">
        <v>94.1</v>
      </c>
      <c r="AT28" s="9">
        <v>100</v>
      </c>
      <c r="AU28" s="10">
        <v>0.84589400000000003</v>
      </c>
      <c r="AV28" s="9" t="s">
        <v>14</v>
      </c>
      <c r="AW28" s="9" t="s">
        <v>14</v>
      </c>
      <c r="AX28" s="9" t="s">
        <v>14</v>
      </c>
      <c r="AY28" s="9" t="s">
        <v>14</v>
      </c>
      <c r="AZ28" s="9" t="s">
        <v>14</v>
      </c>
      <c r="BA28" s="10" t="s">
        <v>14</v>
      </c>
      <c r="BB28" s="9" t="s">
        <v>14</v>
      </c>
      <c r="BC28" s="9" t="s">
        <v>14</v>
      </c>
      <c r="BD28" s="9" t="s">
        <v>14</v>
      </c>
      <c r="BE28" s="9" t="s">
        <v>14</v>
      </c>
      <c r="BF28" s="9" t="s">
        <v>14</v>
      </c>
      <c r="BG28" s="10" t="s">
        <v>14</v>
      </c>
      <c r="BH28" s="9" t="s">
        <v>14</v>
      </c>
      <c r="BI28" s="9" t="s">
        <v>14</v>
      </c>
      <c r="BJ28" s="9" t="s">
        <v>14</v>
      </c>
      <c r="BK28" s="9" t="s">
        <v>14</v>
      </c>
      <c r="BL28" s="9" t="s">
        <v>14</v>
      </c>
      <c r="BM28" s="10" t="s">
        <v>14</v>
      </c>
      <c r="BN28" s="10" t="s">
        <v>14</v>
      </c>
      <c r="BO28" s="10" t="s">
        <v>14</v>
      </c>
      <c r="BP28" s="10" t="s">
        <v>14</v>
      </c>
      <c r="BQ28" s="10" t="s">
        <v>14</v>
      </c>
      <c r="BR28" s="10" t="s">
        <v>14</v>
      </c>
      <c r="BS28" s="10" t="s">
        <v>14</v>
      </c>
      <c r="BT28" s="10" t="s">
        <v>14</v>
      </c>
      <c r="BU28" s="10" t="s">
        <v>14</v>
      </c>
      <c r="BV28" s="10" t="s">
        <v>14</v>
      </c>
      <c r="BW28" s="10" t="s">
        <v>14</v>
      </c>
      <c r="BX28" s="10" t="s">
        <v>14</v>
      </c>
      <c r="BY28" s="10" t="s">
        <v>14</v>
      </c>
      <c r="BZ28" s="10" t="s">
        <v>14</v>
      </c>
      <c r="CA28" s="10" t="s">
        <v>14</v>
      </c>
      <c r="CB28" s="10" t="s">
        <v>14</v>
      </c>
      <c r="CC28" s="10" t="s">
        <v>14</v>
      </c>
      <c r="CD28" s="10" t="s">
        <v>14</v>
      </c>
      <c r="CE28" s="10" t="s">
        <v>14</v>
      </c>
      <c r="CF28" s="10" t="s">
        <v>14</v>
      </c>
      <c r="CG28" s="10" t="s">
        <v>14</v>
      </c>
      <c r="CH28" s="10" t="s">
        <v>14</v>
      </c>
      <c r="CI28" s="10" t="s">
        <v>14</v>
      </c>
      <c r="CJ28" s="10" t="s">
        <v>14</v>
      </c>
      <c r="CK28" s="10" t="s">
        <v>14</v>
      </c>
      <c r="CL28" s="10" t="s">
        <v>14</v>
      </c>
      <c r="CM28" s="10" t="s">
        <v>14</v>
      </c>
      <c r="CN28" s="10" t="s">
        <v>14</v>
      </c>
      <c r="CO28" s="10" t="s">
        <v>14</v>
      </c>
      <c r="CP28" s="10" t="s">
        <v>14</v>
      </c>
      <c r="CQ28" s="10" t="s">
        <v>14</v>
      </c>
      <c r="CR28" s="9" t="s">
        <v>14</v>
      </c>
      <c r="CS28" s="9" t="s">
        <v>14</v>
      </c>
      <c r="CT28" s="9" t="s">
        <v>14</v>
      </c>
      <c r="CU28" s="9" t="s">
        <v>14</v>
      </c>
      <c r="CV28" s="9" t="s">
        <v>14</v>
      </c>
      <c r="CW28" s="9" t="s">
        <v>14</v>
      </c>
      <c r="CX28" s="9" t="s">
        <v>14</v>
      </c>
      <c r="CY28" s="9" t="s">
        <v>14</v>
      </c>
      <c r="CZ28" s="9" t="s">
        <v>14</v>
      </c>
      <c r="DA28" s="9" t="s">
        <v>14</v>
      </c>
      <c r="DB28" s="9" t="s">
        <v>14</v>
      </c>
      <c r="DC28" s="9" t="s">
        <v>14</v>
      </c>
      <c r="DD28" s="9" t="s">
        <v>14</v>
      </c>
      <c r="DE28" s="9" t="s">
        <v>14</v>
      </c>
      <c r="DF28" s="9" t="s">
        <v>14</v>
      </c>
      <c r="DG28" s="9" t="s">
        <v>14</v>
      </c>
      <c r="DH28" s="9" t="s">
        <v>14</v>
      </c>
      <c r="DI28" s="22" t="s">
        <v>14</v>
      </c>
    </row>
    <row r="29" spans="1:113" ht="4.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</row>
    <row r="30" spans="1:113" x14ac:dyDescent="0.25">
      <c r="A30" s="12" t="s">
        <v>12</v>
      </c>
    </row>
    <row r="31" spans="1:113" ht="12" customHeight="1" x14ac:dyDescent="0.25">
      <c r="A31" s="51" t="s">
        <v>187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26"/>
      <c r="Q31" s="26"/>
      <c r="R31" s="26"/>
    </row>
    <row r="32" spans="1:113" ht="12" customHeight="1" x14ac:dyDescent="0.25">
      <c r="A32" s="51" t="s">
        <v>188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  <row r="33" spans="1:24" ht="12" customHeight="1" x14ac:dyDescent="0.25">
      <c r="A33" s="51" t="s">
        <v>189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24" ht="12" customHeight="1" x14ac:dyDescent="0.25">
      <c r="A34" s="51" t="s">
        <v>190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 spans="1:24" ht="12" customHeight="1" x14ac:dyDescent="0.25">
      <c r="A35" s="51" t="s">
        <v>191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 spans="1:24" ht="12" customHeight="1" x14ac:dyDescent="0.25">
      <c r="A36" s="48" t="s">
        <v>192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2" customHeight="1" x14ac:dyDescent="0.25">
      <c r="A37" s="48" t="s">
        <v>193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2" customHeight="1" x14ac:dyDescent="0.25">
      <c r="A38" s="48" t="s">
        <v>194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" customHeight="1" x14ac:dyDescent="0.25">
      <c r="A39" s="48" t="s">
        <v>195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2" customHeight="1" x14ac:dyDescent="0.25">
      <c r="A40" s="48" t="s">
        <v>196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2" customHeight="1" x14ac:dyDescent="0.25">
      <c r="A41" s="48" t="s">
        <v>197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2" customHeight="1" x14ac:dyDescent="0.25">
      <c r="A42" s="48" t="s">
        <v>198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2" customHeight="1" x14ac:dyDescent="0.25">
      <c r="A43" s="48" t="s">
        <v>199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2" customHeight="1" x14ac:dyDescent="0.25">
      <c r="A44" s="48" t="s">
        <v>200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12"/>
      <c r="Q44" s="12"/>
      <c r="R44" s="12"/>
      <c r="S44" s="12"/>
      <c r="T44" s="12"/>
      <c r="U44" s="12"/>
      <c r="V44" s="12"/>
      <c r="W44" s="12"/>
      <c r="X44" s="12"/>
    </row>
  </sheetData>
  <autoFilter ref="A10:DI28" xr:uid="{00000000-0001-0000-0000-000000000000}">
    <filterColumn colId="2">
      <filters>
        <filter val="Ataléia"/>
        <filter val="Bertópolis"/>
        <filter val="Carlos Chagas"/>
        <filter val="Catuji"/>
        <filter val="Crisólita"/>
        <filter val="Franciscópolis"/>
        <filter val="Itaipé"/>
        <filter val="Malacacheta"/>
        <filter val="Nanuque"/>
        <filter val="Poté"/>
        <filter val="Serra dos Aimorés"/>
        <filter val="Teófilo Otoni"/>
      </filters>
    </filterColumn>
  </autoFilter>
  <sortState xmlns:xlrd2="http://schemas.microsoft.com/office/spreadsheetml/2017/richdata2" ref="A11:BP28">
    <sortCondition ref="C11:C28"/>
  </sortState>
  <mergeCells count="82">
    <mergeCell ref="A4:U4"/>
    <mergeCell ref="A42:O42"/>
    <mergeCell ref="A43:O43"/>
    <mergeCell ref="A44:O44"/>
    <mergeCell ref="A5:U6"/>
    <mergeCell ref="A37:O37"/>
    <mergeCell ref="A38:O38"/>
    <mergeCell ref="A39:O39"/>
    <mergeCell ref="A40:O40"/>
    <mergeCell ref="A41:O41"/>
    <mergeCell ref="A32:O32"/>
    <mergeCell ref="A33:O33"/>
    <mergeCell ref="A34:O34"/>
    <mergeCell ref="A35:O35"/>
    <mergeCell ref="A36:O36"/>
    <mergeCell ref="A31:O31"/>
    <mergeCell ref="DA7:DA9"/>
    <mergeCell ref="CY7:CY9"/>
    <mergeCell ref="CF7:CH7"/>
    <mergeCell ref="CF8:CF9"/>
    <mergeCell ref="CG8:CG9"/>
    <mergeCell ref="CH8:CH9"/>
    <mergeCell ref="CX7:CX9"/>
    <mergeCell ref="CI7:CK7"/>
    <mergeCell ref="CI8:CI9"/>
    <mergeCell ref="CJ8:CJ9"/>
    <mergeCell ref="CK8:CK9"/>
    <mergeCell ref="CO7:CQ7"/>
    <mergeCell ref="CO8:CO9"/>
    <mergeCell ref="CP8:CP9"/>
    <mergeCell ref="CQ8:CQ9"/>
    <mergeCell ref="CZ7:CZ9"/>
    <mergeCell ref="CL7:CN7"/>
    <mergeCell ref="CL8:CL9"/>
    <mergeCell ref="CM8:CM9"/>
    <mergeCell ref="CN8:CN9"/>
    <mergeCell ref="CW7:CW9"/>
    <mergeCell ref="L7:Q8"/>
    <mergeCell ref="R7:W8"/>
    <mergeCell ref="X7:AC8"/>
    <mergeCell ref="BN7:BP7"/>
    <mergeCell ref="BQ7:BS7"/>
    <mergeCell ref="A7:A9"/>
    <mergeCell ref="B7:B9"/>
    <mergeCell ref="C7:C9"/>
    <mergeCell ref="E7:E9"/>
    <mergeCell ref="F7:K8"/>
    <mergeCell ref="D7:D9"/>
    <mergeCell ref="DB7:DI8"/>
    <mergeCell ref="BN8:BN9"/>
    <mergeCell ref="BO8:BO9"/>
    <mergeCell ref="BP8:BP9"/>
    <mergeCell ref="BQ8:BQ9"/>
    <mergeCell ref="BR8:BR9"/>
    <mergeCell ref="CV7:CV9"/>
    <mergeCell ref="CT7:CT9"/>
    <mergeCell ref="CU7:CU9"/>
    <mergeCell ref="BY8:BY9"/>
    <mergeCell ref="BT7:BV7"/>
    <mergeCell ref="CR7:CR9"/>
    <mergeCell ref="CS7:CS9"/>
    <mergeCell ref="CC7:CE7"/>
    <mergeCell ref="CC8:CC9"/>
    <mergeCell ref="CD8:CD9"/>
    <mergeCell ref="CE8:CE9"/>
    <mergeCell ref="BU8:BU9"/>
    <mergeCell ref="BV8:BV9"/>
    <mergeCell ref="BZ7:CB7"/>
    <mergeCell ref="BZ8:BZ9"/>
    <mergeCell ref="CA8:CA9"/>
    <mergeCell ref="BW7:BY7"/>
    <mergeCell ref="BW8:BW9"/>
    <mergeCell ref="BX8:BX9"/>
    <mergeCell ref="CB8:CB9"/>
    <mergeCell ref="BT8:BT9"/>
    <mergeCell ref="AD7:AI8"/>
    <mergeCell ref="BB7:BG8"/>
    <mergeCell ref="AJ7:AO8"/>
    <mergeCell ref="AP7:AU8"/>
    <mergeCell ref="AV7:BA8"/>
    <mergeCell ref="BH7:BM8"/>
    <mergeCell ref="BS8:BS9"/>
  </mergeCells>
  <conditionalFormatting sqref="A11:DI28">
    <cfRule type="expression" dxfId="2" priority="2">
      <formula>+$E11="Pública"</formula>
    </cfRule>
  </conditionalFormatting>
  <conditionalFormatting sqref="CR11:DA28">
    <cfRule type="cellIs" dxfId="0" priority="1" operator="equal">
      <formula>"-"</formula>
    </cfRule>
  </conditionalFormatting>
  <pageMargins left="0.78740157499999996" right="0.78740157499999996" top="0.984251969" bottom="0.984251969" header="0.5" footer="0.5"/>
  <pageSetup paperSize="9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1A9A-C164-4A3E-AFE0-E4CEE6867EB7}">
  <dimension ref="A1:B24"/>
  <sheetViews>
    <sheetView workbookViewId="0">
      <selection activeCell="B1" sqref="B1"/>
    </sheetView>
  </sheetViews>
  <sheetFormatPr defaultRowHeight="12.5" x14ac:dyDescent="0.25"/>
  <cols>
    <col min="1" max="1" width="23.1796875" bestFit="1" customWidth="1"/>
  </cols>
  <sheetData>
    <row r="1" spans="1:2" x14ac:dyDescent="0.25">
      <c r="A1" s="29" t="s">
        <v>208</v>
      </c>
      <c r="B1" t="s">
        <v>207</v>
      </c>
    </row>
    <row r="2" spans="1:2" x14ac:dyDescent="0.25">
      <c r="A2" s="29">
        <v>3100906</v>
      </c>
      <c r="B2" t="s">
        <v>209</v>
      </c>
    </row>
    <row r="3" spans="1:2" x14ac:dyDescent="0.25">
      <c r="A3" s="29">
        <v>3104700</v>
      </c>
      <c r="B3" t="s">
        <v>209</v>
      </c>
    </row>
    <row r="4" spans="1:2" x14ac:dyDescent="0.25">
      <c r="A4" s="29">
        <v>3106606</v>
      </c>
      <c r="B4" t="s">
        <v>209</v>
      </c>
    </row>
    <row r="5" spans="1:2" x14ac:dyDescent="0.25">
      <c r="A5" s="29">
        <v>3113701</v>
      </c>
      <c r="B5" t="s">
        <v>209</v>
      </c>
    </row>
    <row r="6" spans="1:2" x14ac:dyDescent="0.25">
      <c r="A6" s="29">
        <v>3115458</v>
      </c>
      <c r="B6" t="s">
        <v>209</v>
      </c>
    </row>
    <row r="7" spans="1:2" x14ac:dyDescent="0.25">
      <c r="A7" s="29">
        <v>3120151</v>
      </c>
      <c r="B7" t="s">
        <v>209</v>
      </c>
    </row>
    <row r="8" spans="1:2" x14ac:dyDescent="0.25">
      <c r="A8" s="29">
        <v>3126752</v>
      </c>
      <c r="B8" t="s">
        <v>209</v>
      </c>
    </row>
    <row r="9" spans="1:2" x14ac:dyDescent="0.25">
      <c r="A9" s="29">
        <v>3126802</v>
      </c>
      <c r="B9" t="s">
        <v>209</v>
      </c>
    </row>
    <row r="10" spans="1:2" x14ac:dyDescent="0.25">
      <c r="A10" s="29">
        <v>3127057</v>
      </c>
      <c r="B10" t="s">
        <v>209</v>
      </c>
    </row>
    <row r="11" spans="1:2" x14ac:dyDescent="0.25">
      <c r="A11" s="29">
        <v>3132305</v>
      </c>
      <c r="B11" t="s">
        <v>209</v>
      </c>
    </row>
    <row r="12" spans="1:2" x14ac:dyDescent="0.25">
      <c r="A12" s="29">
        <v>3137007</v>
      </c>
      <c r="B12" t="s">
        <v>209</v>
      </c>
    </row>
    <row r="13" spans="1:2" x14ac:dyDescent="0.25">
      <c r="A13" s="29">
        <v>3138906</v>
      </c>
      <c r="B13" t="s">
        <v>209</v>
      </c>
    </row>
    <row r="14" spans="1:2" x14ac:dyDescent="0.25">
      <c r="A14" s="29">
        <v>3139201</v>
      </c>
      <c r="B14" t="s">
        <v>209</v>
      </c>
    </row>
    <row r="15" spans="1:2" x14ac:dyDescent="0.25">
      <c r="A15" s="29">
        <v>3144300</v>
      </c>
      <c r="B15" t="s">
        <v>209</v>
      </c>
    </row>
    <row r="16" spans="1:2" x14ac:dyDescent="0.25">
      <c r="A16" s="29">
        <v>3145356</v>
      </c>
      <c r="B16" t="s">
        <v>209</v>
      </c>
    </row>
    <row r="17" spans="1:2" x14ac:dyDescent="0.25">
      <c r="A17" s="29">
        <v>3146206</v>
      </c>
      <c r="B17" t="s">
        <v>209</v>
      </c>
    </row>
    <row r="18" spans="1:2" x14ac:dyDescent="0.25">
      <c r="A18" s="29">
        <v>3148509</v>
      </c>
      <c r="B18" t="s">
        <v>209</v>
      </c>
    </row>
    <row r="19" spans="1:2" x14ac:dyDescent="0.25">
      <c r="A19" s="29">
        <v>3152402</v>
      </c>
      <c r="B19" t="s">
        <v>209</v>
      </c>
    </row>
    <row r="20" spans="1:2" x14ac:dyDescent="0.25">
      <c r="A20" s="29">
        <v>3157658</v>
      </c>
      <c r="B20" t="s">
        <v>209</v>
      </c>
    </row>
    <row r="21" spans="1:2" x14ac:dyDescent="0.25">
      <c r="A21" s="29">
        <v>3166709</v>
      </c>
      <c r="B21" t="s">
        <v>209</v>
      </c>
    </row>
    <row r="22" spans="1:2" x14ac:dyDescent="0.25">
      <c r="A22" s="29">
        <v>3165552</v>
      </c>
      <c r="B22" t="s">
        <v>209</v>
      </c>
    </row>
    <row r="23" spans="1:2" x14ac:dyDescent="0.25">
      <c r="A23" s="29">
        <v>3168606</v>
      </c>
      <c r="B23" t="s">
        <v>209</v>
      </c>
    </row>
    <row r="24" spans="1:2" x14ac:dyDescent="0.25">
      <c r="A24" s="29">
        <v>3170305</v>
      </c>
      <c r="B24" t="s">
        <v>209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IDEB_AF_MUNICÍPIOS</vt:lpstr>
      <vt:lpstr>Planilha1</vt:lpstr>
      <vt:lpstr>IDEB09_Fim_Mun8a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Anos Finais - Municípios</dc:title>
  <dc:subject>IDEB</dc:subject>
  <dc:creator>INEP/DEED/CGCQTI/CEICQEB</dc:creator>
  <cp:keywords>INEP/DEED/CGCQTI</cp:keywords>
  <cp:lastModifiedBy>Rafael Abreu</cp:lastModifiedBy>
  <dcterms:created xsi:type="dcterms:W3CDTF">2011-07-04T20:25:32Z</dcterms:created>
  <dcterms:modified xsi:type="dcterms:W3CDTF">2025-07-18T14:20:33Z</dcterms:modified>
  <cp:category>Indicadores Educacionais</cp:category>
</cp:coreProperties>
</file>