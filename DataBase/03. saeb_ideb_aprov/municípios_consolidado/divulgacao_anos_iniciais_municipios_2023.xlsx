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3. saeb_ideb_aprov/municípios_consolidado/"/>
    </mc:Choice>
  </mc:AlternateContent>
  <xr:revisionPtr revIDLastSave="152" documentId="13_ncr:1_{35CC9DF3-1A62-4CBD-BB33-03376927A753}" xr6:coauthVersionLast="47" xr6:coauthVersionMax="47" xr10:uidLastSave="{5AF0FABD-E5B4-451B-92B4-EB1D732EC024}"/>
  <bookViews>
    <workbookView xWindow="-110" yWindow="-110" windowWidth="19420" windowHeight="10300" xr2:uid="{00000000-000D-0000-FFFF-FFFF00000000}"/>
  </bookViews>
  <sheets>
    <sheet name="IDEB_AI_MUNICÍPIOS" sheetId="2" r:id="rId1"/>
    <sheet name="Planilha1" sheetId="3" r:id="rId2"/>
  </sheets>
  <definedNames>
    <definedName name="_xlnm._FilterDatabase" localSheetId="0" hidden="1">IDEB_AI_MUNICÍPIOS!$A$10:$DS$31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31" i="2" l="1"/>
  <c r="DU30" i="2"/>
  <c r="DU29" i="2"/>
  <c r="DU28" i="2"/>
  <c r="DU27" i="2"/>
  <c r="DU26" i="2"/>
  <c r="DU25" i="2"/>
  <c r="DU24" i="2"/>
  <c r="DU23" i="2"/>
  <c r="DU22" i="2"/>
  <c r="DU21" i="2"/>
  <c r="DU20" i="2"/>
  <c r="DU19" i="2"/>
  <c r="DU18" i="2"/>
  <c r="DU17" i="2"/>
  <c r="DU16" i="2"/>
  <c r="DU15" i="2"/>
  <c r="DU14" i="2"/>
  <c r="DU13" i="2"/>
  <c r="DU12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</calcChain>
</file>

<file path=xl/sharedStrings.xml><?xml version="1.0" encoding="utf-8"?>
<sst xmlns="http://schemas.openxmlformats.org/spreadsheetml/2006/main" count="763" uniqueCount="251">
  <si>
    <t>Municipal</t>
  </si>
  <si>
    <t>MG</t>
  </si>
  <si>
    <t>Sigla da UF</t>
  </si>
  <si>
    <t>Código do Município</t>
  </si>
  <si>
    <t>Nome do Município</t>
  </si>
  <si>
    <t>Rede</t>
  </si>
  <si>
    <t>Taxa de Aprovação - 2005</t>
  </si>
  <si>
    <t>Taxa de Aprovação - 2007</t>
  </si>
  <si>
    <t>Taxa de Aprovação - 2009</t>
  </si>
  <si>
    <t>Taxa de Aprovação - 2011</t>
  </si>
  <si>
    <t>IDEB
2005
(N x P)</t>
  </si>
  <si>
    <t>IDEB
2007
(N x P)</t>
  </si>
  <si>
    <t>IDEB
2009
(N x P)</t>
  </si>
  <si>
    <t>IDEB
2011
(N x P)</t>
  </si>
  <si>
    <t>Matemática</t>
  </si>
  <si>
    <t>Língua Portuguesa</t>
  </si>
  <si>
    <t>Nota Média Padronizada (N)</t>
  </si>
  <si>
    <t>1º ao 5º ano</t>
  </si>
  <si>
    <t>1º</t>
  </si>
  <si>
    <t>2º</t>
  </si>
  <si>
    <t>3º</t>
  </si>
  <si>
    <t>4º</t>
  </si>
  <si>
    <t>5º</t>
  </si>
  <si>
    <t>Indicador de Rendimento (P)</t>
  </si>
  <si>
    <t>Taxa de Aprovação - 2013</t>
  </si>
  <si>
    <t>IDEB
2013
(N x P)</t>
  </si>
  <si>
    <t>ND</t>
  </si>
  <si>
    <t>-</t>
  </si>
  <si>
    <t>Fonte: MEC/Inep</t>
  </si>
  <si>
    <t>Taxa de Aprovação - 2015</t>
  </si>
  <si>
    <t>IDEB
2015
(N x P)</t>
  </si>
  <si>
    <t>Águas Formosas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</si>
  <si>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</si>
  <si>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</si>
  <si>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</si>
  <si>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</si>
  <si>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</si>
  <si>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</si>
  <si>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</si>
  <si>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</si>
  <si>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</si>
  <si>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Machacalis</t>
  </si>
  <si>
    <t>Malacacheta</t>
  </si>
  <si>
    <t>Nanuque</t>
  </si>
  <si>
    <t>Novo Oriente de Minas</t>
  </si>
  <si>
    <t>Ouro Verde de Minas</t>
  </si>
  <si>
    <t>Pavão</t>
  </si>
  <si>
    <t>Poté</t>
  </si>
  <si>
    <t>Santa Helena de Minas</t>
  </si>
  <si>
    <t>Serra dos Aimorés</t>
  </si>
  <si>
    <t>Teófilo Otoni</t>
  </si>
  <si>
    <t>Umburatiba</t>
  </si>
  <si>
    <t>Taxa de Aprovação - 2017</t>
  </si>
  <si>
    <t>IDEB
2017
(N x P)</t>
  </si>
  <si>
    <t>SG_UF</t>
  </si>
  <si>
    <t>NO_MUNICIPIO</t>
  </si>
  <si>
    <t>REDE</t>
  </si>
  <si>
    <t>Nota SAEB - 2005</t>
  </si>
  <si>
    <t>Nota SAEB - 2007</t>
  </si>
  <si>
    <t>Nota SAEB - 2009</t>
  </si>
  <si>
    <t>Nota SAEB - 2011</t>
  </si>
  <si>
    <t>Nota SAEB - 2013</t>
  </si>
  <si>
    <t>Nota SAEB - 2015</t>
  </si>
  <si>
    <t>Nota SAEB - 2017</t>
  </si>
  <si>
    <t>Ministério da Educação</t>
  </si>
  <si>
    <t>Instituto Nacional de Estudos e Pesquisas Educacionais Anísio Teixeira</t>
  </si>
  <si>
    <t>Taxa de Aprovação - 2019</t>
  </si>
  <si>
    <t>Nota SAEB - 2019</t>
  </si>
  <si>
    <t>IDEB
2019
(N x P)</t>
  </si>
  <si>
    <t>CO_MUNICIPIO</t>
  </si>
  <si>
    <t>VL_APROVACAO_2005_SI_4</t>
  </si>
  <si>
    <t>VL_APROVACAO_2005_SI</t>
  </si>
  <si>
    <t>VL_APROVACAO_2005_1</t>
  </si>
  <si>
    <t>VL_APROVACAO_2005_2</t>
  </si>
  <si>
    <t>VL_APROVACAO_2005_3</t>
  </si>
  <si>
    <t>VL_APROVACAO_2005_4</t>
  </si>
  <si>
    <t>VL_INDICADOR_REND_2005</t>
  </si>
  <si>
    <t>VL_APROVACAO_2007_SI_4</t>
  </si>
  <si>
    <t>VL_APROVACAO_2007_SI</t>
  </si>
  <si>
    <t>VL_APROVACAO_2007_1</t>
  </si>
  <si>
    <t>VL_APROVACAO_2007_2</t>
  </si>
  <si>
    <t>VL_APROVACAO_2007_3</t>
  </si>
  <si>
    <t>VL_APROVACAO_2007_4</t>
  </si>
  <si>
    <t>VL_INDICADOR_REND_2007</t>
  </si>
  <si>
    <t>VL_APROVACAO_2009_SI_4</t>
  </si>
  <si>
    <t>VL_APROVACAO_2009_SI</t>
  </si>
  <si>
    <t>VL_APROVACAO_2009_1</t>
  </si>
  <si>
    <t>VL_APROVACAO_2009_2</t>
  </si>
  <si>
    <t>VL_APROVACAO_2009_3</t>
  </si>
  <si>
    <t>VL_APROVACAO_2009_4</t>
  </si>
  <si>
    <t>VL_INDICADOR_REND_2009</t>
  </si>
  <si>
    <t>VL_APROVACAO_2011_SI_4</t>
  </si>
  <si>
    <t>VL_APROVACAO_2011_SI</t>
  </si>
  <si>
    <t>VL_APROVACAO_2011_1</t>
  </si>
  <si>
    <t>VL_APROVACAO_2011_2</t>
  </si>
  <si>
    <t>VL_APROVACAO_2011_3</t>
  </si>
  <si>
    <t>VL_APROVACAO_2011_4</t>
  </si>
  <si>
    <t>VL_INDICADOR_REND_2011</t>
  </si>
  <si>
    <t>VL_APROVACAO_2013_SI_4</t>
  </si>
  <si>
    <t>VL_APROVACAO_2013_SI</t>
  </si>
  <si>
    <t>VL_APROVACAO_2013_1</t>
  </si>
  <si>
    <t>VL_APROVACAO_2013_2</t>
  </si>
  <si>
    <t>VL_APROVACAO_2013_3</t>
  </si>
  <si>
    <t>VL_APROVACAO_2013_4</t>
  </si>
  <si>
    <t>VL_INDICADOR_REND_2013</t>
  </si>
  <si>
    <t>VL_APROVACAO_2015_SI_4</t>
  </si>
  <si>
    <t>VL_APROVACAO_2015_SI</t>
  </si>
  <si>
    <t>VL_APROVACAO_2015_1</t>
  </si>
  <si>
    <t>VL_APROVACAO_2015_2</t>
  </si>
  <si>
    <t>VL_APROVACAO_2015_3</t>
  </si>
  <si>
    <t>VL_APROVACAO_2015_4</t>
  </si>
  <si>
    <t>VL_INDICADOR_REND_2015</t>
  </si>
  <si>
    <t>VL_APROVACAO_2017_SI_4</t>
  </si>
  <si>
    <t>VL_APROVACAO_2017_SI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</si>
  <si>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</si>
  <si>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</si>
  <si>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</si>
  <si>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</si>
  <si>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</si>
  <si>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</si>
  <si>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VL_APROVACAO_2019_SI</t>
  </si>
  <si>
    <t>VL_APROVACAO_2019_1</t>
  </si>
  <si>
    <t>VL_APROVACAO_2019_2</t>
  </si>
  <si>
    <t>VL_APROVACAO_2019_3</t>
  </si>
  <si>
    <t>VL_APROVACAO_2019_4</t>
  </si>
  <si>
    <t>VL_INDICADOR_REND_2019</t>
  </si>
  <si>
    <t>VL_NOTA_MATEMATICA_2005</t>
  </si>
  <si>
    <t>VL_NOTA_PORTUGUES_2005</t>
  </si>
  <si>
    <t>VL_NOTA_MEDIA_2005</t>
  </si>
  <si>
    <t>VL_NOTA_MATEMATICA_2007</t>
  </si>
  <si>
    <t>VL_NOTA_PORTUGUES_2007</t>
  </si>
  <si>
    <t>VL_NOTA_MEDIA_2007</t>
  </si>
  <si>
    <t>VL_NOTA_MATEMATICA_2009</t>
  </si>
  <si>
    <t>VL_NOTA_PORTUGUES_2009</t>
  </si>
  <si>
    <t>VL_NOTA_MEDIA_2009</t>
  </si>
  <si>
    <t>VL_NOTA_MATEMATICA_2011</t>
  </si>
  <si>
    <t>VL_NOTA_PORTUGUES_2011</t>
  </si>
  <si>
    <t>VL_NOTA_MEDIA_2011</t>
  </si>
  <si>
    <t>VL_NOTA_MATEMATICA_2013</t>
  </si>
  <si>
    <t>VL_NOTA_PORTUGUES_2013</t>
  </si>
  <si>
    <t>VL_NOTA_MEDIA_2013</t>
  </si>
  <si>
    <t>VL_NOTA_MATEMATICA_2015</t>
  </si>
  <si>
    <t>VL_NOTA_PORTUGUES_2015</t>
  </si>
  <si>
    <t>VL_NOTA_MEDIA_2015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</si>
  <si>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</si>
  <si>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</si>
  <si>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</si>
  <si>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</si>
  <si>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</si>
  <si>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</si>
  <si>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VL_OBSERVADO_2005</t>
  </si>
  <si>
    <t>VL_OBSERVADO_2007</t>
  </si>
  <si>
    <t>VL_OBSERVADO_2009</t>
  </si>
  <si>
    <t>VL_OBSERVADO_2011</t>
  </si>
  <si>
    <t>VL_OBSERVADO_2013</t>
  </si>
  <si>
    <t>VL_OBSERVADO_2015</t>
  </si>
  <si>
    <t>VL_OBSERVADO_2017</t>
  </si>
  <si>
    <t>VL_OBSERVADO_2019</t>
  </si>
  <si>
    <t>VL_PROJECAO_2007</t>
  </si>
  <si>
    <t>VL_PROJECAO_2009</t>
  </si>
  <si>
    <t>VL_PROJECAO_2011</t>
  </si>
  <si>
    <t>VL_PROJECAO_2013</t>
  </si>
  <si>
    <t>VL_PROJECAO_2015</t>
  </si>
  <si>
    <t>VL_PROJECAO_2017</t>
  </si>
  <si>
    <t>VL_PROJECAO_2019</t>
  </si>
  <si>
    <t>VL_PROJECAO_2021</t>
  </si>
  <si>
    <t>202,65</t>
  </si>
  <si>
    <t>189,30</t>
  </si>
  <si>
    <t>223,20</t>
  </si>
  <si>
    <t>205,09</t>
  </si>
  <si>
    <t>193,16</t>
  </si>
  <si>
    <t>220,51</t>
  </si>
  <si>
    <t>204,25</t>
  </si>
  <si>
    <t>184,28</t>
  </si>
  <si>
    <t>198,41</t>
  </si>
  <si>
    <t>215,10</t>
  </si>
  <si>
    <t>211,19</t>
  </si>
  <si>
    <t>208,09</t>
  </si>
  <si>
    <t>185,47</t>
  </si>
  <si>
    <t>181,03</t>
  </si>
  <si>
    <t>208,78</t>
  </si>
  <si>
    <t>199,11</t>
  </si>
  <si>
    <t>188,95</t>
  </si>
  <si>
    <t>218,13</t>
  </si>
  <si>
    <t>203,90</t>
  </si>
  <si>
    <t>237,51</t>
  </si>
  <si>
    <t>214,42</t>
  </si>
  <si>
    <t>217,62</t>
  </si>
  <si>
    <t>210,39</t>
  </si>
  <si>
    <t>201,67</t>
  </si>
  <si>
    <t>201,51</t>
  </si>
  <si>
    <t>216,83</t>
  </si>
  <si>
    <t>217,65</t>
  </si>
  <si>
    <t>195,90</t>
  </si>
  <si>
    <t>190,49</t>
  </si>
  <si>
    <t>232,83</t>
  </si>
  <si>
    <t>234,14</t>
  </si>
  <si>
    <t>210,59</t>
  </si>
  <si>
    <t>195,35</t>
  </si>
  <si>
    <t>222,98</t>
  </si>
  <si>
    <t>211,50</t>
  </si>
  <si>
    <t>225,94</t>
  </si>
  <si>
    <t>VL_APROVACAO_2021_SI_4</t>
  </si>
  <si>
    <t>VL_APROVACAO_2021_SI</t>
  </si>
  <si>
    <t>VL_APROVACAO_2021_1</t>
  </si>
  <si>
    <t>VL_APROVACAO_2021_2</t>
  </si>
  <si>
    <t>VL_APROVACAO_2021_3</t>
  </si>
  <si>
    <t>VL_APROVACAO_2021_4</t>
  </si>
  <si>
    <t>VL_INDICADOR_REND_2021</t>
  </si>
  <si>
    <t>VL_NOTA_MATEMATICA_2021</t>
  </si>
  <si>
    <t>VL_NOTA_PORTUGUES_2021</t>
  </si>
  <si>
    <t>VL_NOTA_MEDIA_2021</t>
  </si>
  <si>
    <t>VL_OBSERVADO_2021</t>
  </si>
  <si>
    <t>Taxa de Aprovação - 2023</t>
  </si>
  <si>
    <t>Nota SAEB - 2023</t>
  </si>
  <si>
    <t>IDEB
2023
(N x P)</t>
  </si>
  <si>
    <t>VL_APROVACAO_2023_SI_4</t>
  </si>
  <si>
    <t>VL_APROVACAO_2023_SI</t>
  </si>
  <si>
    <t>VL_APROVACAO_2023_1</t>
  </si>
  <si>
    <t>VL_APROVACAO_2023_2</t>
  </si>
  <si>
    <t>VL_APROVACAO_2023_3</t>
  </si>
  <si>
    <t>VL_APROVACAO_2023_4</t>
  </si>
  <si>
    <t>VL_INDICADOR_REND_2023</t>
  </si>
  <si>
    <t>VL_NOTA_MATEMATICA_2023</t>
  </si>
  <si>
    <t>VL_NOTA_PORTUGUES_2023</t>
  </si>
  <si>
    <t>VL_NOTA_MEDIA_2023</t>
  </si>
  <si>
    <t>VL_OBSERVADO_2023</t>
  </si>
  <si>
    <t xml:space="preserve">(2) Ver Nota informativa do Ideb de 2021 (https://download.inep.gov.br/educacao_basica/portal_ideb/planilhas_para_download/2021/nota_informativa_ideb_2021.pdf) e </t>
  </si>
  <si>
    <t>Relatório de Resultados do Saeb de 2021 (https://download.inep.gov.br/educacao_basica/saeb/2021/resultados/relatorio_de_resultados_do_saeb_2021_volume_1.pdf)</t>
  </si>
  <si>
    <t>para maiores informações sobre o impacto da pandemia no Ideb;</t>
  </si>
  <si>
    <t>(3) O primeiro ciclo do Ideb considera as metas pactuadas no Compromisso Todos pela Educação (https://www.planalto.gov.br/ccivil_03/_ato2007-2010/2007/decreto/d6094.htm)</t>
  </si>
  <si>
    <t>que foram definidas (https://download.inep.gov.br/educacao_basica/portal_ideb/o_que_sao_as_metas/Nota_Tecnica_n2_metas_intermediarias_IDEB.pdf) para cada ente</t>
  </si>
  <si>
    <t>federado de 2007 até 2021;</t>
  </si>
  <si>
    <t>(4) Com o fim do primeiro ciclo do Ideb, o Inep criou um Grupo Técnico para elaborar estudo e subsidiar a atualização do Ideb e a avaliação de novas metas - para maiores</t>
  </si>
  <si>
    <t>informações ver Portaria nº 26 de 29/01/2024 (https://www.in.gov.br/web/dou/-/portaria-n-26-de-29-de-janeiro-de-2024-540345023) que institui o Grupo Técnico e</t>
  </si>
  <si>
    <t>Portaria nº 231 de 17/06/2024 (https://www.in.gov.br/web/dou/-/portaria-n-231-de-17-de-junho-de-2024-566241404) que prorroga o prazo para conclusão das atividades.</t>
  </si>
  <si>
    <t>Notas: ND - Número de participantes no SAEB insuficiente para que os resultados sejam divulgados;</t>
  </si>
  <si>
    <t>ND* - Solicitação de não divulgação conforme Portaria Inep nº 410 de 03 de novembro de 2011 ou Portaria Inep nº 304 de 24 de junho de 2013;</t>
  </si>
  <si>
    <t>(*) - Média calculada a partir dos resultados das escolas nas avaliações estaduais, em decorrência de extravio das provas retornadas e impossibilidade do cálculo da proficiência para o SAEB;</t>
  </si>
  <si>
    <t>(**) - Média calculada a partir dos resultados dos alunos no SAEB com participação inferior a 50%, em decorrência de extravio de provas;</t>
  </si>
  <si>
    <t>(1) - Médias do SAEB 2011 e Ideb 2011 calculados sem as escolas federais;</t>
  </si>
  <si>
    <t>Ensino Fundamental Regular - Anos Iniciais</t>
  </si>
  <si>
    <r>
      <t>Taxa de Aprovação - 2021</t>
    </r>
    <r>
      <rPr>
        <b/>
        <vertAlign val="superscript"/>
        <sz val="9"/>
        <rFont val="Arial"/>
        <family val="2"/>
      </rPr>
      <t>2</t>
    </r>
  </si>
  <si>
    <r>
      <t>Nota SAEB - 2021</t>
    </r>
    <r>
      <rPr>
        <b/>
        <vertAlign val="superscript"/>
        <sz val="9"/>
        <rFont val="Arial"/>
        <family val="2"/>
      </rPr>
      <t>2</t>
    </r>
  </si>
  <si>
    <r>
      <t>IDEB
2021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
(N x P)</t>
    </r>
  </si>
  <si>
    <r>
      <t>Metas do 1º ciclo do Ideb</t>
    </r>
    <r>
      <rPr>
        <b/>
        <vertAlign val="superscript"/>
        <sz val="9"/>
        <rFont val="Arial"/>
        <family val="2"/>
      </rPr>
      <t>3,4</t>
    </r>
    <r>
      <rPr>
        <b/>
        <sz val="9"/>
        <rFont val="Arial"/>
        <family val="2"/>
      </rPr>
      <t xml:space="preserve"> (2007-2021)</t>
    </r>
  </si>
  <si>
    <t>ND*** - Município com pelo menos 20% do material extraviado, com participação insuficiente para divulgação dos resultados;</t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</si>
  <si>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e 2023 e Metas do 1º ciclo do Ideb</t>
    </r>
    <r>
      <rPr>
        <vertAlign val="superscript"/>
        <sz val="10"/>
        <rFont val="Arial"/>
        <family val="2"/>
      </rPr>
      <t>3,4</t>
    </r>
    <r>
      <rPr>
        <sz val="10"/>
        <rFont val="Arial"/>
        <family val="2"/>
      </rPr>
      <t xml:space="preserve"> (2007-2021). Os dados estão dimensionados por município e organizados por rede de ensino.</t>
    </r>
  </si>
  <si>
    <t>Mesorregião</t>
  </si>
  <si>
    <t>Código Município Completo</t>
  </si>
  <si>
    <t>Vale do Mucuri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</si>
</sst>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0"/>
      <color theme="0"/>
      <name val="Calibri"/>
      <family val="2"/>
      <scheme val="minor"/>
    </font>
    <font>
      <b/>
      <sz val="9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52">
    <xf numFmtId="0" fontId="0" fillId="0" borderId="0" xfId="0"/>
    <xf numFmtId="1" fontId="2" fillId="2" borderId="0" xfId="1" applyNumberFormat="1" applyFill="1" applyAlignment="1">
      <alignment horizontal="center"/>
    </xf>
    <xf numFmtId="0" fontId="9" fillId="2" borderId="0" xfId="1" applyFont="1" applyFill="1"/>
    <xf numFmtId="0" fontId="2" fillId="2" borderId="0" xfId="1" applyFill="1"/>
    <xf numFmtId="0" fontId="10" fillId="3" borderId="0" xfId="0" applyFont="1" applyFill="1"/>
    <xf numFmtId="0" fontId="2" fillId="2" borderId="4" xfId="1" applyFill="1" applyBorder="1" applyAlignment="1">
      <alignment horizontal="left"/>
    </xf>
    <xf numFmtId="0" fontId="2" fillId="2" borderId="4" xfId="1" applyFill="1" applyBorder="1"/>
    <xf numFmtId="0" fontId="10" fillId="3" borderId="4" xfId="0" applyFont="1" applyFill="1" applyBorder="1"/>
    <xf numFmtId="0" fontId="2" fillId="2" borderId="0" xfId="1" applyFill="1" applyAlignment="1">
      <alignment horizontal="center"/>
    </xf>
    <xf numFmtId="1" fontId="2" fillId="2" borderId="0" xfId="1" applyNumberFormat="1" applyFill="1"/>
    <xf numFmtId="0" fontId="0" fillId="3" borderId="0" xfId="0" applyFill="1"/>
    <xf numFmtId="0" fontId="0" fillId="3" borderId="8" xfId="0" applyFill="1" applyBorder="1"/>
    <xf numFmtId="0" fontId="4" fillId="3" borderId="1" xfId="1" applyFont="1" applyFill="1" applyBorder="1" applyAlignment="1">
      <alignment horizontal="center" vertical="center" wrapText="1"/>
    </xf>
    <xf numFmtId="0" fontId="8" fillId="3" borderId="2" xfId="1" quotePrefix="1" applyFont="1" applyFill="1" applyBorder="1" applyAlignment="1">
      <alignment horizontal="center" vertical="center"/>
    </xf>
    <xf numFmtId="0" fontId="8" fillId="3" borderId="3" xfId="1" quotePrefix="1" applyFont="1" applyFill="1" applyBorder="1" applyAlignment="1">
      <alignment horizontal="center" vertical="center"/>
    </xf>
    <xf numFmtId="0" fontId="7" fillId="3" borderId="0" xfId="0" applyFont="1" applyFill="1"/>
    <xf numFmtId="49" fontId="6" fillId="3" borderId="14" xfId="0" applyNumberFormat="1" applyFont="1" applyFill="1" applyBorder="1"/>
    <xf numFmtId="1" fontId="6" fillId="3" borderId="14" xfId="0" applyNumberFormat="1" applyFont="1" applyFill="1" applyBorder="1"/>
    <xf numFmtId="0" fontId="6" fillId="3" borderId="14" xfId="0" applyFont="1" applyFill="1" applyBorder="1"/>
    <xf numFmtId="164" fontId="6" fillId="3" borderId="14" xfId="0" applyNumberFormat="1" applyFont="1" applyFill="1" applyBorder="1" applyAlignment="1">
      <alignment horizontal="right"/>
    </xf>
    <xf numFmtId="2" fontId="6" fillId="3" borderId="14" xfId="0" applyNumberFormat="1" applyFont="1" applyFill="1" applyBorder="1" applyAlignment="1">
      <alignment horizontal="right"/>
    </xf>
    <xf numFmtId="164" fontId="6" fillId="3" borderId="15" xfId="0" applyNumberFormat="1" applyFont="1" applyFill="1" applyBorder="1" applyAlignment="1">
      <alignment horizontal="right"/>
    </xf>
    <xf numFmtId="0" fontId="6" fillId="3" borderId="0" xfId="0" applyFont="1" applyFill="1"/>
    <xf numFmtId="0" fontId="5" fillId="3" borderId="0" xfId="0" applyFont="1" applyFill="1"/>
    <xf numFmtId="0" fontId="0" fillId="3" borderId="4" xfId="0" applyFill="1" applyBorder="1"/>
    <xf numFmtId="0" fontId="5" fillId="3" borderId="0" xfId="0" applyFont="1" applyFill="1" applyAlignment="1">
      <alignment vertical="center" wrapText="1"/>
    </xf>
    <xf numFmtId="0" fontId="2" fillId="2" borderId="0" xfId="2" applyFont="1" applyFill="1" applyAlignment="1">
      <alignment vertical="center" wrapText="1"/>
    </xf>
    <xf numFmtId="0" fontId="11" fillId="4" borderId="0" xfId="1" applyFont="1" applyFill="1" applyAlignment="1">
      <alignment vertical="center" wrapText="1"/>
    </xf>
    <xf numFmtId="0" fontId="0" fillId="0" borderId="0" xfId="0" applyAlignment="1">
      <alignment horizontal="center"/>
    </xf>
    <xf numFmtId="0" fontId="11" fillId="4" borderId="0" xfId="1" applyFont="1" applyFill="1" applyAlignment="1">
      <alignment horizontal="center" vertical="center" wrapText="1"/>
    </xf>
    <xf numFmtId="0" fontId="2" fillId="2" borderId="0" xfId="2" applyFont="1" applyFill="1" applyAlignment="1">
      <alignment horizontal="left" vertical="center" wrapText="1"/>
    </xf>
    <xf numFmtId="0" fontId="2" fillId="2" borderId="4" xfId="2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8" fillId="3" borderId="12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164" fontId="6" fillId="3" borderId="0" xfId="0" applyNumberFormat="1" applyFont="1" applyFill="1"/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1"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1</xdr:col>
      <xdr:colOff>6349</xdr:colOff>
      <xdr:row>1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14065C-5321-4F15-8647-8AE455825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952499" cy="3619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51"/>
  <sheetViews>
    <sheetView tabSelected="1" topLeftCell="CX8" workbookViewId="0">
      <selection activeCell="DU31" sqref="DU12:DU31"/>
    </sheetView>
  </sheetViews>
  <sheetFormatPr defaultColWidth="9.1796875" defaultRowHeight="14.5" x14ac:dyDescent="0.35"/>
  <cols>
    <col min="1" max="1" width="14.36328125" style="10" customWidth="1"/>
    <col min="2" max="2" width="9.1796875" style="10"/>
    <col min="3" max="3" width="32.26953125" style="10" bestFit="1" customWidth="1"/>
    <col min="4" max="4" width="32.26953125" style="10" customWidth="1"/>
    <col min="5" max="5" width="9.1796875" style="10"/>
    <col min="6" max="6" width="7" style="10" customWidth="1"/>
    <col min="7" max="11" width="6" style="10" customWidth="1"/>
    <col min="12" max="12" width="11.7265625" style="10" customWidth="1"/>
    <col min="13" max="13" width="7" style="10" customWidth="1"/>
    <col min="14" max="18" width="6" style="10" customWidth="1"/>
    <col min="19" max="19" width="11.7265625" style="10" customWidth="1"/>
    <col min="20" max="20" width="7" style="10" customWidth="1"/>
    <col min="21" max="25" width="6" style="10" customWidth="1"/>
    <col min="26" max="26" width="11.7265625" style="10" customWidth="1"/>
    <col min="27" max="27" width="7" style="10" customWidth="1"/>
    <col min="28" max="32" width="6" style="10" customWidth="1"/>
    <col min="33" max="33" width="11.7265625" style="10" customWidth="1"/>
    <col min="34" max="34" width="7" style="10" customWidth="1"/>
    <col min="35" max="39" width="6" style="10" customWidth="1"/>
    <col min="40" max="40" width="11.7265625" style="10" customWidth="1"/>
    <col min="41" max="41" width="7" style="10" customWidth="1"/>
    <col min="42" max="46" width="6" style="10" customWidth="1"/>
    <col min="47" max="47" width="11.7265625" style="10" customWidth="1"/>
    <col min="48" max="48" width="7" style="10" customWidth="1"/>
    <col min="49" max="53" width="6" style="10" customWidth="1"/>
    <col min="54" max="54" width="11.7265625" style="10" customWidth="1"/>
    <col min="55" max="55" width="7" style="10" customWidth="1"/>
    <col min="56" max="60" width="6" style="10" customWidth="1"/>
    <col min="61" max="61" width="11.7265625" style="10" customWidth="1"/>
    <col min="62" max="62" width="7" style="10" customWidth="1"/>
    <col min="63" max="67" width="6" style="10" customWidth="1"/>
    <col min="68" max="68" width="11.7265625" style="10" customWidth="1"/>
    <col min="69" max="69" width="7" style="10" customWidth="1"/>
    <col min="70" max="74" width="6" style="10" customWidth="1"/>
    <col min="75" max="75" width="11.7265625" style="10" customWidth="1"/>
    <col min="76" max="76" width="10" style="10" bestFit="1" customWidth="1"/>
    <col min="77" max="77" width="10.1796875" style="10" bestFit="1" customWidth="1"/>
    <col min="78" max="78" width="10.7265625" style="10" customWidth="1"/>
    <col min="79" max="79" width="10" style="10" bestFit="1" customWidth="1"/>
    <col min="80" max="80" width="10.1796875" style="10" bestFit="1" customWidth="1"/>
    <col min="81" max="81" width="10.7265625" style="10" customWidth="1"/>
    <col min="82" max="82" width="10" style="10" bestFit="1" customWidth="1"/>
    <col min="83" max="83" width="10.1796875" style="10" bestFit="1" customWidth="1"/>
    <col min="84" max="84" width="10.7265625" style="10" customWidth="1"/>
    <col min="85" max="85" width="10" style="10" bestFit="1" customWidth="1"/>
    <col min="86" max="86" width="10.1796875" style="10" bestFit="1" customWidth="1"/>
    <col min="87" max="87" width="10.7265625" style="10" customWidth="1"/>
    <col min="88" max="88" width="10" style="10" bestFit="1" customWidth="1"/>
    <col min="89" max="89" width="10.1796875" style="10" bestFit="1" customWidth="1"/>
    <col min="90" max="90" width="10.7265625" style="10" customWidth="1"/>
    <col min="91" max="91" width="10" style="10" bestFit="1" customWidth="1"/>
    <col min="92" max="92" width="10.1796875" style="10" bestFit="1" customWidth="1"/>
    <col min="93" max="93" width="10.7265625" style="10" customWidth="1"/>
    <col min="94" max="94" width="10" style="10" bestFit="1" customWidth="1"/>
    <col min="95" max="95" width="10.1796875" style="10" bestFit="1" customWidth="1"/>
    <col min="96" max="96" width="10.7265625" style="10" customWidth="1"/>
    <col min="97" max="97" width="10" style="10" bestFit="1" customWidth="1"/>
    <col min="98" max="98" width="10.1796875" style="10" bestFit="1" customWidth="1"/>
    <col min="99" max="99" width="10.7265625" style="10" customWidth="1"/>
    <col min="100" max="100" width="10" style="10" bestFit="1" customWidth="1"/>
    <col min="101" max="101" width="10.1796875" style="10" bestFit="1" customWidth="1"/>
    <col min="102" max="102" width="10.7265625" style="10" customWidth="1"/>
    <col min="103" max="103" width="10" style="10" bestFit="1" customWidth="1"/>
    <col min="104" max="104" width="10.1796875" style="10" bestFit="1" customWidth="1"/>
    <col min="105" max="105" width="10.7265625" style="10" customWidth="1"/>
    <col min="106" max="107" width="6.1796875" style="10" bestFit="1" customWidth="1"/>
    <col min="108" max="108" width="6.1796875" style="10" customWidth="1"/>
    <col min="109" max="109" width="6.1796875" style="10" bestFit="1" customWidth="1"/>
    <col min="110" max="115" width="6.1796875" style="10" customWidth="1"/>
    <col min="116" max="123" width="5" style="10" bestFit="1" customWidth="1"/>
    <col min="124" max="16384" width="9.1796875" style="10"/>
  </cols>
  <sheetData>
    <row r="1" spans="1:125" ht="18" x14ac:dyDescent="0.4">
      <c r="A1" s="1"/>
      <c r="B1" s="2" t="s">
        <v>64</v>
      </c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</row>
    <row r="2" spans="1:125" x14ac:dyDescent="0.35">
      <c r="A2" s="1"/>
      <c r="B2" s="5" t="s">
        <v>65</v>
      </c>
      <c r="C2" s="5"/>
      <c r="D2" s="5"/>
      <c r="E2" s="5"/>
      <c r="F2" s="5"/>
      <c r="G2" s="5"/>
      <c r="H2" s="5"/>
      <c r="I2" s="5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24"/>
    </row>
    <row r="3" spans="1:125" ht="4.5" customHeight="1" x14ac:dyDescent="0.35">
      <c r="A3" s="1"/>
      <c r="B3" s="8"/>
      <c r="C3" s="3"/>
      <c r="D3" s="3"/>
      <c r="E3" s="9"/>
      <c r="F3" s="9"/>
      <c r="G3" s="9"/>
      <c r="H3" s="9"/>
      <c r="I3" s="9"/>
      <c r="J3" s="9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11"/>
      <c r="DS3" s="11"/>
    </row>
    <row r="4" spans="1:125" ht="26.25" customHeight="1" x14ac:dyDescent="0.35">
      <c r="A4" s="29" t="s">
        <v>241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</row>
    <row r="5" spans="1:125" ht="15" customHeight="1" x14ac:dyDescent="0.35">
      <c r="A5" s="30" t="s">
        <v>247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</row>
    <row r="6" spans="1:125" x14ac:dyDescent="0.3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</row>
    <row r="7" spans="1:125" ht="15" customHeight="1" x14ac:dyDescent="0.35">
      <c r="A7" s="38" t="s">
        <v>2</v>
      </c>
      <c r="B7" s="33" t="s">
        <v>3</v>
      </c>
      <c r="C7" s="33" t="s">
        <v>4</v>
      </c>
      <c r="D7" s="33" t="s">
        <v>248</v>
      </c>
      <c r="E7" s="33" t="s">
        <v>5</v>
      </c>
      <c r="F7" s="36" t="s">
        <v>6</v>
      </c>
      <c r="G7" s="37"/>
      <c r="H7" s="37"/>
      <c r="I7" s="37"/>
      <c r="J7" s="37"/>
      <c r="K7" s="37"/>
      <c r="L7" s="38"/>
      <c r="M7" s="36" t="s">
        <v>7</v>
      </c>
      <c r="N7" s="37"/>
      <c r="O7" s="37"/>
      <c r="P7" s="37"/>
      <c r="Q7" s="37"/>
      <c r="R7" s="37"/>
      <c r="S7" s="38"/>
      <c r="T7" s="36" t="s">
        <v>8</v>
      </c>
      <c r="U7" s="37"/>
      <c r="V7" s="37"/>
      <c r="W7" s="37"/>
      <c r="X7" s="37"/>
      <c r="Y7" s="37"/>
      <c r="Z7" s="38"/>
      <c r="AA7" s="36" t="s">
        <v>9</v>
      </c>
      <c r="AB7" s="37"/>
      <c r="AC7" s="37"/>
      <c r="AD7" s="37"/>
      <c r="AE7" s="37"/>
      <c r="AF7" s="37"/>
      <c r="AG7" s="38"/>
      <c r="AH7" s="36" t="s">
        <v>24</v>
      </c>
      <c r="AI7" s="37"/>
      <c r="AJ7" s="37"/>
      <c r="AK7" s="37"/>
      <c r="AL7" s="37"/>
      <c r="AM7" s="37"/>
      <c r="AN7" s="38"/>
      <c r="AO7" s="36" t="s">
        <v>29</v>
      </c>
      <c r="AP7" s="37"/>
      <c r="AQ7" s="37"/>
      <c r="AR7" s="37"/>
      <c r="AS7" s="37"/>
      <c r="AT7" s="37"/>
      <c r="AU7" s="38"/>
      <c r="AV7" s="36" t="s">
        <v>52</v>
      </c>
      <c r="AW7" s="37"/>
      <c r="AX7" s="37"/>
      <c r="AY7" s="37"/>
      <c r="AZ7" s="37"/>
      <c r="BA7" s="37"/>
      <c r="BB7" s="38"/>
      <c r="BC7" s="36" t="s">
        <v>66</v>
      </c>
      <c r="BD7" s="37"/>
      <c r="BE7" s="37"/>
      <c r="BF7" s="37"/>
      <c r="BG7" s="37"/>
      <c r="BH7" s="37"/>
      <c r="BI7" s="38"/>
      <c r="BJ7" s="36" t="s">
        <v>242</v>
      </c>
      <c r="BK7" s="37"/>
      <c r="BL7" s="37"/>
      <c r="BM7" s="37"/>
      <c r="BN7" s="37"/>
      <c r="BO7" s="37"/>
      <c r="BP7" s="38"/>
      <c r="BQ7" s="36" t="s">
        <v>213</v>
      </c>
      <c r="BR7" s="37"/>
      <c r="BS7" s="37"/>
      <c r="BT7" s="37"/>
      <c r="BU7" s="37"/>
      <c r="BV7" s="37"/>
      <c r="BW7" s="38"/>
      <c r="BX7" s="36" t="s">
        <v>57</v>
      </c>
      <c r="BY7" s="37"/>
      <c r="BZ7" s="37"/>
      <c r="CA7" s="36" t="s">
        <v>58</v>
      </c>
      <c r="CB7" s="37"/>
      <c r="CC7" s="37"/>
      <c r="CD7" s="36" t="s">
        <v>59</v>
      </c>
      <c r="CE7" s="37"/>
      <c r="CF7" s="37"/>
      <c r="CG7" s="36" t="s">
        <v>60</v>
      </c>
      <c r="CH7" s="37"/>
      <c r="CI7" s="37"/>
      <c r="CJ7" s="36" t="s">
        <v>61</v>
      </c>
      <c r="CK7" s="37"/>
      <c r="CL7" s="37"/>
      <c r="CM7" s="36" t="s">
        <v>62</v>
      </c>
      <c r="CN7" s="37"/>
      <c r="CO7" s="37"/>
      <c r="CP7" s="36" t="s">
        <v>63</v>
      </c>
      <c r="CQ7" s="37"/>
      <c r="CR7" s="37"/>
      <c r="CS7" s="36" t="s">
        <v>67</v>
      </c>
      <c r="CT7" s="37"/>
      <c r="CU7" s="37"/>
      <c r="CV7" s="36" t="s">
        <v>243</v>
      </c>
      <c r="CW7" s="37"/>
      <c r="CX7" s="37"/>
      <c r="CY7" s="36" t="s">
        <v>214</v>
      </c>
      <c r="CZ7" s="37"/>
      <c r="DA7" s="37"/>
      <c r="DB7" s="36" t="s">
        <v>10</v>
      </c>
      <c r="DC7" s="36" t="s">
        <v>11</v>
      </c>
      <c r="DD7" s="36" t="s">
        <v>12</v>
      </c>
      <c r="DE7" s="36" t="s">
        <v>13</v>
      </c>
      <c r="DF7" s="36" t="s">
        <v>25</v>
      </c>
      <c r="DG7" s="36" t="s">
        <v>30</v>
      </c>
      <c r="DH7" s="36" t="s">
        <v>53</v>
      </c>
      <c r="DI7" s="36" t="s">
        <v>68</v>
      </c>
      <c r="DJ7" s="36" t="s">
        <v>244</v>
      </c>
      <c r="DK7" s="36" t="s">
        <v>215</v>
      </c>
      <c r="DL7" s="48" t="s">
        <v>245</v>
      </c>
      <c r="DM7" s="48"/>
      <c r="DN7" s="48"/>
      <c r="DO7" s="48"/>
      <c r="DP7" s="48"/>
      <c r="DQ7" s="48"/>
      <c r="DR7" s="48"/>
      <c r="DS7" s="49"/>
    </row>
    <row r="8" spans="1:125" ht="7.5" customHeight="1" x14ac:dyDescent="0.35">
      <c r="A8" s="43"/>
      <c r="B8" s="34"/>
      <c r="C8" s="34"/>
      <c r="D8" s="34"/>
      <c r="E8" s="34"/>
      <c r="F8" s="39"/>
      <c r="G8" s="40"/>
      <c r="H8" s="40"/>
      <c r="I8" s="40"/>
      <c r="J8" s="40"/>
      <c r="K8" s="40"/>
      <c r="L8" s="41"/>
      <c r="M8" s="39"/>
      <c r="N8" s="40"/>
      <c r="O8" s="40"/>
      <c r="P8" s="40"/>
      <c r="Q8" s="40"/>
      <c r="R8" s="40"/>
      <c r="S8" s="41"/>
      <c r="T8" s="39"/>
      <c r="U8" s="40"/>
      <c r="V8" s="40"/>
      <c r="W8" s="40"/>
      <c r="X8" s="40"/>
      <c r="Y8" s="40"/>
      <c r="Z8" s="41"/>
      <c r="AA8" s="39"/>
      <c r="AB8" s="40"/>
      <c r="AC8" s="40"/>
      <c r="AD8" s="40"/>
      <c r="AE8" s="40"/>
      <c r="AF8" s="40"/>
      <c r="AG8" s="41"/>
      <c r="AH8" s="39"/>
      <c r="AI8" s="40"/>
      <c r="AJ8" s="40"/>
      <c r="AK8" s="40"/>
      <c r="AL8" s="40"/>
      <c r="AM8" s="40"/>
      <c r="AN8" s="41"/>
      <c r="AO8" s="39"/>
      <c r="AP8" s="40"/>
      <c r="AQ8" s="40"/>
      <c r="AR8" s="40"/>
      <c r="AS8" s="40"/>
      <c r="AT8" s="40"/>
      <c r="AU8" s="41"/>
      <c r="AV8" s="39"/>
      <c r="AW8" s="40"/>
      <c r="AX8" s="40"/>
      <c r="AY8" s="40"/>
      <c r="AZ8" s="40"/>
      <c r="BA8" s="40"/>
      <c r="BB8" s="41"/>
      <c r="BC8" s="39"/>
      <c r="BD8" s="40"/>
      <c r="BE8" s="40"/>
      <c r="BF8" s="40"/>
      <c r="BG8" s="40"/>
      <c r="BH8" s="40"/>
      <c r="BI8" s="41"/>
      <c r="BJ8" s="39"/>
      <c r="BK8" s="40"/>
      <c r="BL8" s="40"/>
      <c r="BM8" s="40"/>
      <c r="BN8" s="40"/>
      <c r="BO8" s="40"/>
      <c r="BP8" s="41"/>
      <c r="BQ8" s="39"/>
      <c r="BR8" s="40"/>
      <c r="BS8" s="40"/>
      <c r="BT8" s="40"/>
      <c r="BU8" s="40"/>
      <c r="BV8" s="40"/>
      <c r="BW8" s="41"/>
      <c r="BX8" s="44" t="s">
        <v>14</v>
      </c>
      <c r="BY8" s="44" t="s">
        <v>15</v>
      </c>
      <c r="BZ8" s="46" t="s">
        <v>16</v>
      </c>
      <c r="CA8" s="44" t="s">
        <v>14</v>
      </c>
      <c r="CB8" s="44" t="s">
        <v>15</v>
      </c>
      <c r="CC8" s="46" t="s">
        <v>16</v>
      </c>
      <c r="CD8" s="44" t="s">
        <v>14</v>
      </c>
      <c r="CE8" s="44" t="s">
        <v>15</v>
      </c>
      <c r="CF8" s="46" t="s">
        <v>16</v>
      </c>
      <c r="CG8" s="44" t="s">
        <v>14</v>
      </c>
      <c r="CH8" s="44" t="s">
        <v>15</v>
      </c>
      <c r="CI8" s="46" t="s">
        <v>16</v>
      </c>
      <c r="CJ8" s="44" t="s">
        <v>14</v>
      </c>
      <c r="CK8" s="44" t="s">
        <v>15</v>
      </c>
      <c r="CL8" s="46" t="s">
        <v>16</v>
      </c>
      <c r="CM8" s="44" t="s">
        <v>14</v>
      </c>
      <c r="CN8" s="44" t="s">
        <v>15</v>
      </c>
      <c r="CO8" s="46" t="s">
        <v>16</v>
      </c>
      <c r="CP8" s="44" t="s">
        <v>14</v>
      </c>
      <c r="CQ8" s="44" t="s">
        <v>15</v>
      </c>
      <c r="CR8" s="46" t="s">
        <v>16</v>
      </c>
      <c r="CS8" s="44" t="s">
        <v>14</v>
      </c>
      <c r="CT8" s="44" t="s">
        <v>15</v>
      </c>
      <c r="CU8" s="46" t="s">
        <v>16</v>
      </c>
      <c r="CV8" s="44" t="s">
        <v>14</v>
      </c>
      <c r="CW8" s="44" t="s">
        <v>15</v>
      </c>
      <c r="CX8" s="46" t="s">
        <v>16</v>
      </c>
      <c r="CY8" s="44" t="s">
        <v>14</v>
      </c>
      <c r="CZ8" s="44" t="s">
        <v>15</v>
      </c>
      <c r="DA8" s="46" t="s">
        <v>16</v>
      </c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48"/>
      <c r="DM8" s="48"/>
      <c r="DN8" s="48"/>
      <c r="DO8" s="48"/>
      <c r="DP8" s="48"/>
      <c r="DQ8" s="48"/>
      <c r="DR8" s="48"/>
      <c r="DS8" s="49"/>
    </row>
    <row r="9" spans="1:125" ht="37.5" customHeight="1" x14ac:dyDescent="0.35">
      <c r="A9" s="41"/>
      <c r="B9" s="35"/>
      <c r="C9" s="35"/>
      <c r="D9" s="35"/>
      <c r="E9" s="35"/>
      <c r="F9" s="12" t="s">
        <v>17</v>
      </c>
      <c r="G9" s="12" t="s">
        <v>18</v>
      </c>
      <c r="H9" s="12" t="s">
        <v>19</v>
      </c>
      <c r="I9" s="12" t="s">
        <v>20</v>
      </c>
      <c r="J9" s="12" t="s">
        <v>21</v>
      </c>
      <c r="K9" s="12" t="s">
        <v>22</v>
      </c>
      <c r="L9" s="12" t="s">
        <v>23</v>
      </c>
      <c r="M9" s="12" t="s">
        <v>17</v>
      </c>
      <c r="N9" s="12" t="s">
        <v>18</v>
      </c>
      <c r="O9" s="12" t="s">
        <v>19</v>
      </c>
      <c r="P9" s="12" t="s">
        <v>20</v>
      </c>
      <c r="Q9" s="12" t="s">
        <v>21</v>
      </c>
      <c r="R9" s="12" t="s">
        <v>22</v>
      </c>
      <c r="S9" s="12" t="s">
        <v>23</v>
      </c>
      <c r="T9" s="12" t="s">
        <v>17</v>
      </c>
      <c r="U9" s="12" t="s">
        <v>18</v>
      </c>
      <c r="V9" s="12" t="s">
        <v>19</v>
      </c>
      <c r="W9" s="12" t="s">
        <v>20</v>
      </c>
      <c r="X9" s="12" t="s">
        <v>21</v>
      </c>
      <c r="Y9" s="12" t="s">
        <v>22</v>
      </c>
      <c r="Z9" s="12" t="s">
        <v>23</v>
      </c>
      <c r="AA9" s="12" t="s">
        <v>17</v>
      </c>
      <c r="AB9" s="12" t="s">
        <v>18</v>
      </c>
      <c r="AC9" s="12" t="s">
        <v>19</v>
      </c>
      <c r="AD9" s="12" t="s">
        <v>20</v>
      </c>
      <c r="AE9" s="12" t="s">
        <v>21</v>
      </c>
      <c r="AF9" s="12" t="s">
        <v>22</v>
      </c>
      <c r="AG9" s="12" t="s">
        <v>23</v>
      </c>
      <c r="AH9" s="12" t="s">
        <v>17</v>
      </c>
      <c r="AI9" s="12" t="s">
        <v>18</v>
      </c>
      <c r="AJ9" s="12" t="s">
        <v>19</v>
      </c>
      <c r="AK9" s="12" t="s">
        <v>20</v>
      </c>
      <c r="AL9" s="12" t="s">
        <v>21</v>
      </c>
      <c r="AM9" s="12" t="s">
        <v>22</v>
      </c>
      <c r="AN9" s="12" t="s">
        <v>23</v>
      </c>
      <c r="AO9" s="12" t="s">
        <v>17</v>
      </c>
      <c r="AP9" s="12" t="s">
        <v>18</v>
      </c>
      <c r="AQ9" s="12" t="s">
        <v>19</v>
      </c>
      <c r="AR9" s="12" t="s">
        <v>20</v>
      </c>
      <c r="AS9" s="12" t="s">
        <v>21</v>
      </c>
      <c r="AT9" s="12" t="s">
        <v>22</v>
      </c>
      <c r="AU9" s="12" t="s">
        <v>23</v>
      </c>
      <c r="AV9" s="12" t="s">
        <v>17</v>
      </c>
      <c r="AW9" s="12" t="s">
        <v>18</v>
      </c>
      <c r="AX9" s="12" t="s">
        <v>19</v>
      </c>
      <c r="AY9" s="12" t="s">
        <v>20</v>
      </c>
      <c r="AZ9" s="12" t="s">
        <v>21</v>
      </c>
      <c r="BA9" s="12" t="s">
        <v>22</v>
      </c>
      <c r="BB9" s="12" t="s">
        <v>23</v>
      </c>
      <c r="BC9" s="12" t="s">
        <v>17</v>
      </c>
      <c r="BD9" s="12" t="s">
        <v>18</v>
      </c>
      <c r="BE9" s="12" t="s">
        <v>19</v>
      </c>
      <c r="BF9" s="12" t="s">
        <v>20</v>
      </c>
      <c r="BG9" s="12" t="s">
        <v>21</v>
      </c>
      <c r="BH9" s="12" t="s">
        <v>22</v>
      </c>
      <c r="BI9" s="12" t="s">
        <v>23</v>
      </c>
      <c r="BJ9" s="12" t="s">
        <v>17</v>
      </c>
      <c r="BK9" s="12" t="s">
        <v>18</v>
      </c>
      <c r="BL9" s="12" t="s">
        <v>19</v>
      </c>
      <c r="BM9" s="12" t="s">
        <v>20</v>
      </c>
      <c r="BN9" s="12" t="s">
        <v>21</v>
      </c>
      <c r="BO9" s="12" t="s">
        <v>22</v>
      </c>
      <c r="BP9" s="12" t="s">
        <v>23</v>
      </c>
      <c r="BQ9" s="12" t="s">
        <v>17</v>
      </c>
      <c r="BR9" s="12" t="s">
        <v>18</v>
      </c>
      <c r="BS9" s="12" t="s">
        <v>19</v>
      </c>
      <c r="BT9" s="12" t="s">
        <v>20</v>
      </c>
      <c r="BU9" s="12" t="s">
        <v>21</v>
      </c>
      <c r="BV9" s="12" t="s">
        <v>22</v>
      </c>
      <c r="BW9" s="12" t="s">
        <v>23</v>
      </c>
      <c r="BX9" s="45"/>
      <c r="BY9" s="45"/>
      <c r="BZ9" s="47"/>
      <c r="CA9" s="45"/>
      <c r="CB9" s="45"/>
      <c r="CC9" s="47"/>
      <c r="CD9" s="45"/>
      <c r="CE9" s="45"/>
      <c r="CF9" s="47"/>
      <c r="CG9" s="45"/>
      <c r="CH9" s="45"/>
      <c r="CI9" s="47"/>
      <c r="CJ9" s="45"/>
      <c r="CK9" s="45"/>
      <c r="CL9" s="47"/>
      <c r="CM9" s="45"/>
      <c r="CN9" s="45"/>
      <c r="CO9" s="47"/>
      <c r="CP9" s="45"/>
      <c r="CQ9" s="45"/>
      <c r="CR9" s="47"/>
      <c r="CS9" s="45"/>
      <c r="CT9" s="45"/>
      <c r="CU9" s="47"/>
      <c r="CV9" s="45"/>
      <c r="CW9" s="45"/>
      <c r="CX9" s="47"/>
      <c r="CY9" s="45"/>
      <c r="CZ9" s="45"/>
      <c r="DA9" s="47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13">
        <v>2007</v>
      </c>
      <c r="DM9" s="13">
        <v>2009</v>
      </c>
      <c r="DN9" s="13">
        <v>2011</v>
      </c>
      <c r="DO9" s="13">
        <v>2013</v>
      </c>
      <c r="DP9" s="13">
        <v>2015</v>
      </c>
      <c r="DQ9" s="13">
        <v>2017</v>
      </c>
      <c r="DR9" s="13">
        <v>2019</v>
      </c>
      <c r="DS9" s="14">
        <v>2021</v>
      </c>
    </row>
    <row r="10" spans="1:125" s="15" customFormat="1" ht="13.5" customHeight="1" x14ac:dyDescent="0.3">
      <c r="A10" s="15" t="s">
        <v>54</v>
      </c>
      <c r="B10" s="15" t="s">
        <v>69</v>
      </c>
      <c r="C10" s="15" t="s">
        <v>55</v>
      </c>
      <c r="E10" s="15" t="s">
        <v>56</v>
      </c>
      <c r="F10" s="15" t="s">
        <v>70</v>
      </c>
      <c r="G10" s="15" t="s">
        <v>71</v>
      </c>
      <c r="H10" s="15" t="s">
        <v>72</v>
      </c>
      <c r="I10" s="15" t="s">
        <v>73</v>
      </c>
      <c r="J10" s="15" t="s">
        <v>74</v>
      </c>
      <c r="K10" s="15" t="s">
        <v>75</v>
      </c>
      <c r="L10" s="15" t="s">
        <v>76</v>
      </c>
      <c r="M10" s="15" t="s">
        <v>77</v>
      </c>
      <c r="N10" s="15" t="s">
        <v>78</v>
      </c>
      <c r="O10" s="15" t="s">
        <v>79</v>
      </c>
      <c r="P10" s="15" t="s">
        <v>80</v>
      </c>
      <c r="Q10" s="15" t="s">
        <v>81</v>
      </c>
      <c r="R10" s="15" t="s">
        <v>82</v>
      </c>
      <c r="S10" s="15" t="s">
        <v>83</v>
      </c>
      <c r="T10" s="15" t="s">
        <v>84</v>
      </c>
      <c r="U10" s="15" t="s">
        <v>85</v>
      </c>
      <c r="V10" s="15" t="s">
        <v>86</v>
      </c>
      <c r="W10" s="15" t="s">
        <v>87</v>
      </c>
      <c r="X10" s="15" t="s">
        <v>88</v>
      </c>
      <c r="Y10" s="15" t="s">
        <v>89</v>
      </c>
      <c r="Z10" s="15" t="s">
        <v>90</v>
      </c>
      <c r="AA10" s="15" t="s">
        <v>91</v>
      </c>
      <c r="AB10" s="15" t="s">
        <v>92</v>
      </c>
      <c r="AC10" s="15" t="s">
        <v>93</v>
      </c>
      <c r="AD10" s="15" t="s">
        <v>94</v>
      </c>
      <c r="AE10" s="15" t="s">
        <v>95</v>
      </c>
      <c r="AF10" s="15" t="s">
        <v>96</v>
      </c>
      <c r="AG10" s="15" t="s">
        <v>97</v>
      </c>
      <c r="AH10" s="15" t="s">
        <v>98</v>
      </c>
      <c r="AI10" s="15" t="s">
        <v>99</v>
      </c>
      <c r="AJ10" s="15" t="s">
        <v>100</v>
      </c>
      <c r="AK10" s="15" t="s">
        <v>101</v>
      </c>
      <c r="AL10" s="15" t="s">
        <v>102</v>
      </c>
      <c r="AM10" s="15" t="s">
        <v>103</v>
      </c>
      <c r="AN10" s="15" t="s">
        <v>104</v>
      </c>
      <c r="AO10" s="15" t="s">
        <v>105</v>
      </c>
      <c r="AP10" s="15" t="s">
        <v>106</v>
      </c>
      <c r="AQ10" s="15" t="s">
        <v>107</v>
      </c>
      <c r="AR10" s="15" t="s">
        <v>108</v>
      </c>
      <c r="AS10" s="15" t="s">
        <v>109</v>
      </c>
      <c r="AT10" s="15" t="s">
        <v>110</v>
      </c>
      <c r="AU10" s="15" t="s">
        <v>111</v>
      </c>
      <c r="AV10" s="15" t="s">
        <v>112</v>
      </c>
      <c r="AW10" s="15" t="s">
        <v>113</v>
      </c>
      <c r="AX10" s="15" t="s">
        <v>114</v>
      </c>
      <c r="AY10" s="15" t="s">
        <v>115</v>
      </c>
      <c r="AZ10" s="15" t="s">
        <v>116</v>
      </c>
      <c r="BA10" s="15" t="s">
        <v>117</v>
      </c>
      <c r="BB10" s="15" t="s">
        <v>118</v>
      </c>
      <c r="BC10" s="15" t="s">
        <v>119</v>
      </c>
      <c r="BD10" s="15" t="s">
        <v>120</v>
      </c>
      <c r="BE10" s="15" t="s">
        <v>121</v>
      </c>
      <c r="BF10" s="15" t="s">
        <v>122</v>
      </c>
      <c r="BG10" s="15" t="s">
        <v>123</v>
      </c>
      <c r="BH10" s="15" t="s">
        <v>124</v>
      </c>
      <c r="BI10" s="15" t="s">
        <v>125</v>
      </c>
      <c r="BJ10" s="15" t="s">
        <v>202</v>
      </c>
      <c r="BK10" s="15" t="s">
        <v>203</v>
      </c>
      <c r="BL10" s="15" t="s">
        <v>204</v>
      </c>
      <c r="BM10" s="15" t="s">
        <v>205</v>
      </c>
      <c r="BN10" s="15" t="s">
        <v>206</v>
      </c>
      <c r="BO10" s="15" t="s">
        <v>207</v>
      </c>
      <c r="BP10" s="15" t="s">
        <v>208</v>
      </c>
      <c r="BQ10" s="15" t="s">
        <v>216</v>
      </c>
      <c r="BR10" s="15" t="s">
        <v>217</v>
      </c>
      <c r="BS10" s="15" t="s">
        <v>218</v>
      </c>
      <c r="BT10" s="15" t="s">
        <v>219</v>
      </c>
      <c r="BU10" s="15" t="s">
        <v>220</v>
      </c>
      <c r="BV10" s="15" t="s">
        <v>221</v>
      </c>
      <c r="BW10" s="15" t="s">
        <v>222</v>
      </c>
      <c r="BX10" s="15" t="s">
        <v>126</v>
      </c>
      <c r="BY10" s="15" t="s">
        <v>127</v>
      </c>
      <c r="BZ10" s="15" t="s">
        <v>128</v>
      </c>
      <c r="CA10" s="15" t="s">
        <v>129</v>
      </c>
      <c r="CB10" s="15" t="s">
        <v>130</v>
      </c>
      <c r="CC10" s="15" t="s">
        <v>131</v>
      </c>
      <c r="CD10" s="15" t="s">
        <v>132</v>
      </c>
      <c r="CE10" s="15" t="s">
        <v>133</v>
      </c>
      <c r="CF10" s="15" t="s">
        <v>134</v>
      </c>
      <c r="CG10" s="15" t="s">
        <v>135</v>
      </c>
      <c r="CH10" s="15" t="s">
        <v>136</v>
      </c>
      <c r="CI10" s="15" t="s">
        <v>137</v>
      </c>
      <c r="CJ10" s="15" t="s">
        <v>138</v>
      </c>
      <c r="CK10" s="15" t="s">
        <v>139</v>
      </c>
      <c r="CL10" s="15" t="s">
        <v>140</v>
      </c>
      <c r="CM10" s="15" t="s">
        <v>141</v>
      </c>
      <c r="CN10" s="15" t="s">
        <v>142</v>
      </c>
      <c r="CO10" s="15" t="s">
        <v>143</v>
      </c>
      <c r="CP10" s="15" t="s">
        <v>144</v>
      </c>
      <c r="CQ10" s="15" t="s">
        <v>145</v>
      </c>
      <c r="CR10" s="15" t="s">
        <v>146</v>
      </c>
      <c r="CS10" s="15" t="s">
        <v>147</v>
      </c>
      <c r="CT10" s="15" t="s">
        <v>148</v>
      </c>
      <c r="CU10" s="15" t="s">
        <v>149</v>
      </c>
      <c r="CV10" s="15" t="s">
        <v>209</v>
      </c>
      <c r="CW10" s="15" t="s">
        <v>210</v>
      </c>
      <c r="CX10" s="15" t="s">
        <v>211</v>
      </c>
      <c r="CY10" s="15" t="s">
        <v>223</v>
      </c>
      <c r="CZ10" s="15" t="s">
        <v>224</v>
      </c>
      <c r="DA10" s="15" t="s">
        <v>225</v>
      </c>
      <c r="DB10" s="15" t="s">
        <v>150</v>
      </c>
      <c r="DC10" s="15" t="s">
        <v>151</v>
      </c>
      <c r="DD10" s="15" t="s">
        <v>152</v>
      </c>
      <c r="DE10" s="15" t="s">
        <v>153</v>
      </c>
      <c r="DF10" s="15" t="s">
        <v>154</v>
      </c>
      <c r="DG10" s="15" t="s">
        <v>155</v>
      </c>
      <c r="DH10" s="15" t="s">
        <v>156</v>
      </c>
      <c r="DI10" s="15" t="s">
        <v>157</v>
      </c>
      <c r="DJ10" s="15" t="s">
        <v>212</v>
      </c>
      <c r="DK10" s="15" t="s">
        <v>226</v>
      </c>
      <c r="DL10" s="15" t="s">
        <v>158</v>
      </c>
      <c r="DM10" s="15" t="s">
        <v>159</v>
      </c>
      <c r="DN10" s="15" t="s">
        <v>160</v>
      </c>
      <c r="DO10" s="15" t="s">
        <v>161</v>
      </c>
      <c r="DP10" s="15" t="s">
        <v>162</v>
      </c>
      <c r="DQ10" s="15" t="s">
        <v>163</v>
      </c>
      <c r="DR10" s="15" t="s">
        <v>164</v>
      </c>
      <c r="DS10" s="15" t="s">
        <v>165</v>
      </c>
    </row>
    <row r="11" spans="1:125" s="22" customFormat="1" ht="14.15" customHeight="1" x14ac:dyDescent="0.25">
      <c r="A11" s="16" t="s">
        <v>1</v>
      </c>
      <c r="B11" s="17">
        <v>3100906</v>
      </c>
      <c r="C11" s="16" t="s">
        <v>31</v>
      </c>
      <c r="D11" s="18" t="str">
        <f>VLOOKUP(B11,Planilha1!$A:$B,2,0)</f>
        <v>Vale do Mucuri</v>
      </c>
      <c r="E11" s="18" t="s">
        <v>0</v>
      </c>
      <c r="F11" s="19" t="s">
        <v>27</v>
      </c>
      <c r="G11" s="19" t="s">
        <v>27</v>
      </c>
      <c r="H11" s="19" t="s">
        <v>27</v>
      </c>
      <c r="I11" s="19" t="s">
        <v>27</v>
      </c>
      <c r="J11" s="19" t="s">
        <v>27</v>
      </c>
      <c r="K11" s="19" t="s">
        <v>27</v>
      </c>
      <c r="L11" s="20" t="s">
        <v>27</v>
      </c>
      <c r="M11" s="19">
        <v>76.400000000000006</v>
      </c>
      <c r="N11" s="19">
        <v>83.5</v>
      </c>
      <c r="O11" s="19">
        <v>81.8</v>
      </c>
      <c r="P11" s="19">
        <v>60.6</v>
      </c>
      <c r="Q11" s="19">
        <v>83.2</v>
      </c>
      <c r="R11" s="19">
        <v>71.599999999999994</v>
      </c>
      <c r="S11" s="20">
        <v>0.74975599999999998</v>
      </c>
      <c r="T11" s="19">
        <v>78.3</v>
      </c>
      <c r="U11" s="19">
        <v>100</v>
      </c>
      <c r="V11" s="19">
        <v>79.400000000000006</v>
      </c>
      <c r="W11" s="19">
        <v>68.900000000000006</v>
      </c>
      <c r="X11" s="19">
        <v>98</v>
      </c>
      <c r="Y11" s="19">
        <v>60.2</v>
      </c>
      <c r="Z11" s="20">
        <v>0.78218299999999996</v>
      </c>
      <c r="AA11" s="19">
        <v>99.7</v>
      </c>
      <c r="AB11" s="19">
        <v>98</v>
      </c>
      <c r="AC11" s="19">
        <v>100</v>
      </c>
      <c r="AD11" s="19">
        <v>100</v>
      </c>
      <c r="AE11" s="19">
        <v>100</v>
      </c>
      <c r="AF11" s="19">
        <v>100</v>
      </c>
      <c r="AG11" s="20">
        <v>0.99593500000000001</v>
      </c>
      <c r="AH11" s="19" t="s">
        <v>27</v>
      </c>
      <c r="AI11" s="19" t="s">
        <v>27</v>
      </c>
      <c r="AJ11" s="19" t="s">
        <v>27</v>
      </c>
      <c r="AK11" s="19" t="s">
        <v>27</v>
      </c>
      <c r="AL11" s="19" t="s">
        <v>27</v>
      </c>
      <c r="AM11" s="19" t="s">
        <v>27</v>
      </c>
      <c r="AN11" s="20" t="s">
        <v>27</v>
      </c>
      <c r="AO11" s="19" t="s">
        <v>27</v>
      </c>
      <c r="AP11" s="19" t="s">
        <v>27</v>
      </c>
      <c r="AQ11" s="19" t="s">
        <v>27</v>
      </c>
      <c r="AR11" s="19" t="s">
        <v>27</v>
      </c>
      <c r="AS11" s="19" t="s">
        <v>27</v>
      </c>
      <c r="AT11" s="19" t="s">
        <v>27</v>
      </c>
      <c r="AU11" s="20" t="s">
        <v>27</v>
      </c>
      <c r="AV11" s="19" t="s">
        <v>27</v>
      </c>
      <c r="AW11" s="19" t="s">
        <v>27</v>
      </c>
      <c r="AX11" s="19" t="s">
        <v>27</v>
      </c>
      <c r="AY11" s="19" t="s">
        <v>27</v>
      </c>
      <c r="AZ11" s="19" t="s">
        <v>27</v>
      </c>
      <c r="BA11" s="19" t="s">
        <v>27</v>
      </c>
      <c r="BB11" s="20" t="s">
        <v>27</v>
      </c>
      <c r="BC11" s="19" t="s">
        <v>27</v>
      </c>
      <c r="BD11" s="19" t="s">
        <v>27</v>
      </c>
      <c r="BE11" s="19" t="s">
        <v>27</v>
      </c>
      <c r="BF11" s="19" t="s">
        <v>27</v>
      </c>
      <c r="BG11" s="19" t="s">
        <v>27</v>
      </c>
      <c r="BH11" s="19" t="s">
        <v>27</v>
      </c>
      <c r="BI11" s="20" t="s">
        <v>27</v>
      </c>
      <c r="BJ11" s="19" t="s">
        <v>27</v>
      </c>
      <c r="BK11" s="19" t="s">
        <v>27</v>
      </c>
      <c r="BL11" s="19" t="s">
        <v>27</v>
      </c>
      <c r="BM11" s="19" t="s">
        <v>27</v>
      </c>
      <c r="BN11" s="19" t="s">
        <v>27</v>
      </c>
      <c r="BO11" s="19" t="s">
        <v>27</v>
      </c>
      <c r="BP11" s="20" t="s">
        <v>27</v>
      </c>
      <c r="BQ11" s="19" t="s">
        <v>27</v>
      </c>
      <c r="BR11" s="19" t="s">
        <v>27</v>
      </c>
      <c r="BS11" s="19" t="s">
        <v>27</v>
      </c>
      <c r="BT11" s="19" t="s">
        <v>27</v>
      </c>
      <c r="BU11" s="19" t="s">
        <v>27</v>
      </c>
      <c r="BV11" s="19" t="s">
        <v>27</v>
      </c>
      <c r="BW11" s="20" t="s">
        <v>27</v>
      </c>
      <c r="BX11" s="20" t="s">
        <v>27</v>
      </c>
      <c r="BY11" s="20" t="s">
        <v>27</v>
      </c>
      <c r="BZ11" s="20" t="s">
        <v>27</v>
      </c>
      <c r="CA11" s="20">
        <v>155.27000000000001</v>
      </c>
      <c r="CB11" s="20">
        <v>147.49</v>
      </c>
      <c r="CC11" s="20">
        <v>3.608857</v>
      </c>
      <c r="CD11" s="20" t="s">
        <v>26</v>
      </c>
      <c r="CE11" s="20" t="s">
        <v>26</v>
      </c>
      <c r="CF11" s="20" t="s">
        <v>27</v>
      </c>
      <c r="CG11" s="20">
        <v>185.04</v>
      </c>
      <c r="CH11" s="20">
        <v>171.65</v>
      </c>
      <c r="CI11" s="20">
        <v>4.6162599999999996</v>
      </c>
      <c r="CJ11" s="20" t="s">
        <v>27</v>
      </c>
      <c r="CK11" s="20" t="s">
        <v>27</v>
      </c>
      <c r="CL11" s="20" t="s">
        <v>27</v>
      </c>
      <c r="CM11" s="20" t="s">
        <v>27</v>
      </c>
      <c r="CN11" s="20" t="s">
        <v>27</v>
      </c>
      <c r="CO11" s="20" t="s">
        <v>27</v>
      </c>
      <c r="CP11" s="20" t="s">
        <v>27</v>
      </c>
      <c r="CQ11" s="20" t="s">
        <v>27</v>
      </c>
      <c r="CR11" s="20" t="s">
        <v>27</v>
      </c>
      <c r="CS11" s="20" t="s">
        <v>27</v>
      </c>
      <c r="CT11" s="20" t="s">
        <v>27</v>
      </c>
      <c r="CU11" s="20" t="s">
        <v>27</v>
      </c>
      <c r="CV11" s="20" t="s">
        <v>27</v>
      </c>
      <c r="CW11" s="20" t="s">
        <v>27</v>
      </c>
      <c r="CX11" s="20" t="s">
        <v>27</v>
      </c>
      <c r="CY11" s="20" t="s">
        <v>27</v>
      </c>
      <c r="CZ11" s="20" t="s">
        <v>27</v>
      </c>
      <c r="DA11" s="20" t="s">
        <v>27</v>
      </c>
      <c r="DB11" s="19" t="s">
        <v>27</v>
      </c>
      <c r="DC11" s="19">
        <v>2.7</v>
      </c>
      <c r="DD11" s="19" t="s">
        <v>27</v>
      </c>
      <c r="DE11" s="19">
        <v>4.5999999999999996</v>
      </c>
      <c r="DF11" s="19" t="s">
        <v>27</v>
      </c>
      <c r="DG11" s="19" t="s">
        <v>27</v>
      </c>
      <c r="DH11" s="19" t="s">
        <v>27</v>
      </c>
      <c r="DI11" s="19" t="s">
        <v>27</v>
      </c>
      <c r="DJ11" s="19" t="s">
        <v>27</v>
      </c>
      <c r="DK11" s="19" t="s">
        <v>27</v>
      </c>
      <c r="DL11" s="19" t="s">
        <v>27</v>
      </c>
      <c r="DM11" s="19">
        <v>2.9</v>
      </c>
      <c r="DN11" s="19">
        <v>3.2</v>
      </c>
      <c r="DO11" s="19">
        <v>3.5</v>
      </c>
      <c r="DP11" s="19">
        <v>3.8</v>
      </c>
      <c r="DQ11" s="19">
        <v>4.0999999999999996</v>
      </c>
      <c r="DR11" s="19">
        <v>4.4000000000000004</v>
      </c>
      <c r="DS11" s="21">
        <v>4.7</v>
      </c>
    </row>
    <row r="12" spans="1:125" s="22" customFormat="1" ht="14.15" customHeight="1" x14ac:dyDescent="0.25">
      <c r="A12" s="16" t="s">
        <v>1</v>
      </c>
      <c r="B12" s="17">
        <v>3104700</v>
      </c>
      <c r="C12" s="16" t="s">
        <v>32</v>
      </c>
      <c r="D12" s="18" t="str">
        <f>VLOOKUP(B12,Planilha1!$A:$B,2,0)</f>
        <v>Vale do Mucuri</v>
      </c>
      <c r="E12" s="18" t="s">
        <v>0</v>
      </c>
      <c r="F12" s="19" t="s">
        <v>27</v>
      </c>
      <c r="G12" s="19" t="s">
        <v>27</v>
      </c>
      <c r="H12" s="19" t="s">
        <v>27</v>
      </c>
      <c r="I12" s="19" t="s">
        <v>27</v>
      </c>
      <c r="J12" s="19" t="s">
        <v>27</v>
      </c>
      <c r="K12" s="19" t="s">
        <v>27</v>
      </c>
      <c r="L12" s="20" t="s">
        <v>27</v>
      </c>
      <c r="M12" s="19">
        <v>74.2</v>
      </c>
      <c r="N12" s="19">
        <v>94.9</v>
      </c>
      <c r="O12" s="19">
        <v>63.9</v>
      </c>
      <c r="P12" s="19">
        <v>67.099999999999994</v>
      </c>
      <c r="Q12" s="19">
        <v>73.099999999999994</v>
      </c>
      <c r="R12" s="19">
        <v>70</v>
      </c>
      <c r="S12" s="20">
        <v>0.72405399999999998</v>
      </c>
      <c r="T12" s="19">
        <v>81.5</v>
      </c>
      <c r="U12" s="19">
        <v>85.4</v>
      </c>
      <c r="V12" s="19">
        <v>93.9</v>
      </c>
      <c r="W12" s="19">
        <v>61.1</v>
      </c>
      <c r="X12" s="19">
        <v>97</v>
      </c>
      <c r="Y12" s="19">
        <v>78.099999999999994</v>
      </c>
      <c r="Z12" s="20">
        <v>0.80854800000000004</v>
      </c>
      <c r="AA12" s="19">
        <v>91.3</v>
      </c>
      <c r="AB12" s="19">
        <v>91.5</v>
      </c>
      <c r="AC12" s="19">
        <v>97</v>
      </c>
      <c r="AD12" s="19">
        <v>83</v>
      </c>
      <c r="AE12" s="19">
        <v>93</v>
      </c>
      <c r="AF12" s="19">
        <v>92.1</v>
      </c>
      <c r="AG12" s="20">
        <v>0.91079900000000003</v>
      </c>
      <c r="AH12" s="19">
        <v>97.8</v>
      </c>
      <c r="AI12" s="19">
        <v>98.6</v>
      </c>
      <c r="AJ12" s="19">
        <v>99.2</v>
      </c>
      <c r="AK12" s="19">
        <v>97.8</v>
      </c>
      <c r="AL12" s="19">
        <v>95.8</v>
      </c>
      <c r="AM12" s="19">
        <v>97.2</v>
      </c>
      <c r="AN12" s="20">
        <v>0.97705699999999995</v>
      </c>
      <c r="AO12" s="19">
        <v>97.6</v>
      </c>
      <c r="AP12" s="19">
        <v>99</v>
      </c>
      <c r="AQ12" s="19">
        <v>98.3</v>
      </c>
      <c r="AR12" s="19">
        <v>100</v>
      </c>
      <c r="AS12" s="19">
        <v>98.8</v>
      </c>
      <c r="AT12" s="19">
        <v>91.4</v>
      </c>
      <c r="AU12" s="20">
        <v>0.97396899999999997</v>
      </c>
      <c r="AV12" s="19">
        <v>98.1</v>
      </c>
      <c r="AW12" s="19">
        <v>97.5</v>
      </c>
      <c r="AX12" s="19">
        <v>98.7</v>
      </c>
      <c r="AY12" s="19">
        <v>100</v>
      </c>
      <c r="AZ12" s="19">
        <v>100</v>
      </c>
      <c r="BA12" s="19">
        <v>94.4</v>
      </c>
      <c r="BB12" s="20">
        <v>0.98075100000000004</v>
      </c>
      <c r="BC12" s="19">
        <v>100</v>
      </c>
      <c r="BD12" s="19">
        <v>100</v>
      </c>
      <c r="BE12" s="19">
        <v>100</v>
      </c>
      <c r="BF12" s="19">
        <v>100</v>
      </c>
      <c r="BG12" s="19">
        <v>100</v>
      </c>
      <c r="BH12" s="19">
        <v>100</v>
      </c>
      <c r="BI12" s="20">
        <v>1</v>
      </c>
      <c r="BJ12" s="19">
        <v>99.5</v>
      </c>
      <c r="BK12" s="19">
        <v>100</v>
      </c>
      <c r="BL12" s="19">
        <v>100</v>
      </c>
      <c r="BM12" s="19">
        <v>99</v>
      </c>
      <c r="BN12" s="19">
        <v>100</v>
      </c>
      <c r="BO12" s="19">
        <v>98.5</v>
      </c>
      <c r="BP12" s="20">
        <v>0.99495999999999996</v>
      </c>
      <c r="BQ12" s="19">
        <v>100</v>
      </c>
      <c r="BR12" s="19">
        <v>100</v>
      </c>
      <c r="BS12" s="19">
        <v>100</v>
      </c>
      <c r="BT12" s="19">
        <v>100</v>
      </c>
      <c r="BU12" s="19">
        <v>100</v>
      </c>
      <c r="BV12" s="19">
        <v>100</v>
      </c>
      <c r="BW12" s="20">
        <v>1</v>
      </c>
      <c r="BX12" s="20" t="s">
        <v>27</v>
      </c>
      <c r="BY12" s="20" t="s">
        <v>27</v>
      </c>
      <c r="BZ12" s="20" t="s">
        <v>27</v>
      </c>
      <c r="CA12" s="20">
        <v>178.81</v>
      </c>
      <c r="CB12" s="20">
        <v>159.51</v>
      </c>
      <c r="CC12" s="20">
        <v>4.2766390000000003</v>
      </c>
      <c r="CD12" s="20">
        <v>206.78</v>
      </c>
      <c r="CE12" s="20">
        <v>182.32</v>
      </c>
      <c r="CF12" s="20">
        <v>5.2251450000000004</v>
      </c>
      <c r="CG12" s="20">
        <v>206.32</v>
      </c>
      <c r="CH12" s="20">
        <v>189.74</v>
      </c>
      <c r="CI12" s="20">
        <v>5.3512760000000004</v>
      </c>
      <c r="CJ12" s="20">
        <v>198.8</v>
      </c>
      <c r="CK12" s="20">
        <v>182.44</v>
      </c>
      <c r="CL12" s="20">
        <v>5.075037</v>
      </c>
      <c r="CM12" s="20" t="s">
        <v>185</v>
      </c>
      <c r="CN12" s="20" t="s">
        <v>186</v>
      </c>
      <c r="CO12" s="20">
        <v>6.395232</v>
      </c>
      <c r="CP12" s="20">
        <v>210.48</v>
      </c>
      <c r="CQ12" s="20">
        <v>209.45</v>
      </c>
      <c r="CR12" s="20">
        <v>5.7890280000000001</v>
      </c>
      <c r="CS12" s="20">
        <v>211.12</v>
      </c>
      <c r="CT12" s="20">
        <v>205.2</v>
      </c>
      <c r="CU12" s="20">
        <v>5.7239690000000003</v>
      </c>
      <c r="CV12" s="20">
        <v>192.27</v>
      </c>
      <c r="CW12" s="20">
        <v>179</v>
      </c>
      <c r="CX12" s="20">
        <v>4.8878729999999999</v>
      </c>
      <c r="CY12" s="20">
        <v>198.98</v>
      </c>
      <c r="CZ12" s="20">
        <v>196.8</v>
      </c>
      <c r="DA12" s="20">
        <v>5.3395630000000001</v>
      </c>
      <c r="DB12" s="19" t="s">
        <v>27</v>
      </c>
      <c r="DC12" s="19">
        <v>3.1</v>
      </c>
      <c r="DD12" s="19">
        <v>4.2</v>
      </c>
      <c r="DE12" s="19">
        <v>4.9000000000000004</v>
      </c>
      <c r="DF12" s="19">
        <v>5</v>
      </c>
      <c r="DG12" s="19">
        <v>6.2</v>
      </c>
      <c r="DH12" s="19">
        <v>5.7</v>
      </c>
      <c r="DI12" s="19">
        <v>5.7</v>
      </c>
      <c r="DJ12" s="19">
        <v>4.9000000000000004</v>
      </c>
      <c r="DK12" s="19">
        <v>5.3</v>
      </c>
      <c r="DL12" s="19" t="s">
        <v>27</v>
      </c>
      <c r="DM12" s="19">
        <v>3.3</v>
      </c>
      <c r="DN12" s="19">
        <v>3.6</v>
      </c>
      <c r="DO12" s="19">
        <v>3.9</v>
      </c>
      <c r="DP12" s="19">
        <v>4.2</v>
      </c>
      <c r="DQ12" s="19">
        <v>4.5</v>
      </c>
      <c r="DR12" s="19">
        <v>4.8</v>
      </c>
      <c r="DS12" s="21">
        <v>5.0999999999999996</v>
      </c>
      <c r="DU12" s="51">
        <f>DK12-DS12</f>
        <v>0.20000000000000018</v>
      </c>
    </row>
    <row r="13" spans="1:125" s="22" customFormat="1" ht="14.15" customHeight="1" x14ac:dyDescent="0.25">
      <c r="A13" s="16" t="s">
        <v>1</v>
      </c>
      <c r="B13" s="17">
        <v>3106606</v>
      </c>
      <c r="C13" s="16" t="s">
        <v>33</v>
      </c>
      <c r="D13" s="18" t="str">
        <f>VLOOKUP(B13,Planilha1!$A:$B,2,0)</f>
        <v>Vale do Mucuri</v>
      </c>
      <c r="E13" s="18" t="s">
        <v>0</v>
      </c>
      <c r="F13" s="19">
        <v>79.7</v>
      </c>
      <c r="G13" s="19" t="s">
        <v>27</v>
      </c>
      <c r="H13" s="19">
        <v>82.5</v>
      </c>
      <c r="I13" s="19">
        <v>70.5</v>
      </c>
      <c r="J13" s="19">
        <v>81.7</v>
      </c>
      <c r="K13" s="19">
        <v>81.7</v>
      </c>
      <c r="L13" s="20">
        <v>0.78762799999999999</v>
      </c>
      <c r="M13" s="19">
        <v>66.5</v>
      </c>
      <c r="N13" s="19">
        <v>53.4</v>
      </c>
      <c r="O13" s="19">
        <v>78.400000000000006</v>
      </c>
      <c r="P13" s="19">
        <v>66.7</v>
      </c>
      <c r="Q13" s="19">
        <v>90</v>
      </c>
      <c r="R13" s="19">
        <v>51</v>
      </c>
      <c r="S13" s="20">
        <v>0.64772600000000002</v>
      </c>
      <c r="T13" s="19">
        <v>85.7</v>
      </c>
      <c r="U13" s="19">
        <v>100</v>
      </c>
      <c r="V13" s="19">
        <v>96</v>
      </c>
      <c r="W13" s="19">
        <v>67.900000000000006</v>
      </c>
      <c r="X13" s="19">
        <v>93.3</v>
      </c>
      <c r="Y13" s="19">
        <v>82.4</v>
      </c>
      <c r="Z13" s="20">
        <v>0.86209499999999994</v>
      </c>
      <c r="AA13" s="19">
        <v>99.6</v>
      </c>
      <c r="AB13" s="19">
        <v>100</v>
      </c>
      <c r="AC13" s="19">
        <v>100</v>
      </c>
      <c r="AD13" s="19">
        <v>98.6</v>
      </c>
      <c r="AE13" s="19">
        <v>100</v>
      </c>
      <c r="AF13" s="19">
        <v>100</v>
      </c>
      <c r="AG13" s="20">
        <v>0.99716800000000005</v>
      </c>
      <c r="AH13" s="19">
        <v>99.2</v>
      </c>
      <c r="AI13" s="19">
        <v>100</v>
      </c>
      <c r="AJ13" s="19">
        <v>100</v>
      </c>
      <c r="AK13" s="19">
        <v>100</v>
      </c>
      <c r="AL13" s="19">
        <v>96.6</v>
      </c>
      <c r="AM13" s="19">
        <v>100</v>
      </c>
      <c r="AN13" s="20">
        <v>0.99300999999999995</v>
      </c>
      <c r="AO13" s="19">
        <v>99.5</v>
      </c>
      <c r="AP13" s="19">
        <v>100</v>
      </c>
      <c r="AQ13" s="19">
        <v>100</v>
      </c>
      <c r="AR13" s="19">
        <v>100</v>
      </c>
      <c r="AS13" s="19">
        <v>100</v>
      </c>
      <c r="AT13" s="19">
        <v>97.9</v>
      </c>
      <c r="AU13" s="20">
        <v>0.99572799999999995</v>
      </c>
      <c r="AV13" s="19">
        <v>99.6</v>
      </c>
      <c r="AW13" s="19">
        <v>100</v>
      </c>
      <c r="AX13" s="19">
        <v>100</v>
      </c>
      <c r="AY13" s="19">
        <v>100</v>
      </c>
      <c r="AZ13" s="19">
        <v>100</v>
      </c>
      <c r="BA13" s="19">
        <v>97.5</v>
      </c>
      <c r="BB13" s="20">
        <v>0.99489799999999995</v>
      </c>
      <c r="BC13" s="19">
        <v>100</v>
      </c>
      <c r="BD13" s="19">
        <v>100</v>
      </c>
      <c r="BE13" s="19">
        <v>100</v>
      </c>
      <c r="BF13" s="19">
        <v>100</v>
      </c>
      <c r="BG13" s="19">
        <v>100</v>
      </c>
      <c r="BH13" s="19">
        <v>100</v>
      </c>
      <c r="BI13" s="20">
        <v>1</v>
      </c>
      <c r="BJ13" s="19">
        <v>100</v>
      </c>
      <c r="BK13" s="19">
        <v>100</v>
      </c>
      <c r="BL13" s="19">
        <v>100</v>
      </c>
      <c r="BM13" s="19">
        <v>100</v>
      </c>
      <c r="BN13" s="19">
        <v>100</v>
      </c>
      <c r="BO13" s="19">
        <v>100</v>
      </c>
      <c r="BP13" s="20">
        <v>1</v>
      </c>
      <c r="BQ13" s="19">
        <v>100</v>
      </c>
      <c r="BR13" s="19">
        <v>100</v>
      </c>
      <c r="BS13" s="19">
        <v>100</v>
      </c>
      <c r="BT13" s="19">
        <v>100</v>
      </c>
      <c r="BU13" s="19">
        <v>100</v>
      </c>
      <c r="BV13" s="19">
        <v>100</v>
      </c>
      <c r="BW13" s="20">
        <v>1</v>
      </c>
      <c r="BX13" s="20">
        <v>164.8</v>
      </c>
      <c r="BY13" s="20">
        <v>162</v>
      </c>
      <c r="BZ13" s="20">
        <v>4.0578989999999999</v>
      </c>
      <c r="CA13" s="20">
        <v>174.1</v>
      </c>
      <c r="CB13" s="20">
        <v>154.56</v>
      </c>
      <c r="CC13" s="20">
        <v>4.0967539999999998</v>
      </c>
      <c r="CD13" s="20">
        <v>198.35</v>
      </c>
      <c r="CE13" s="20">
        <v>178.92</v>
      </c>
      <c r="CF13" s="20">
        <v>5.0024490000000004</v>
      </c>
      <c r="CG13" s="20">
        <v>218.64</v>
      </c>
      <c r="CH13" s="20">
        <v>194.7</v>
      </c>
      <c r="CI13" s="20">
        <v>5.6765720000000002</v>
      </c>
      <c r="CJ13" s="20">
        <v>218.88</v>
      </c>
      <c r="CK13" s="20">
        <v>194.13</v>
      </c>
      <c r="CL13" s="20">
        <v>5.6707879999999999</v>
      </c>
      <c r="CM13" s="20" t="s">
        <v>168</v>
      </c>
      <c r="CN13" s="20" t="s">
        <v>175</v>
      </c>
      <c r="CO13" s="20">
        <v>6.1345039999999997</v>
      </c>
      <c r="CP13" s="20">
        <v>216.07</v>
      </c>
      <c r="CQ13" s="20">
        <v>213.28</v>
      </c>
      <c r="CR13" s="20">
        <v>5.965344</v>
      </c>
      <c r="CS13" s="20">
        <v>225.79</v>
      </c>
      <c r="CT13" s="20">
        <v>213.35</v>
      </c>
      <c r="CU13" s="20">
        <v>6.1521129999999999</v>
      </c>
      <c r="CV13" s="20" t="s">
        <v>26</v>
      </c>
      <c r="CW13" s="20" t="s">
        <v>26</v>
      </c>
      <c r="CX13" s="20" t="s">
        <v>27</v>
      </c>
      <c r="CY13" s="20">
        <v>212.32</v>
      </c>
      <c r="CZ13" s="20">
        <v>207.88</v>
      </c>
      <c r="DA13" s="20">
        <v>5.795598</v>
      </c>
      <c r="DB13" s="19">
        <v>3.2</v>
      </c>
      <c r="DC13" s="19">
        <v>2.7</v>
      </c>
      <c r="DD13" s="19">
        <v>4.3</v>
      </c>
      <c r="DE13" s="19">
        <v>5.7</v>
      </c>
      <c r="DF13" s="19">
        <v>5.6</v>
      </c>
      <c r="DG13" s="19">
        <v>6.1</v>
      </c>
      <c r="DH13" s="19">
        <v>5.9</v>
      </c>
      <c r="DI13" s="19">
        <v>6.2</v>
      </c>
      <c r="DJ13" s="19" t="s">
        <v>27</v>
      </c>
      <c r="DK13" s="19">
        <v>5.8</v>
      </c>
      <c r="DL13" s="19">
        <v>3.3</v>
      </c>
      <c r="DM13" s="19">
        <v>3.6</v>
      </c>
      <c r="DN13" s="19">
        <v>4</v>
      </c>
      <c r="DO13" s="19">
        <v>4.3</v>
      </c>
      <c r="DP13" s="19">
        <v>4.5999999999999996</v>
      </c>
      <c r="DQ13" s="19">
        <v>4.9000000000000004</v>
      </c>
      <c r="DR13" s="19">
        <v>5.2</v>
      </c>
      <c r="DS13" s="21">
        <v>5.5</v>
      </c>
      <c r="DU13" s="51">
        <f t="shared" ref="DU13:DU31" si="0">DK13-DS13</f>
        <v>0.29999999999999982</v>
      </c>
    </row>
    <row r="14" spans="1:125" s="22" customFormat="1" ht="14.15" customHeight="1" x14ac:dyDescent="0.25">
      <c r="A14" s="16" t="s">
        <v>1</v>
      </c>
      <c r="B14" s="17">
        <v>3113701</v>
      </c>
      <c r="C14" s="16" t="s">
        <v>34</v>
      </c>
      <c r="D14" s="18" t="str">
        <f>VLOOKUP(B14,Planilha1!$A:$B,2,0)</f>
        <v>Vale do Mucuri</v>
      </c>
      <c r="E14" s="18" t="s">
        <v>0</v>
      </c>
      <c r="F14" s="19">
        <v>76.900000000000006</v>
      </c>
      <c r="G14" s="19">
        <v>85</v>
      </c>
      <c r="H14" s="19">
        <v>64.5</v>
      </c>
      <c r="I14" s="19">
        <v>74.3</v>
      </c>
      <c r="J14" s="19">
        <v>82.3</v>
      </c>
      <c r="K14" s="19">
        <v>82.8</v>
      </c>
      <c r="L14" s="20">
        <v>0.76975800000000005</v>
      </c>
      <c r="M14" s="19">
        <v>93.2</v>
      </c>
      <c r="N14" s="19">
        <v>98.9</v>
      </c>
      <c r="O14" s="19">
        <v>97.2</v>
      </c>
      <c r="P14" s="19">
        <v>83.9</v>
      </c>
      <c r="Q14" s="19">
        <v>98.3</v>
      </c>
      <c r="R14" s="19">
        <v>86.2</v>
      </c>
      <c r="S14" s="20">
        <v>0.92434899999999998</v>
      </c>
      <c r="T14" s="19">
        <v>92.8</v>
      </c>
      <c r="U14" s="19">
        <v>98.3</v>
      </c>
      <c r="V14" s="19">
        <v>98.1</v>
      </c>
      <c r="W14" s="19">
        <v>82.3</v>
      </c>
      <c r="X14" s="19">
        <v>99.3</v>
      </c>
      <c r="Y14" s="19">
        <v>89.2</v>
      </c>
      <c r="Z14" s="20">
        <v>0.92939300000000002</v>
      </c>
      <c r="AA14" s="19">
        <v>92.6</v>
      </c>
      <c r="AB14" s="19">
        <v>96.8</v>
      </c>
      <c r="AC14" s="19">
        <v>99.6</v>
      </c>
      <c r="AD14" s="19">
        <v>80.900000000000006</v>
      </c>
      <c r="AE14" s="19">
        <v>98.8</v>
      </c>
      <c r="AF14" s="19">
        <v>90.5</v>
      </c>
      <c r="AG14" s="20">
        <v>0.92759499999999995</v>
      </c>
      <c r="AH14" s="19">
        <v>96.3</v>
      </c>
      <c r="AI14" s="19">
        <v>96.3</v>
      </c>
      <c r="AJ14" s="19">
        <v>96.8</v>
      </c>
      <c r="AK14" s="19">
        <v>97.1</v>
      </c>
      <c r="AL14" s="19">
        <v>97.7</v>
      </c>
      <c r="AM14" s="19">
        <v>94</v>
      </c>
      <c r="AN14" s="20">
        <v>0.96362899999999996</v>
      </c>
      <c r="AO14" s="19">
        <v>95.1</v>
      </c>
      <c r="AP14" s="19">
        <v>97.8</v>
      </c>
      <c r="AQ14" s="19">
        <v>98.9</v>
      </c>
      <c r="AR14" s="19">
        <v>89.3</v>
      </c>
      <c r="AS14" s="19">
        <v>99</v>
      </c>
      <c r="AT14" s="19">
        <v>91.4</v>
      </c>
      <c r="AU14" s="20">
        <v>0.95099900000000004</v>
      </c>
      <c r="AV14" s="19">
        <v>95.6</v>
      </c>
      <c r="AW14" s="19">
        <v>96.9</v>
      </c>
      <c r="AX14" s="19">
        <v>98.2</v>
      </c>
      <c r="AY14" s="19">
        <v>90.4</v>
      </c>
      <c r="AZ14" s="19">
        <v>98.7</v>
      </c>
      <c r="BA14" s="19">
        <v>96.1</v>
      </c>
      <c r="BB14" s="20">
        <v>0.95964300000000002</v>
      </c>
      <c r="BC14" s="19">
        <v>92.8</v>
      </c>
      <c r="BD14" s="19">
        <v>98</v>
      </c>
      <c r="BE14" s="19">
        <v>100</v>
      </c>
      <c r="BF14" s="19">
        <v>83.6</v>
      </c>
      <c r="BG14" s="19">
        <v>99.1</v>
      </c>
      <c r="BH14" s="19">
        <v>86.6</v>
      </c>
      <c r="BI14" s="20">
        <v>0.92930000000000001</v>
      </c>
      <c r="BJ14" s="19">
        <v>97.5</v>
      </c>
      <c r="BK14" s="19">
        <v>98.8</v>
      </c>
      <c r="BL14" s="19">
        <v>97.2</v>
      </c>
      <c r="BM14" s="19">
        <v>98.1</v>
      </c>
      <c r="BN14" s="19">
        <v>97.1</v>
      </c>
      <c r="BO14" s="19">
        <v>96.5</v>
      </c>
      <c r="BP14" s="20">
        <v>0.97533300000000001</v>
      </c>
      <c r="BQ14" s="19">
        <v>96</v>
      </c>
      <c r="BR14" s="19">
        <v>100</v>
      </c>
      <c r="BS14" s="19">
        <v>97.3</v>
      </c>
      <c r="BT14" s="19">
        <v>90.4</v>
      </c>
      <c r="BU14" s="19">
        <v>95.8</v>
      </c>
      <c r="BV14" s="19">
        <v>96.2</v>
      </c>
      <c r="BW14" s="20">
        <v>0.95835300000000001</v>
      </c>
      <c r="BX14" s="20">
        <v>174</v>
      </c>
      <c r="BY14" s="20">
        <v>166</v>
      </c>
      <c r="BZ14" s="20">
        <v>4.3024639999999996</v>
      </c>
      <c r="CA14" s="20">
        <v>185.17</v>
      </c>
      <c r="CB14" s="20">
        <v>167.21</v>
      </c>
      <c r="CC14" s="20">
        <v>4.5380130000000003</v>
      </c>
      <c r="CD14" s="20">
        <v>216.32</v>
      </c>
      <c r="CE14" s="20">
        <v>195.57</v>
      </c>
      <c r="CF14" s="20">
        <v>5.6481149999999998</v>
      </c>
      <c r="CG14" s="20">
        <v>210.74</v>
      </c>
      <c r="CH14" s="20">
        <v>204.35</v>
      </c>
      <c r="CI14" s="20">
        <v>5.701263</v>
      </c>
      <c r="CJ14" s="20">
        <v>208.12</v>
      </c>
      <c r="CK14" s="20">
        <v>197.43</v>
      </c>
      <c r="CL14" s="20">
        <v>5.5254450000000004</v>
      </c>
      <c r="CM14" s="20" t="s">
        <v>187</v>
      </c>
      <c r="CN14" s="20" t="s">
        <v>184</v>
      </c>
      <c r="CO14" s="20">
        <v>5.8243790000000004</v>
      </c>
      <c r="CP14" s="20">
        <v>221.77</v>
      </c>
      <c r="CQ14" s="20">
        <v>213.6</v>
      </c>
      <c r="CR14" s="20">
        <v>6.0799409999999998</v>
      </c>
      <c r="CS14" s="20">
        <v>211.28</v>
      </c>
      <c r="CT14" s="20">
        <v>200.62</v>
      </c>
      <c r="CU14" s="20">
        <v>5.6437499999999998</v>
      </c>
      <c r="CV14" s="20">
        <v>195.21</v>
      </c>
      <c r="CW14" s="20">
        <v>190.74</v>
      </c>
      <c r="CX14" s="20">
        <v>5.1574340000000003</v>
      </c>
      <c r="CY14" s="20">
        <v>198.88</v>
      </c>
      <c r="CZ14" s="20">
        <v>197.11</v>
      </c>
      <c r="DA14" s="20">
        <v>5.3432909999999998</v>
      </c>
      <c r="DB14" s="19">
        <v>3.3</v>
      </c>
      <c r="DC14" s="19">
        <v>4.2</v>
      </c>
      <c r="DD14" s="19">
        <v>5.2</v>
      </c>
      <c r="DE14" s="19">
        <v>5.3</v>
      </c>
      <c r="DF14" s="19">
        <v>5.3</v>
      </c>
      <c r="DG14" s="19">
        <v>5.5</v>
      </c>
      <c r="DH14" s="19">
        <v>5.8</v>
      </c>
      <c r="DI14" s="19">
        <v>5.2</v>
      </c>
      <c r="DJ14" s="19">
        <v>5</v>
      </c>
      <c r="DK14" s="19">
        <v>5.0999999999999996</v>
      </c>
      <c r="DL14" s="19">
        <v>3.4</v>
      </c>
      <c r="DM14" s="19">
        <v>3.7</v>
      </c>
      <c r="DN14" s="19">
        <v>4.0999999999999996</v>
      </c>
      <c r="DO14" s="19">
        <v>4.4000000000000004</v>
      </c>
      <c r="DP14" s="19">
        <v>4.7</v>
      </c>
      <c r="DQ14" s="19">
        <v>5</v>
      </c>
      <c r="DR14" s="19">
        <v>5.3</v>
      </c>
      <c r="DS14" s="21">
        <v>5.6</v>
      </c>
      <c r="DU14" s="51">
        <f t="shared" si="0"/>
        <v>-0.5</v>
      </c>
    </row>
    <row r="15" spans="1:125" s="22" customFormat="1" ht="14.15" customHeight="1" x14ac:dyDescent="0.25">
      <c r="A15" s="16" t="s">
        <v>1</v>
      </c>
      <c r="B15" s="17">
        <v>3115458</v>
      </c>
      <c r="C15" s="16" t="s">
        <v>35</v>
      </c>
      <c r="D15" s="18" t="str">
        <f>VLOOKUP(B15,Planilha1!$A:$B,2,0)</f>
        <v>Vale do Mucuri</v>
      </c>
      <c r="E15" s="18" t="s">
        <v>0</v>
      </c>
      <c r="F15" s="19" t="s">
        <v>27</v>
      </c>
      <c r="G15" s="19" t="s">
        <v>27</v>
      </c>
      <c r="H15" s="19" t="s">
        <v>27</v>
      </c>
      <c r="I15" s="19" t="s">
        <v>27</v>
      </c>
      <c r="J15" s="19" t="s">
        <v>27</v>
      </c>
      <c r="K15" s="19" t="s">
        <v>27</v>
      </c>
      <c r="L15" s="20" t="s">
        <v>27</v>
      </c>
      <c r="M15" s="19">
        <v>63.4</v>
      </c>
      <c r="N15" s="19">
        <v>91.6</v>
      </c>
      <c r="O15" s="19">
        <v>53.9</v>
      </c>
      <c r="P15" s="19">
        <v>55.5</v>
      </c>
      <c r="Q15" s="19">
        <v>61.5</v>
      </c>
      <c r="R15" s="19">
        <v>62.9</v>
      </c>
      <c r="S15" s="20">
        <v>0.62777499999999997</v>
      </c>
      <c r="T15" s="19">
        <v>76</v>
      </c>
      <c r="U15" s="19">
        <v>93.9</v>
      </c>
      <c r="V15" s="19">
        <v>63</v>
      </c>
      <c r="W15" s="19">
        <v>78.099999999999994</v>
      </c>
      <c r="X15" s="19">
        <v>72.8</v>
      </c>
      <c r="Y15" s="19">
        <v>80.599999999999994</v>
      </c>
      <c r="Z15" s="20">
        <v>0.76370899999999997</v>
      </c>
      <c r="AA15" s="19">
        <v>96.3</v>
      </c>
      <c r="AB15" s="19">
        <v>96.8</v>
      </c>
      <c r="AC15" s="19">
        <v>98.1</v>
      </c>
      <c r="AD15" s="19">
        <v>97.3</v>
      </c>
      <c r="AE15" s="19">
        <v>95.6</v>
      </c>
      <c r="AF15" s="19">
        <v>94</v>
      </c>
      <c r="AG15" s="20">
        <v>0.96338599999999996</v>
      </c>
      <c r="AH15" s="19">
        <v>97.1</v>
      </c>
      <c r="AI15" s="19">
        <v>96.8</v>
      </c>
      <c r="AJ15" s="19">
        <v>98.1</v>
      </c>
      <c r="AK15" s="19">
        <v>97.2</v>
      </c>
      <c r="AL15" s="19">
        <v>97</v>
      </c>
      <c r="AM15" s="19">
        <v>96.7</v>
      </c>
      <c r="AN15" s="20">
        <v>0.97157400000000005</v>
      </c>
      <c r="AO15" s="19">
        <v>99.5</v>
      </c>
      <c r="AP15" s="19">
        <v>100</v>
      </c>
      <c r="AQ15" s="19">
        <v>99.3</v>
      </c>
      <c r="AR15" s="19">
        <v>100</v>
      </c>
      <c r="AS15" s="19">
        <v>99</v>
      </c>
      <c r="AT15" s="19">
        <v>99.3</v>
      </c>
      <c r="AU15" s="20">
        <v>0.99518300000000004</v>
      </c>
      <c r="AV15" s="19">
        <v>99.5</v>
      </c>
      <c r="AW15" s="19">
        <v>99.2</v>
      </c>
      <c r="AX15" s="19">
        <v>100</v>
      </c>
      <c r="AY15" s="19">
        <v>100</v>
      </c>
      <c r="AZ15" s="19">
        <v>99.2</v>
      </c>
      <c r="BA15" s="19">
        <v>99.2</v>
      </c>
      <c r="BB15" s="20">
        <v>0.99518499999999999</v>
      </c>
      <c r="BC15" s="19">
        <v>99.8</v>
      </c>
      <c r="BD15" s="19">
        <v>99</v>
      </c>
      <c r="BE15" s="19">
        <v>100</v>
      </c>
      <c r="BF15" s="19">
        <v>100</v>
      </c>
      <c r="BG15" s="19">
        <v>100</v>
      </c>
      <c r="BH15" s="19">
        <v>100</v>
      </c>
      <c r="BI15" s="20">
        <v>0.99798399999999998</v>
      </c>
      <c r="BJ15" s="19">
        <v>100</v>
      </c>
      <c r="BK15" s="19">
        <v>100</v>
      </c>
      <c r="BL15" s="19">
        <v>100</v>
      </c>
      <c r="BM15" s="19">
        <v>100</v>
      </c>
      <c r="BN15" s="19">
        <v>100</v>
      </c>
      <c r="BO15" s="19">
        <v>100</v>
      </c>
      <c r="BP15" s="20">
        <v>1</v>
      </c>
      <c r="BQ15" s="19">
        <v>100</v>
      </c>
      <c r="BR15" s="19">
        <v>100</v>
      </c>
      <c r="BS15" s="19">
        <v>100</v>
      </c>
      <c r="BT15" s="19">
        <v>100</v>
      </c>
      <c r="BU15" s="19">
        <v>100</v>
      </c>
      <c r="BV15" s="19">
        <v>100</v>
      </c>
      <c r="BW15" s="20">
        <v>1</v>
      </c>
      <c r="BX15" s="20" t="s">
        <v>27</v>
      </c>
      <c r="BY15" s="20" t="s">
        <v>27</v>
      </c>
      <c r="BZ15" s="20" t="s">
        <v>27</v>
      </c>
      <c r="CA15" s="20">
        <v>192.49</v>
      </c>
      <c r="CB15" s="20">
        <v>179.12</v>
      </c>
      <c r="CC15" s="20">
        <v>4.894253</v>
      </c>
      <c r="CD15" s="20">
        <v>209.36</v>
      </c>
      <c r="CE15" s="20">
        <v>183.45</v>
      </c>
      <c r="CF15" s="20">
        <v>5.2949270000000004</v>
      </c>
      <c r="CG15" s="20">
        <v>218.95</v>
      </c>
      <c r="CH15" s="20">
        <v>192.67</v>
      </c>
      <c r="CI15" s="20">
        <v>5.6455789999999997</v>
      </c>
      <c r="CJ15" s="20">
        <v>200.63</v>
      </c>
      <c r="CK15" s="20">
        <v>189.99</v>
      </c>
      <c r="CL15" s="20">
        <v>5.2472329999999996</v>
      </c>
      <c r="CM15" s="20" t="s">
        <v>188</v>
      </c>
      <c r="CN15" s="20" t="s">
        <v>170</v>
      </c>
      <c r="CO15" s="20">
        <v>5.4911289999999999</v>
      </c>
      <c r="CP15" s="20">
        <v>202.41</v>
      </c>
      <c r="CQ15" s="20">
        <v>192.08</v>
      </c>
      <c r="CR15" s="20">
        <v>5.3192029999999999</v>
      </c>
      <c r="CS15" s="20">
        <v>183.74</v>
      </c>
      <c r="CT15" s="20">
        <v>165.87</v>
      </c>
      <c r="CU15" s="20">
        <v>4.4863590000000002</v>
      </c>
      <c r="CV15" s="20">
        <v>189.06</v>
      </c>
      <c r="CW15" s="20">
        <v>175.44</v>
      </c>
      <c r="CX15" s="20">
        <v>4.7618859999999996</v>
      </c>
      <c r="CY15" s="20">
        <v>198.79</v>
      </c>
      <c r="CZ15" s="20">
        <v>198.89</v>
      </c>
      <c r="DA15" s="20">
        <v>5.3739369999999997</v>
      </c>
      <c r="DB15" s="19" t="s">
        <v>27</v>
      </c>
      <c r="DC15" s="19">
        <v>3.1</v>
      </c>
      <c r="DD15" s="19">
        <v>4</v>
      </c>
      <c r="DE15" s="19">
        <v>5.4</v>
      </c>
      <c r="DF15" s="19">
        <v>5.0999999999999996</v>
      </c>
      <c r="DG15" s="19">
        <v>5.5</v>
      </c>
      <c r="DH15" s="19">
        <v>5.3</v>
      </c>
      <c r="DI15" s="19">
        <v>4.5</v>
      </c>
      <c r="DJ15" s="19">
        <v>4.8</v>
      </c>
      <c r="DK15" s="19">
        <v>5.4</v>
      </c>
      <c r="DL15" s="19" t="s">
        <v>27</v>
      </c>
      <c r="DM15" s="19">
        <v>3.4</v>
      </c>
      <c r="DN15" s="19">
        <v>3.7</v>
      </c>
      <c r="DO15" s="19">
        <v>4</v>
      </c>
      <c r="DP15" s="19">
        <v>4.3</v>
      </c>
      <c r="DQ15" s="19">
        <v>4.5999999999999996</v>
      </c>
      <c r="DR15" s="19">
        <v>4.9000000000000004</v>
      </c>
      <c r="DS15" s="21">
        <v>5.2</v>
      </c>
      <c r="DU15" s="51">
        <f t="shared" si="0"/>
        <v>0.20000000000000018</v>
      </c>
    </row>
    <row r="16" spans="1:125" s="22" customFormat="1" ht="14.15" customHeight="1" x14ac:dyDescent="0.25">
      <c r="A16" s="16" t="s">
        <v>1</v>
      </c>
      <c r="B16" s="17">
        <v>3120151</v>
      </c>
      <c r="C16" s="16" t="s">
        <v>36</v>
      </c>
      <c r="D16" s="18" t="str">
        <f>VLOOKUP(B16,Planilha1!$A:$B,2,0)</f>
        <v>Vale do Mucuri</v>
      </c>
      <c r="E16" s="18" t="s">
        <v>0</v>
      </c>
      <c r="F16" s="19">
        <v>71.2</v>
      </c>
      <c r="G16" s="19">
        <v>97.7</v>
      </c>
      <c r="H16" s="19">
        <v>53</v>
      </c>
      <c r="I16" s="19">
        <v>72.8</v>
      </c>
      <c r="J16" s="19">
        <v>75</v>
      </c>
      <c r="K16" s="19">
        <v>79.099999999999994</v>
      </c>
      <c r="L16" s="20">
        <v>0.72658400000000001</v>
      </c>
      <c r="M16" s="19">
        <v>86.8</v>
      </c>
      <c r="N16" s="19">
        <v>96.1</v>
      </c>
      <c r="O16" s="19">
        <v>88.1</v>
      </c>
      <c r="P16" s="19">
        <v>72.7</v>
      </c>
      <c r="Q16" s="19">
        <v>94.3</v>
      </c>
      <c r="R16" s="19">
        <v>82.8</v>
      </c>
      <c r="S16" s="20">
        <v>0.85920300000000005</v>
      </c>
      <c r="T16" s="19">
        <v>82</v>
      </c>
      <c r="U16" s="19">
        <v>79.8</v>
      </c>
      <c r="V16" s="19">
        <v>90.9</v>
      </c>
      <c r="W16" s="19">
        <v>69.5</v>
      </c>
      <c r="X16" s="19">
        <v>90.9</v>
      </c>
      <c r="Y16" s="19">
        <v>85.1</v>
      </c>
      <c r="Z16" s="20">
        <v>0.82409100000000002</v>
      </c>
      <c r="AA16" s="19">
        <v>94.8</v>
      </c>
      <c r="AB16" s="19">
        <v>97.3</v>
      </c>
      <c r="AC16" s="19">
        <v>96.7</v>
      </c>
      <c r="AD16" s="19">
        <v>94.8</v>
      </c>
      <c r="AE16" s="19">
        <v>93.8</v>
      </c>
      <c r="AF16" s="19">
        <v>91.4</v>
      </c>
      <c r="AG16" s="20">
        <v>0.947523</v>
      </c>
      <c r="AH16" s="19">
        <v>98.5</v>
      </c>
      <c r="AI16" s="19">
        <v>98.8</v>
      </c>
      <c r="AJ16" s="19">
        <v>97.2</v>
      </c>
      <c r="AK16" s="19">
        <v>96.4</v>
      </c>
      <c r="AL16" s="19">
        <v>100</v>
      </c>
      <c r="AM16" s="19">
        <v>100</v>
      </c>
      <c r="AN16" s="20">
        <v>0.98458199999999996</v>
      </c>
      <c r="AO16" s="19">
        <v>96.4</v>
      </c>
      <c r="AP16" s="19">
        <v>94.6</v>
      </c>
      <c r="AQ16" s="19">
        <v>97.7</v>
      </c>
      <c r="AR16" s="19">
        <v>92.3</v>
      </c>
      <c r="AS16" s="19">
        <v>98.9</v>
      </c>
      <c r="AT16" s="19">
        <v>98.9</v>
      </c>
      <c r="AU16" s="20">
        <v>0.96408000000000005</v>
      </c>
      <c r="AV16" s="19">
        <v>97.4</v>
      </c>
      <c r="AW16" s="19">
        <v>98.9</v>
      </c>
      <c r="AX16" s="19">
        <v>98.6</v>
      </c>
      <c r="AY16" s="19">
        <v>97.4</v>
      </c>
      <c r="AZ16" s="19">
        <v>95.7</v>
      </c>
      <c r="BA16" s="19">
        <v>96.8</v>
      </c>
      <c r="BB16" s="20">
        <v>0.97465800000000002</v>
      </c>
      <c r="BC16" s="19">
        <v>97.5</v>
      </c>
      <c r="BD16" s="19">
        <v>97.3</v>
      </c>
      <c r="BE16" s="19">
        <v>93.1</v>
      </c>
      <c r="BF16" s="19">
        <v>97.7</v>
      </c>
      <c r="BG16" s="19">
        <v>98.6</v>
      </c>
      <c r="BH16" s="19">
        <v>100</v>
      </c>
      <c r="BI16" s="20">
        <v>0.97283799999999998</v>
      </c>
      <c r="BJ16" s="19">
        <v>96.4</v>
      </c>
      <c r="BK16" s="19">
        <v>98.6</v>
      </c>
      <c r="BL16" s="19">
        <v>100</v>
      </c>
      <c r="BM16" s="19">
        <v>98.4</v>
      </c>
      <c r="BN16" s="19">
        <v>98.3</v>
      </c>
      <c r="BO16" s="19">
        <v>89.4</v>
      </c>
      <c r="BP16" s="20">
        <v>0.96780699999999997</v>
      </c>
      <c r="BQ16" s="19">
        <v>100</v>
      </c>
      <c r="BR16" s="19">
        <v>100</v>
      </c>
      <c r="BS16" s="19">
        <v>100</v>
      </c>
      <c r="BT16" s="19">
        <v>100</v>
      </c>
      <c r="BU16" s="19">
        <v>100</v>
      </c>
      <c r="BV16" s="19">
        <v>100</v>
      </c>
      <c r="BW16" s="20">
        <v>1</v>
      </c>
      <c r="BX16" s="20">
        <v>157.6</v>
      </c>
      <c r="BY16" s="20">
        <v>149</v>
      </c>
      <c r="BZ16" s="20">
        <v>3.682223</v>
      </c>
      <c r="CA16" s="20">
        <v>174.28</v>
      </c>
      <c r="CB16" s="20">
        <v>163.83000000000001</v>
      </c>
      <c r="CC16" s="20">
        <v>4.2687340000000003</v>
      </c>
      <c r="CD16" s="20">
        <v>179.91</v>
      </c>
      <c r="CE16" s="20">
        <v>158.77000000000001</v>
      </c>
      <c r="CF16" s="20">
        <v>4.2841769999999997</v>
      </c>
      <c r="CG16" s="20">
        <v>199.81</v>
      </c>
      <c r="CH16" s="20">
        <v>184.64</v>
      </c>
      <c r="CI16" s="20">
        <v>5.1343120000000004</v>
      </c>
      <c r="CJ16" s="20">
        <v>196.19</v>
      </c>
      <c r="CK16" s="20">
        <v>178.39</v>
      </c>
      <c r="CL16" s="20">
        <v>4.9515909999999996</v>
      </c>
      <c r="CM16" s="20" t="s">
        <v>189</v>
      </c>
      <c r="CN16" s="20" t="s">
        <v>178</v>
      </c>
      <c r="CO16" s="20">
        <v>5.1848989999999997</v>
      </c>
      <c r="CP16" s="20">
        <v>197.43</v>
      </c>
      <c r="CQ16" s="20">
        <v>189.49</v>
      </c>
      <c r="CR16" s="20">
        <v>5.1770740000000002</v>
      </c>
      <c r="CS16" s="20">
        <v>192.62</v>
      </c>
      <c r="CT16" s="20">
        <v>185.35</v>
      </c>
      <c r="CU16" s="20">
        <v>5.0100069999999999</v>
      </c>
      <c r="CV16" s="20">
        <v>179.93</v>
      </c>
      <c r="CW16" s="20">
        <v>175.41</v>
      </c>
      <c r="CX16" s="20">
        <v>4.5871040000000001</v>
      </c>
      <c r="CY16" s="20">
        <v>192.55</v>
      </c>
      <c r="CZ16" s="20">
        <v>183.25</v>
      </c>
      <c r="DA16" s="20">
        <v>4.9704889999999997</v>
      </c>
      <c r="DB16" s="19">
        <v>2.7</v>
      </c>
      <c r="DC16" s="19">
        <v>3.7</v>
      </c>
      <c r="DD16" s="19">
        <v>3.5</v>
      </c>
      <c r="DE16" s="19">
        <v>4.9000000000000004</v>
      </c>
      <c r="DF16" s="19">
        <v>4.9000000000000004</v>
      </c>
      <c r="DG16" s="19">
        <v>5</v>
      </c>
      <c r="DH16" s="19">
        <v>5</v>
      </c>
      <c r="DI16" s="19">
        <v>4.9000000000000004</v>
      </c>
      <c r="DJ16" s="19">
        <v>4.4000000000000004</v>
      </c>
      <c r="DK16" s="19">
        <v>5</v>
      </c>
      <c r="DL16" s="19">
        <v>2.7</v>
      </c>
      <c r="DM16" s="19">
        <v>3.1</v>
      </c>
      <c r="DN16" s="19">
        <v>3.5</v>
      </c>
      <c r="DO16" s="19">
        <v>3.7</v>
      </c>
      <c r="DP16" s="19">
        <v>4</v>
      </c>
      <c r="DQ16" s="19">
        <v>4.3</v>
      </c>
      <c r="DR16" s="19">
        <v>4.5999999999999996</v>
      </c>
      <c r="DS16" s="21">
        <v>5</v>
      </c>
      <c r="DU16" s="51">
        <f t="shared" si="0"/>
        <v>0</v>
      </c>
    </row>
    <row r="17" spans="1:125" s="22" customFormat="1" ht="14.15" customHeight="1" x14ac:dyDescent="0.25">
      <c r="A17" s="16" t="s">
        <v>1</v>
      </c>
      <c r="B17" s="17">
        <v>3126752</v>
      </c>
      <c r="C17" s="16" t="s">
        <v>37</v>
      </c>
      <c r="D17" s="18" t="str">
        <f>VLOOKUP(B17,Planilha1!$A:$B,2,0)</f>
        <v>Vale do Mucuri</v>
      </c>
      <c r="E17" s="18" t="s">
        <v>0</v>
      </c>
      <c r="F17" s="19">
        <v>62.5</v>
      </c>
      <c r="G17" s="19">
        <v>93.1</v>
      </c>
      <c r="H17" s="19">
        <v>46.8</v>
      </c>
      <c r="I17" s="19">
        <v>51.9</v>
      </c>
      <c r="J17" s="19">
        <v>66.099999999999994</v>
      </c>
      <c r="K17" s="19">
        <v>70.7</v>
      </c>
      <c r="L17" s="20">
        <v>0.61996799999999996</v>
      </c>
      <c r="M17" s="19">
        <v>83.1</v>
      </c>
      <c r="N17" s="19">
        <v>92.8</v>
      </c>
      <c r="O17" s="19">
        <v>86.5</v>
      </c>
      <c r="P17" s="19">
        <v>83.7</v>
      </c>
      <c r="Q17" s="19">
        <v>70.099999999999994</v>
      </c>
      <c r="R17" s="19">
        <v>80.2</v>
      </c>
      <c r="S17" s="20">
        <v>0.81942800000000005</v>
      </c>
      <c r="T17" s="19">
        <v>87</v>
      </c>
      <c r="U17" s="19">
        <v>96.1</v>
      </c>
      <c r="V17" s="19">
        <v>95.7</v>
      </c>
      <c r="W17" s="19">
        <v>73.7</v>
      </c>
      <c r="X17" s="19">
        <v>95.3</v>
      </c>
      <c r="Y17" s="19">
        <v>85.2</v>
      </c>
      <c r="Z17" s="20">
        <v>0.88255099999999997</v>
      </c>
      <c r="AA17" s="19">
        <v>97.8</v>
      </c>
      <c r="AB17" s="19">
        <v>98.3</v>
      </c>
      <c r="AC17" s="19">
        <v>100</v>
      </c>
      <c r="AD17" s="19">
        <v>98</v>
      </c>
      <c r="AE17" s="19">
        <v>99.2</v>
      </c>
      <c r="AF17" s="19">
        <v>94.9</v>
      </c>
      <c r="AG17" s="20">
        <v>0.980487</v>
      </c>
      <c r="AH17" s="19">
        <v>98.6</v>
      </c>
      <c r="AI17" s="19">
        <v>100</v>
      </c>
      <c r="AJ17" s="19">
        <v>100</v>
      </c>
      <c r="AK17" s="19">
        <v>98.6</v>
      </c>
      <c r="AL17" s="19">
        <v>97.8</v>
      </c>
      <c r="AM17" s="19">
        <v>97.2</v>
      </c>
      <c r="AN17" s="20">
        <v>0.98706899999999997</v>
      </c>
      <c r="AO17" s="19">
        <v>98.8</v>
      </c>
      <c r="AP17" s="19">
        <v>100</v>
      </c>
      <c r="AQ17" s="19">
        <v>100</v>
      </c>
      <c r="AR17" s="19">
        <v>96.3</v>
      </c>
      <c r="AS17" s="19">
        <v>98.4</v>
      </c>
      <c r="AT17" s="19">
        <v>100</v>
      </c>
      <c r="AU17" s="20">
        <v>0.98918200000000001</v>
      </c>
      <c r="AV17" s="19">
        <v>97.1</v>
      </c>
      <c r="AW17" s="19">
        <v>100</v>
      </c>
      <c r="AX17" s="19">
        <v>100</v>
      </c>
      <c r="AY17" s="19">
        <v>85.5</v>
      </c>
      <c r="AZ17" s="19">
        <v>98.9</v>
      </c>
      <c r="BA17" s="19">
        <v>100</v>
      </c>
      <c r="BB17" s="20">
        <v>0.96511800000000003</v>
      </c>
      <c r="BC17" s="19">
        <v>100</v>
      </c>
      <c r="BD17" s="19">
        <v>100</v>
      </c>
      <c r="BE17" s="19">
        <v>100</v>
      </c>
      <c r="BF17" s="19">
        <v>100</v>
      </c>
      <c r="BG17" s="19">
        <v>100</v>
      </c>
      <c r="BH17" s="19">
        <v>100</v>
      </c>
      <c r="BI17" s="20">
        <v>1</v>
      </c>
      <c r="BJ17" s="19">
        <v>99.6</v>
      </c>
      <c r="BK17" s="19">
        <v>100</v>
      </c>
      <c r="BL17" s="19">
        <v>100</v>
      </c>
      <c r="BM17" s="19">
        <v>100</v>
      </c>
      <c r="BN17" s="19">
        <v>100</v>
      </c>
      <c r="BO17" s="19">
        <v>98.3</v>
      </c>
      <c r="BP17" s="20">
        <v>0.99655300000000002</v>
      </c>
      <c r="BQ17" s="19">
        <v>99.5</v>
      </c>
      <c r="BR17" s="19">
        <v>98</v>
      </c>
      <c r="BS17" s="19">
        <v>100</v>
      </c>
      <c r="BT17" s="19">
        <v>100</v>
      </c>
      <c r="BU17" s="19">
        <v>100</v>
      </c>
      <c r="BV17" s="19">
        <v>100</v>
      </c>
      <c r="BW17" s="20">
        <v>0.99593500000000001</v>
      </c>
      <c r="BX17" s="20">
        <v>189.8</v>
      </c>
      <c r="BY17" s="20">
        <v>173.4</v>
      </c>
      <c r="BZ17" s="20">
        <v>4.7361180000000003</v>
      </c>
      <c r="CA17" s="20">
        <v>185.52</v>
      </c>
      <c r="CB17" s="20">
        <v>172.67</v>
      </c>
      <c r="CC17" s="20">
        <v>4.6439649999999997</v>
      </c>
      <c r="CD17" s="20">
        <v>188.54</v>
      </c>
      <c r="CE17" s="20">
        <v>176.79</v>
      </c>
      <c r="CF17" s="20">
        <v>4.7765079999999998</v>
      </c>
      <c r="CG17" s="20">
        <v>218.91</v>
      </c>
      <c r="CH17" s="20">
        <v>193.9</v>
      </c>
      <c r="CI17" s="20">
        <v>5.667179</v>
      </c>
      <c r="CJ17" s="20">
        <v>211.29</v>
      </c>
      <c r="CK17" s="20">
        <v>204.59</v>
      </c>
      <c r="CL17" s="20">
        <v>5.7161229999999996</v>
      </c>
      <c r="CM17" s="20" t="s">
        <v>177</v>
      </c>
      <c r="CN17" s="20" t="s">
        <v>191</v>
      </c>
      <c r="CO17" s="20">
        <v>5.8776000000000002</v>
      </c>
      <c r="CP17" s="20">
        <v>203.56</v>
      </c>
      <c r="CQ17" s="20">
        <v>195.47</v>
      </c>
      <c r="CR17" s="20">
        <v>5.4027859999999999</v>
      </c>
      <c r="CS17" s="20">
        <v>200.48</v>
      </c>
      <c r="CT17" s="20">
        <v>190.78</v>
      </c>
      <c r="CU17" s="20">
        <v>5.2587339999999996</v>
      </c>
      <c r="CV17" s="20" t="s">
        <v>26</v>
      </c>
      <c r="CW17" s="20" t="s">
        <v>26</v>
      </c>
      <c r="CX17" s="20" t="s">
        <v>27</v>
      </c>
      <c r="CY17" s="20">
        <v>208.9</v>
      </c>
      <c r="CZ17" s="20">
        <v>191.58</v>
      </c>
      <c r="DA17" s="20">
        <v>5.433967</v>
      </c>
      <c r="DB17" s="19">
        <v>2.9</v>
      </c>
      <c r="DC17" s="19">
        <v>3.8</v>
      </c>
      <c r="DD17" s="19">
        <v>4.2</v>
      </c>
      <c r="DE17" s="19">
        <v>5.6</v>
      </c>
      <c r="DF17" s="19">
        <v>5.6</v>
      </c>
      <c r="DG17" s="19">
        <v>5.8</v>
      </c>
      <c r="DH17" s="19">
        <v>5.2</v>
      </c>
      <c r="DI17" s="19">
        <v>5.3</v>
      </c>
      <c r="DJ17" s="19" t="s">
        <v>27</v>
      </c>
      <c r="DK17" s="19">
        <v>5.4</v>
      </c>
      <c r="DL17" s="19">
        <v>3</v>
      </c>
      <c r="DM17" s="19">
        <v>3.4</v>
      </c>
      <c r="DN17" s="19">
        <v>3.9</v>
      </c>
      <c r="DO17" s="19">
        <v>4.2</v>
      </c>
      <c r="DP17" s="19">
        <v>4.5</v>
      </c>
      <c r="DQ17" s="19">
        <v>4.8</v>
      </c>
      <c r="DR17" s="19">
        <v>5.0999999999999996</v>
      </c>
      <c r="DS17" s="21">
        <v>5.4</v>
      </c>
      <c r="DU17" s="51">
        <f t="shared" si="0"/>
        <v>0</v>
      </c>
    </row>
    <row r="18" spans="1:125" s="22" customFormat="1" ht="14.15" customHeight="1" x14ac:dyDescent="0.25">
      <c r="A18" s="16" t="s">
        <v>1</v>
      </c>
      <c r="B18" s="17">
        <v>3126802</v>
      </c>
      <c r="C18" s="16" t="s">
        <v>38</v>
      </c>
      <c r="D18" s="18" t="str">
        <f>VLOOKUP(B18,Planilha1!$A:$B,2,0)</f>
        <v>Vale do Mucuri</v>
      </c>
      <c r="E18" s="18" t="s">
        <v>0</v>
      </c>
      <c r="F18" s="19" t="s">
        <v>27</v>
      </c>
      <c r="G18" s="19" t="s">
        <v>27</v>
      </c>
      <c r="H18" s="19" t="s">
        <v>27</v>
      </c>
      <c r="I18" s="19" t="s">
        <v>27</v>
      </c>
      <c r="J18" s="19" t="s">
        <v>27</v>
      </c>
      <c r="K18" s="19" t="s">
        <v>27</v>
      </c>
      <c r="L18" s="20" t="s">
        <v>27</v>
      </c>
      <c r="M18" s="19" t="s">
        <v>27</v>
      </c>
      <c r="N18" s="19" t="s">
        <v>27</v>
      </c>
      <c r="O18" s="19" t="s">
        <v>27</v>
      </c>
      <c r="P18" s="19" t="s">
        <v>27</v>
      </c>
      <c r="Q18" s="19" t="s">
        <v>27</v>
      </c>
      <c r="R18" s="19" t="s">
        <v>27</v>
      </c>
      <c r="S18" s="20" t="s">
        <v>27</v>
      </c>
      <c r="T18" s="19" t="s">
        <v>27</v>
      </c>
      <c r="U18" s="19" t="s">
        <v>27</v>
      </c>
      <c r="V18" s="19" t="s">
        <v>27</v>
      </c>
      <c r="W18" s="19" t="s">
        <v>27</v>
      </c>
      <c r="X18" s="19" t="s">
        <v>27</v>
      </c>
      <c r="Y18" s="19" t="s">
        <v>27</v>
      </c>
      <c r="Z18" s="20" t="s">
        <v>27</v>
      </c>
      <c r="AA18" s="19" t="s">
        <v>27</v>
      </c>
      <c r="AB18" s="19" t="s">
        <v>27</v>
      </c>
      <c r="AC18" s="19" t="s">
        <v>27</v>
      </c>
      <c r="AD18" s="19" t="s">
        <v>27</v>
      </c>
      <c r="AE18" s="19" t="s">
        <v>27</v>
      </c>
      <c r="AF18" s="19" t="s">
        <v>27</v>
      </c>
      <c r="AG18" s="20" t="s">
        <v>27</v>
      </c>
      <c r="AH18" s="19">
        <v>97.3</v>
      </c>
      <c r="AI18" s="19">
        <v>100</v>
      </c>
      <c r="AJ18" s="19">
        <v>100</v>
      </c>
      <c r="AK18" s="19">
        <v>100</v>
      </c>
      <c r="AL18" s="19">
        <v>100</v>
      </c>
      <c r="AM18" s="19">
        <v>88.4</v>
      </c>
      <c r="AN18" s="20">
        <v>0.97442700000000004</v>
      </c>
      <c r="AO18" s="19">
        <v>93.2</v>
      </c>
      <c r="AP18" s="19">
        <v>100</v>
      </c>
      <c r="AQ18" s="19">
        <v>100</v>
      </c>
      <c r="AR18" s="19">
        <v>94.3</v>
      </c>
      <c r="AS18" s="19">
        <v>100</v>
      </c>
      <c r="AT18" s="19">
        <v>79.7</v>
      </c>
      <c r="AU18" s="20">
        <v>0.94070699999999996</v>
      </c>
      <c r="AV18" s="19">
        <v>99.7</v>
      </c>
      <c r="AW18" s="19">
        <v>98.5</v>
      </c>
      <c r="AX18" s="19">
        <v>100</v>
      </c>
      <c r="AY18" s="19">
        <v>100</v>
      </c>
      <c r="AZ18" s="19">
        <v>100</v>
      </c>
      <c r="BA18" s="19">
        <v>100</v>
      </c>
      <c r="BB18" s="20">
        <v>0.99696399999999996</v>
      </c>
      <c r="BC18" s="19">
        <v>96.9</v>
      </c>
      <c r="BD18" s="19">
        <v>100</v>
      </c>
      <c r="BE18" s="19">
        <v>95.3</v>
      </c>
      <c r="BF18" s="19">
        <v>100</v>
      </c>
      <c r="BG18" s="19">
        <v>100</v>
      </c>
      <c r="BH18" s="19">
        <v>90.1</v>
      </c>
      <c r="BI18" s="20">
        <v>0.96914299999999998</v>
      </c>
      <c r="BJ18" s="19">
        <v>100</v>
      </c>
      <c r="BK18" s="19">
        <v>100</v>
      </c>
      <c r="BL18" s="19">
        <v>100</v>
      </c>
      <c r="BM18" s="19">
        <v>100</v>
      </c>
      <c r="BN18" s="19">
        <v>100</v>
      </c>
      <c r="BO18" s="19">
        <v>100</v>
      </c>
      <c r="BP18" s="20">
        <v>1</v>
      </c>
      <c r="BQ18" s="19">
        <v>99.1</v>
      </c>
      <c r="BR18" s="19">
        <v>98.7</v>
      </c>
      <c r="BS18" s="19">
        <v>100</v>
      </c>
      <c r="BT18" s="19">
        <v>100</v>
      </c>
      <c r="BU18" s="19">
        <v>100</v>
      </c>
      <c r="BV18" s="19">
        <v>97.5</v>
      </c>
      <c r="BW18" s="20">
        <v>0.99229699999999998</v>
      </c>
      <c r="BX18" s="20" t="s">
        <v>27</v>
      </c>
      <c r="BY18" s="20" t="s">
        <v>27</v>
      </c>
      <c r="BZ18" s="20" t="s">
        <v>27</v>
      </c>
      <c r="CA18" s="20" t="s">
        <v>27</v>
      </c>
      <c r="CB18" s="20" t="s">
        <v>27</v>
      </c>
      <c r="CC18" s="20" t="s">
        <v>27</v>
      </c>
      <c r="CD18" s="20" t="s">
        <v>27</v>
      </c>
      <c r="CE18" s="20" t="s">
        <v>27</v>
      </c>
      <c r="CF18" s="20" t="s">
        <v>27</v>
      </c>
      <c r="CG18" s="20" t="s">
        <v>27</v>
      </c>
      <c r="CH18" s="20" t="s">
        <v>27</v>
      </c>
      <c r="CI18" s="20" t="s">
        <v>27</v>
      </c>
      <c r="CJ18" s="20">
        <v>246.94</v>
      </c>
      <c r="CK18" s="20">
        <v>225.4</v>
      </c>
      <c r="CL18" s="20">
        <v>6.7748299999999997</v>
      </c>
      <c r="CM18" s="20" t="s">
        <v>183</v>
      </c>
      <c r="CN18" s="20" t="s">
        <v>176</v>
      </c>
      <c r="CO18" s="20">
        <v>5.9666569999999997</v>
      </c>
      <c r="CP18" s="20">
        <v>219.36</v>
      </c>
      <c r="CQ18" s="20">
        <v>203.88</v>
      </c>
      <c r="CR18" s="20">
        <v>5.857221</v>
      </c>
      <c r="CS18" s="20">
        <v>224.35</v>
      </c>
      <c r="CT18" s="20">
        <v>208.59</v>
      </c>
      <c r="CU18" s="20">
        <v>6.038087</v>
      </c>
      <c r="CV18" s="20" t="s">
        <v>26</v>
      </c>
      <c r="CW18" s="20" t="s">
        <v>26</v>
      </c>
      <c r="CX18" s="20" t="s">
        <v>27</v>
      </c>
      <c r="CY18" s="20">
        <v>203.24</v>
      </c>
      <c r="CZ18" s="20">
        <v>190.24</v>
      </c>
      <c r="DA18" s="20">
        <v>5.3015879999999997</v>
      </c>
      <c r="DB18" s="19" t="s">
        <v>27</v>
      </c>
      <c r="DC18" s="19" t="s">
        <v>27</v>
      </c>
      <c r="DD18" s="19" t="s">
        <v>27</v>
      </c>
      <c r="DE18" s="19" t="s">
        <v>27</v>
      </c>
      <c r="DF18" s="19">
        <v>6.6</v>
      </c>
      <c r="DG18" s="19">
        <v>5.6</v>
      </c>
      <c r="DH18" s="19">
        <v>5.8</v>
      </c>
      <c r="DI18" s="19">
        <v>5.9</v>
      </c>
      <c r="DJ18" s="19" t="s">
        <v>27</v>
      </c>
      <c r="DK18" s="19">
        <v>5.3</v>
      </c>
      <c r="DL18" s="19" t="s">
        <v>27</v>
      </c>
      <c r="DM18" s="19" t="s">
        <v>27</v>
      </c>
      <c r="DN18" s="19" t="s">
        <v>27</v>
      </c>
      <c r="DO18" s="19" t="s">
        <v>27</v>
      </c>
      <c r="DP18" s="19">
        <v>6.8</v>
      </c>
      <c r="DQ18" s="19">
        <v>7</v>
      </c>
      <c r="DR18" s="19">
        <v>7.2</v>
      </c>
      <c r="DS18" s="21">
        <v>7.4</v>
      </c>
      <c r="DU18" s="51">
        <f t="shared" si="0"/>
        <v>-2.1000000000000005</v>
      </c>
    </row>
    <row r="19" spans="1:125" s="22" customFormat="1" ht="14.15" customHeight="1" x14ac:dyDescent="0.25">
      <c r="A19" s="16" t="s">
        <v>1</v>
      </c>
      <c r="B19" s="17">
        <v>3127057</v>
      </c>
      <c r="C19" s="16" t="s">
        <v>39</v>
      </c>
      <c r="D19" s="18" t="str">
        <f>VLOOKUP(B19,Planilha1!$A:$B,2,0)</f>
        <v>Vale do Mucuri</v>
      </c>
      <c r="E19" s="18" t="s">
        <v>0</v>
      </c>
      <c r="F19" s="19">
        <v>86.1</v>
      </c>
      <c r="G19" s="19">
        <v>95.8</v>
      </c>
      <c r="H19" s="19">
        <v>78.7</v>
      </c>
      <c r="I19" s="19">
        <v>86.4</v>
      </c>
      <c r="J19" s="19">
        <v>85.9</v>
      </c>
      <c r="K19" s="19">
        <v>88</v>
      </c>
      <c r="L19" s="20">
        <v>0.86619000000000002</v>
      </c>
      <c r="M19" s="19">
        <v>83.7</v>
      </c>
      <c r="N19" s="19">
        <v>96.8</v>
      </c>
      <c r="O19" s="19">
        <v>80</v>
      </c>
      <c r="P19" s="19">
        <v>80.3</v>
      </c>
      <c r="Q19" s="19">
        <v>79.599999999999994</v>
      </c>
      <c r="R19" s="19">
        <v>83.7</v>
      </c>
      <c r="S19" s="20">
        <v>0.83620300000000003</v>
      </c>
      <c r="T19" s="19">
        <v>94.2</v>
      </c>
      <c r="U19" s="19">
        <v>97.1</v>
      </c>
      <c r="V19" s="19">
        <v>100</v>
      </c>
      <c r="W19" s="19">
        <v>91.9</v>
      </c>
      <c r="X19" s="19">
        <v>98.6</v>
      </c>
      <c r="Y19" s="19">
        <v>78.099999999999994</v>
      </c>
      <c r="Z19" s="20">
        <v>0.92376800000000003</v>
      </c>
      <c r="AA19" s="19">
        <v>97.3</v>
      </c>
      <c r="AB19" s="19">
        <v>100</v>
      </c>
      <c r="AC19" s="19">
        <v>97.3</v>
      </c>
      <c r="AD19" s="19">
        <v>94</v>
      </c>
      <c r="AE19" s="19">
        <v>98.8</v>
      </c>
      <c r="AF19" s="19">
        <v>98.2</v>
      </c>
      <c r="AG19" s="20">
        <v>0.97617100000000001</v>
      </c>
      <c r="AH19" s="19" t="s">
        <v>27</v>
      </c>
      <c r="AI19" s="19" t="s">
        <v>27</v>
      </c>
      <c r="AJ19" s="19" t="s">
        <v>27</v>
      </c>
      <c r="AK19" s="19" t="s">
        <v>27</v>
      </c>
      <c r="AL19" s="19" t="s">
        <v>27</v>
      </c>
      <c r="AM19" s="19" t="s">
        <v>27</v>
      </c>
      <c r="AN19" s="20" t="s">
        <v>27</v>
      </c>
      <c r="AO19" s="19" t="s">
        <v>27</v>
      </c>
      <c r="AP19" s="19" t="s">
        <v>27</v>
      </c>
      <c r="AQ19" s="19" t="s">
        <v>27</v>
      </c>
      <c r="AR19" s="19" t="s">
        <v>27</v>
      </c>
      <c r="AS19" s="19" t="s">
        <v>27</v>
      </c>
      <c r="AT19" s="19" t="s">
        <v>27</v>
      </c>
      <c r="AU19" s="20" t="s">
        <v>27</v>
      </c>
      <c r="AV19" s="19">
        <v>99.6</v>
      </c>
      <c r="AW19" s="19">
        <v>100</v>
      </c>
      <c r="AX19" s="19">
        <v>100</v>
      </c>
      <c r="AY19" s="19">
        <v>100</v>
      </c>
      <c r="AZ19" s="19">
        <v>97.5</v>
      </c>
      <c r="BA19" s="19">
        <v>100</v>
      </c>
      <c r="BB19" s="20">
        <v>0.99489799999999995</v>
      </c>
      <c r="BC19" s="19">
        <v>100</v>
      </c>
      <c r="BD19" s="19">
        <v>100</v>
      </c>
      <c r="BE19" s="19">
        <v>100</v>
      </c>
      <c r="BF19" s="19">
        <v>100</v>
      </c>
      <c r="BG19" s="19">
        <v>100</v>
      </c>
      <c r="BH19" s="19">
        <v>100</v>
      </c>
      <c r="BI19" s="20">
        <v>1</v>
      </c>
      <c r="BJ19" s="19">
        <v>100</v>
      </c>
      <c r="BK19" s="19">
        <v>100</v>
      </c>
      <c r="BL19" s="19">
        <v>100</v>
      </c>
      <c r="BM19" s="19">
        <v>100</v>
      </c>
      <c r="BN19" s="19">
        <v>100</v>
      </c>
      <c r="BO19" s="19">
        <v>100</v>
      </c>
      <c r="BP19" s="20">
        <v>1</v>
      </c>
      <c r="BQ19" s="19">
        <v>100</v>
      </c>
      <c r="BR19" s="19">
        <v>100</v>
      </c>
      <c r="BS19" s="19">
        <v>100</v>
      </c>
      <c r="BT19" s="19">
        <v>100</v>
      </c>
      <c r="BU19" s="19">
        <v>100</v>
      </c>
      <c r="BV19" s="19">
        <v>100</v>
      </c>
      <c r="BW19" s="20">
        <v>1</v>
      </c>
      <c r="BX19" s="20">
        <v>144.19999999999999</v>
      </c>
      <c r="BY19" s="20">
        <v>142.4</v>
      </c>
      <c r="BZ19" s="20">
        <v>3.3048790000000001</v>
      </c>
      <c r="CA19" s="20">
        <v>181.34</v>
      </c>
      <c r="CB19" s="20">
        <v>153.68</v>
      </c>
      <c r="CC19" s="20">
        <v>4.2189220000000001</v>
      </c>
      <c r="CD19" s="20">
        <v>177.57</v>
      </c>
      <c r="CE19" s="20">
        <v>160.38999999999999</v>
      </c>
      <c r="CF19" s="20">
        <v>4.2689750000000002</v>
      </c>
      <c r="CG19" s="20">
        <v>182.72</v>
      </c>
      <c r="CH19" s="20">
        <v>169.93</v>
      </c>
      <c r="CI19" s="20">
        <v>4.5407120000000001</v>
      </c>
      <c r="CJ19" s="20" t="s">
        <v>27</v>
      </c>
      <c r="CK19" s="20" t="s">
        <v>27</v>
      </c>
      <c r="CL19" s="20" t="s">
        <v>27</v>
      </c>
      <c r="CM19" s="20" t="s">
        <v>27</v>
      </c>
      <c r="CN19" s="20" t="s">
        <v>27</v>
      </c>
      <c r="CO19" s="20" t="s">
        <v>27</v>
      </c>
      <c r="CP19" s="20">
        <v>213.36</v>
      </c>
      <c r="CQ19" s="20">
        <v>209.62</v>
      </c>
      <c r="CR19" s="20">
        <v>5.8470810000000002</v>
      </c>
      <c r="CS19" s="20">
        <v>203.07</v>
      </c>
      <c r="CT19" s="20">
        <v>201.23</v>
      </c>
      <c r="CU19" s="20">
        <v>5.4981619999999998</v>
      </c>
      <c r="CV19" s="20" t="s">
        <v>26</v>
      </c>
      <c r="CW19" s="20" t="s">
        <v>26</v>
      </c>
      <c r="CX19" s="20" t="s">
        <v>27</v>
      </c>
      <c r="CY19" s="20">
        <v>166.13</v>
      </c>
      <c r="CZ19" s="20">
        <v>160.32</v>
      </c>
      <c r="DA19" s="20">
        <v>4.0493819999999996</v>
      </c>
      <c r="DB19" s="19">
        <v>2.9</v>
      </c>
      <c r="DC19" s="19">
        <v>3.5</v>
      </c>
      <c r="DD19" s="19">
        <v>3.9</v>
      </c>
      <c r="DE19" s="19">
        <v>4.4000000000000004</v>
      </c>
      <c r="DF19" s="19" t="s">
        <v>27</v>
      </c>
      <c r="DG19" s="19" t="s">
        <v>27</v>
      </c>
      <c r="DH19" s="19">
        <v>5.8</v>
      </c>
      <c r="DI19" s="19">
        <v>5.5</v>
      </c>
      <c r="DJ19" s="19" t="s">
        <v>27</v>
      </c>
      <c r="DK19" s="19">
        <v>4</v>
      </c>
      <c r="DL19" s="19">
        <v>2.9</v>
      </c>
      <c r="DM19" s="19">
        <v>3.3</v>
      </c>
      <c r="DN19" s="19">
        <v>3.7</v>
      </c>
      <c r="DO19" s="19">
        <v>3.9</v>
      </c>
      <c r="DP19" s="19">
        <v>4.2</v>
      </c>
      <c r="DQ19" s="19">
        <v>4.5</v>
      </c>
      <c r="DR19" s="19">
        <v>4.8</v>
      </c>
      <c r="DS19" s="21">
        <v>5.0999999999999996</v>
      </c>
      <c r="DU19" s="51">
        <f t="shared" si="0"/>
        <v>-1.0999999999999996</v>
      </c>
    </row>
    <row r="20" spans="1:125" s="22" customFormat="1" ht="14.15" customHeight="1" x14ac:dyDescent="0.25">
      <c r="A20" s="16" t="s">
        <v>1</v>
      </c>
      <c r="B20" s="17">
        <v>3132305</v>
      </c>
      <c r="C20" s="16" t="s">
        <v>40</v>
      </c>
      <c r="D20" s="18" t="str">
        <f>VLOOKUP(B20,Planilha1!$A:$B,2,0)</f>
        <v>Vale do Mucuri</v>
      </c>
      <c r="E20" s="18" t="s">
        <v>0</v>
      </c>
      <c r="F20" s="19" t="s">
        <v>27</v>
      </c>
      <c r="G20" s="19" t="s">
        <v>27</v>
      </c>
      <c r="H20" s="19" t="s">
        <v>27</v>
      </c>
      <c r="I20" s="19" t="s">
        <v>27</v>
      </c>
      <c r="J20" s="19" t="s">
        <v>27</v>
      </c>
      <c r="K20" s="19" t="s">
        <v>27</v>
      </c>
      <c r="L20" s="20" t="s">
        <v>27</v>
      </c>
      <c r="M20" s="19" t="s">
        <v>27</v>
      </c>
      <c r="N20" s="19" t="s">
        <v>27</v>
      </c>
      <c r="O20" s="19" t="s">
        <v>27</v>
      </c>
      <c r="P20" s="19" t="s">
        <v>27</v>
      </c>
      <c r="Q20" s="19" t="s">
        <v>27</v>
      </c>
      <c r="R20" s="19" t="s">
        <v>27</v>
      </c>
      <c r="S20" s="20" t="s">
        <v>27</v>
      </c>
      <c r="T20" s="19">
        <v>69.7</v>
      </c>
      <c r="U20" s="19">
        <v>81.3</v>
      </c>
      <c r="V20" s="19">
        <v>56.2</v>
      </c>
      <c r="W20" s="19">
        <v>68.400000000000006</v>
      </c>
      <c r="X20" s="19">
        <v>77.900000000000006</v>
      </c>
      <c r="Y20" s="19">
        <v>75</v>
      </c>
      <c r="Z20" s="20">
        <v>0.70537899999999998</v>
      </c>
      <c r="AA20" s="19">
        <v>84.4</v>
      </c>
      <c r="AB20" s="19">
        <v>90.9</v>
      </c>
      <c r="AC20" s="19">
        <v>95.8</v>
      </c>
      <c r="AD20" s="19">
        <v>73.599999999999994</v>
      </c>
      <c r="AE20" s="19">
        <v>78.7</v>
      </c>
      <c r="AF20" s="19">
        <v>81.2</v>
      </c>
      <c r="AG20" s="20">
        <v>0.83266399999999996</v>
      </c>
      <c r="AH20" s="19">
        <v>93.7</v>
      </c>
      <c r="AI20" s="19">
        <v>98</v>
      </c>
      <c r="AJ20" s="19">
        <v>94.7</v>
      </c>
      <c r="AK20" s="19">
        <v>95.8</v>
      </c>
      <c r="AL20" s="19">
        <v>88.4</v>
      </c>
      <c r="AM20" s="19">
        <v>92.1</v>
      </c>
      <c r="AN20" s="20">
        <v>0.93681800000000004</v>
      </c>
      <c r="AO20" s="19">
        <v>99.4</v>
      </c>
      <c r="AP20" s="19">
        <v>99.4</v>
      </c>
      <c r="AQ20" s="19">
        <v>100</v>
      </c>
      <c r="AR20" s="19">
        <v>99.5</v>
      </c>
      <c r="AS20" s="19">
        <v>100</v>
      </c>
      <c r="AT20" s="19">
        <v>98.8</v>
      </c>
      <c r="AU20" s="20">
        <v>0.99538000000000004</v>
      </c>
      <c r="AV20" s="19">
        <v>100</v>
      </c>
      <c r="AW20" s="19">
        <v>100</v>
      </c>
      <c r="AX20" s="19">
        <v>100</v>
      </c>
      <c r="AY20" s="19">
        <v>100</v>
      </c>
      <c r="AZ20" s="19">
        <v>100</v>
      </c>
      <c r="BA20" s="19">
        <v>100</v>
      </c>
      <c r="BB20" s="20">
        <v>1</v>
      </c>
      <c r="BC20" s="19">
        <v>99.7</v>
      </c>
      <c r="BD20" s="19">
        <v>100</v>
      </c>
      <c r="BE20" s="19">
        <v>100</v>
      </c>
      <c r="BF20" s="19">
        <v>100</v>
      </c>
      <c r="BG20" s="19">
        <v>99.2</v>
      </c>
      <c r="BH20" s="19">
        <v>99.3</v>
      </c>
      <c r="BI20" s="20">
        <v>0.99698600000000004</v>
      </c>
      <c r="BJ20" s="19">
        <v>99.8</v>
      </c>
      <c r="BK20" s="19">
        <v>99</v>
      </c>
      <c r="BL20" s="19">
        <v>100</v>
      </c>
      <c r="BM20" s="19">
        <v>100</v>
      </c>
      <c r="BN20" s="19">
        <v>100</v>
      </c>
      <c r="BO20" s="19">
        <v>100</v>
      </c>
      <c r="BP20" s="20">
        <v>0.99798399999999998</v>
      </c>
      <c r="BQ20" s="19">
        <v>99</v>
      </c>
      <c r="BR20" s="19">
        <v>100</v>
      </c>
      <c r="BS20" s="19">
        <v>99</v>
      </c>
      <c r="BT20" s="19">
        <v>100</v>
      </c>
      <c r="BU20" s="19">
        <v>97.7</v>
      </c>
      <c r="BV20" s="19">
        <v>98.1</v>
      </c>
      <c r="BW20" s="20">
        <v>0.98950899999999997</v>
      </c>
      <c r="BX20" s="20" t="s">
        <v>27</v>
      </c>
      <c r="BY20" s="20" t="s">
        <v>27</v>
      </c>
      <c r="BZ20" s="20" t="s">
        <v>27</v>
      </c>
      <c r="CA20" s="20" t="s">
        <v>27</v>
      </c>
      <c r="CB20" s="20" t="s">
        <v>27</v>
      </c>
      <c r="CC20" s="20" t="s">
        <v>27</v>
      </c>
      <c r="CD20" s="20">
        <v>197.56</v>
      </c>
      <c r="CE20" s="20">
        <v>171.83</v>
      </c>
      <c r="CF20" s="20">
        <v>4.8584639999999997</v>
      </c>
      <c r="CG20" s="20">
        <v>208.96</v>
      </c>
      <c r="CH20" s="20">
        <v>187.84</v>
      </c>
      <c r="CI20" s="20">
        <v>5.3671119999999997</v>
      </c>
      <c r="CJ20" s="20">
        <v>222.04</v>
      </c>
      <c r="CK20" s="20">
        <v>191.22</v>
      </c>
      <c r="CL20" s="20">
        <v>5.678185</v>
      </c>
      <c r="CM20" s="20" t="s">
        <v>166</v>
      </c>
      <c r="CN20" s="20" t="s">
        <v>173</v>
      </c>
      <c r="CO20" s="20">
        <v>5.1819649999999999</v>
      </c>
      <c r="CP20" s="20">
        <v>205.76</v>
      </c>
      <c r="CQ20" s="20">
        <v>190.51</v>
      </c>
      <c r="CR20" s="20">
        <v>5.3545879999999997</v>
      </c>
      <c r="CS20" s="20">
        <v>194.84</v>
      </c>
      <c r="CT20" s="20">
        <v>183.43</v>
      </c>
      <c r="CU20" s="20">
        <v>5.0174640000000004</v>
      </c>
      <c r="CV20" s="20" t="s">
        <v>26</v>
      </c>
      <c r="CW20" s="20" t="s">
        <v>26</v>
      </c>
      <c r="CX20" s="20" t="s">
        <v>27</v>
      </c>
      <c r="CY20" s="20">
        <v>201.9</v>
      </c>
      <c r="CZ20" s="20">
        <v>191.1</v>
      </c>
      <c r="DA20" s="20">
        <v>5.291652</v>
      </c>
      <c r="DB20" s="19" t="s">
        <v>27</v>
      </c>
      <c r="DC20" s="19" t="s">
        <v>27</v>
      </c>
      <c r="DD20" s="19">
        <v>3.4</v>
      </c>
      <c r="DE20" s="19">
        <v>4.5</v>
      </c>
      <c r="DF20" s="19">
        <v>5.3</v>
      </c>
      <c r="DG20" s="19">
        <v>5.2</v>
      </c>
      <c r="DH20" s="19">
        <v>5.4</v>
      </c>
      <c r="DI20" s="19">
        <v>5</v>
      </c>
      <c r="DJ20" s="19" t="s">
        <v>27</v>
      </c>
      <c r="DK20" s="19">
        <v>5.2</v>
      </c>
      <c r="DL20" s="19" t="s">
        <v>27</v>
      </c>
      <c r="DM20" s="19" t="s">
        <v>27</v>
      </c>
      <c r="DN20" s="19">
        <v>3.7</v>
      </c>
      <c r="DO20" s="19">
        <v>4</v>
      </c>
      <c r="DP20" s="19">
        <v>4.3</v>
      </c>
      <c r="DQ20" s="19">
        <v>4.5999999999999996</v>
      </c>
      <c r="DR20" s="19">
        <v>4.9000000000000004</v>
      </c>
      <c r="DS20" s="21">
        <v>5.2</v>
      </c>
      <c r="DU20" s="51">
        <f t="shared" si="0"/>
        <v>0</v>
      </c>
    </row>
    <row r="21" spans="1:125" s="22" customFormat="1" ht="14.15" customHeight="1" x14ac:dyDescent="0.25">
      <c r="A21" s="16" t="s">
        <v>1</v>
      </c>
      <c r="B21" s="17">
        <v>3138906</v>
      </c>
      <c r="C21" s="16" t="s">
        <v>41</v>
      </c>
      <c r="D21" s="18" t="str">
        <f>VLOOKUP(B21,Planilha1!$A:$B,2,0)</f>
        <v>Vale do Mucuri</v>
      </c>
      <c r="E21" s="18" t="s">
        <v>0</v>
      </c>
      <c r="F21" s="19">
        <v>78.5</v>
      </c>
      <c r="G21" s="19">
        <v>94.7</v>
      </c>
      <c r="H21" s="19">
        <v>64</v>
      </c>
      <c r="I21" s="19">
        <v>80.8</v>
      </c>
      <c r="J21" s="19">
        <v>79.900000000000006</v>
      </c>
      <c r="K21" s="19">
        <v>85.7</v>
      </c>
      <c r="L21" s="20">
        <v>0.79687399999999997</v>
      </c>
      <c r="M21" s="19">
        <v>79.2</v>
      </c>
      <c r="N21" s="19">
        <v>100</v>
      </c>
      <c r="O21" s="19">
        <v>66.2</v>
      </c>
      <c r="P21" s="19">
        <v>72.599999999999994</v>
      </c>
      <c r="Q21" s="19">
        <v>80.099999999999994</v>
      </c>
      <c r="R21" s="19">
        <v>81</v>
      </c>
      <c r="S21" s="20">
        <v>0.78480700000000003</v>
      </c>
      <c r="T21" s="19">
        <v>87.4</v>
      </c>
      <c r="U21" s="19">
        <v>100</v>
      </c>
      <c r="V21" s="19">
        <v>90</v>
      </c>
      <c r="W21" s="19">
        <v>73.8</v>
      </c>
      <c r="X21" s="19">
        <v>94.2</v>
      </c>
      <c r="Y21" s="19">
        <v>77</v>
      </c>
      <c r="Z21" s="20">
        <v>0.85816300000000001</v>
      </c>
      <c r="AA21" s="19">
        <v>81.5</v>
      </c>
      <c r="AB21" s="19">
        <v>92.9</v>
      </c>
      <c r="AC21" s="19">
        <v>95</v>
      </c>
      <c r="AD21" s="19">
        <v>58.9</v>
      </c>
      <c r="AE21" s="19">
        <v>98.9</v>
      </c>
      <c r="AF21" s="19">
        <v>82</v>
      </c>
      <c r="AG21" s="20">
        <v>0.82542499999999996</v>
      </c>
      <c r="AH21" s="19">
        <v>97</v>
      </c>
      <c r="AI21" s="19">
        <v>95</v>
      </c>
      <c r="AJ21" s="19">
        <v>99</v>
      </c>
      <c r="AK21" s="19">
        <v>99</v>
      </c>
      <c r="AL21" s="19">
        <v>99</v>
      </c>
      <c r="AM21" s="19">
        <v>92.7</v>
      </c>
      <c r="AN21" s="20">
        <v>0.96867599999999998</v>
      </c>
      <c r="AO21" s="19">
        <v>98.9</v>
      </c>
      <c r="AP21" s="19">
        <v>100</v>
      </c>
      <c r="AQ21" s="19">
        <v>100</v>
      </c>
      <c r="AR21" s="19">
        <v>97.7</v>
      </c>
      <c r="AS21" s="19">
        <v>99</v>
      </c>
      <c r="AT21" s="19">
        <v>97.6</v>
      </c>
      <c r="AU21" s="20">
        <v>0.98848800000000003</v>
      </c>
      <c r="AV21" s="19">
        <v>100</v>
      </c>
      <c r="AW21" s="19">
        <v>100</v>
      </c>
      <c r="AX21" s="19">
        <v>100</v>
      </c>
      <c r="AY21" s="19">
        <v>100</v>
      </c>
      <c r="AZ21" s="19">
        <v>100</v>
      </c>
      <c r="BA21" s="19">
        <v>100</v>
      </c>
      <c r="BB21" s="20">
        <v>1</v>
      </c>
      <c r="BC21" s="19">
        <v>99.4</v>
      </c>
      <c r="BD21" s="19">
        <v>100</v>
      </c>
      <c r="BE21" s="19">
        <v>98.2</v>
      </c>
      <c r="BF21" s="19">
        <v>100</v>
      </c>
      <c r="BG21" s="19">
        <v>100</v>
      </c>
      <c r="BH21" s="19">
        <v>98.6</v>
      </c>
      <c r="BI21" s="20">
        <v>0.99353599999999997</v>
      </c>
      <c r="BJ21" s="19">
        <v>99.7</v>
      </c>
      <c r="BK21" s="19">
        <v>100</v>
      </c>
      <c r="BL21" s="19">
        <v>98.8</v>
      </c>
      <c r="BM21" s="19">
        <v>100</v>
      </c>
      <c r="BN21" s="19">
        <v>100</v>
      </c>
      <c r="BO21" s="19">
        <v>100</v>
      </c>
      <c r="BP21" s="20">
        <v>0.99757700000000005</v>
      </c>
      <c r="BQ21" s="19">
        <v>100</v>
      </c>
      <c r="BR21" s="19">
        <v>100</v>
      </c>
      <c r="BS21" s="19">
        <v>100</v>
      </c>
      <c r="BT21" s="19">
        <v>100</v>
      </c>
      <c r="BU21" s="19">
        <v>100</v>
      </c>
      <c r="BV21" s="19">
        <v>100</v>
      </c>
      <c r="BW21" s="20">
        <v>1</v>
      </c>
      <c r="BX21" s="20">
        <v>176.8</v>
      </c>
      <c r="BY21" s="20">
        <v>165.8</v>
      </c>
      <c r="BZ21" s="20">
        <v>4.351362</v>
      </c>
      <c r="CA21" s="20">
        <v>203.87</v>
      </c>
      <c r="CB21" s="20">
        <v>187.4</v>
      </c>
      <c r="CC21" s="20">
        <v>5.2619740000000004</v>
      </c>
      <c r="CD21" s="20">
        <v>217.47</v>
      </c>
      <c r="CE21" s="20">
        <v>198.66</v>
      </c>
      <c r="CF21" s="20">
        <v>5.7262440000000003</v>
      </c>
      <c r="CG21" s="20">
        <v>241.78</v>
      </c>
      <c r="CH21" s="20">
        <v>218.96</v>
      </c>
      <c r="CI21" s="20">
        <v>6.559266</v>
      </c>
      <c r="CJ21" s="20">
        <v>229.78</v>
      </c>
      <c r="CK21" s="20">
        <v>213.55</v>
      </c>
      <c r="CL21" s="20">
        <v>6.2318949999999997</v>
      </c>
      <c r="CM21" s="20" t="s">
        <v>192</v>
      </c>
      <c r="CN21" s="20" t="s">
        <v>190</v>
      </c>
      <c r="CO21" s="20">
        <v>5.7814969999999999</v>
      </c>
      <c r="CP21" s="20">
        <v>214.89</v>
      </c>
      <c r="CQ21" s="20">
        <v>206.51</v>
      </c>
      <c r="CR21" s="20">
        <v>5.8197340000000004</v>
      </c>
      <c r="CS21" s="20">
        <v>232.18</v>
      </c>
      <c r="CT21" s="20">
        <v>220.23</v>
      </c>
      <c r="CU21" s="20">
        <v>6.3991509999999998</v>
      </c>
      <c r="CV21" s="20">
        <v>195.12</v>
      </c>
      <c r="CW21" s="20">
        <v>186.02</v>
      </c>
      <c r="CX21" s="20">
        <v>5.0698990000000004</v>
      </c>
      <c r="CY21" s="20">
        <v>214.05</v>
      </c>
      <c r="CZ21" s="20">
        <v>208.06</v>
      </c>
      <c r="DA21" s="20">
        <v>5.8318849999999998</v>
      </c>
      <c r="DB21" s="19">
        <v>3.5</v>
      </c>
      <c r="DC21" s="19">
        <v>4.0999999999999996</v>
      </c>
      <c r="DD21" s="19">
        <v>4.9000000000000004</v>
      </c>
      <c r="DE21" s="19">
        <v>5.4</v>
      </c>
      <c r="DF21" s="19">
        <v>6</v>
      </c>
      <c r="DG21" s="19">
        <v>5.7</v>
      </c>
      <c r="DH21" s="19">
        <v>5.8</v>
      </c>
      <c r="DI21" s="19">
        <v>6.4</v>
      </c>
      <c r="DJ21" s="19">
        <v>5.0999999999999996</v>
      </c>
      <c r="DK21" s="19">
        <v>5.8</v>
      </c>
      <c r="DL21" s="19">
        <v>3.5</v>
      </c>
      <c r="DM21" s="19">
        <v>3.9</v>
      </c>
      <c r="DN21" s="19">
        <v>4.3</v>
      </c>
      <c r="DO21" s="19">
        <v>4.5999999999999996</v>
      </c>
      <c r="DP21" s="19">
        <v>4.9000000000000004</v>
      </c>
      <c r="DQ21" s="19">
        <v>5.0999999999999996</v>
      </c>
      <c r="DR21" s="19">
        <v>5.4</v>
      </c>
      <c r="DS21" s="21">
        <v>5.7</v>
      </c>
      <c r="DU21" s="51">
        <f t="shared" si="0"/>
        <v>9.9999999999999645E-2</v>
      </c>
    </row>
    <row r="22" spans="1:125" s="22" customFormat="1" ht="14.15" customHeight="1" x14ac:dyDescent="0.25">
      <c r="A22" s="16" t="s">
        <v>1</v>
      </c>
      <c r="B22" s="17">
        <v>3139201</v>
      </c>
      <c r="C22" s="16" t="s">
        <v>42</v>
      </c>
      <c r="D22" s="18" t="str">
        <f>VLOOKUP(B22,Planilha1!$A:$B,2,0)</f>
        <v>Vale do Mucuri</v>
      </c>
      <c r="E22" s="18" t="s">
        <v>0</v>
      </c>
      <c r="F22" s="19">
        <v>68.7</v>
      </c>
      <c r="G22" s="19">
        <v>79.8</v>
      </c>
      <c r="H22" s="19">
        <v>76.2</v>
      </c>
      <c r="I22" s="19">
        <v>58.5</v>
      </c>
      <c r="J22" s="19">
        <v>71.2</v>
      </c>
      <c r="K22" s="19">
        <v>61.4</v>
      </c>
      <c r="L22" s="20">
        <v>0.68417899999999998</v>
      </c>
      <c r="M22" s="19">
        <v>72.599999999999994</v>
      </c>
      <c r="N22" s="19">
        <v>79.8</v>
      </c>
      <c r="O22" s="19">
        <v>74.3</v>
      </c>
      <c r="P22" s="19">
        <v>64.2</v>
      </c>
      <c r="Q22" s="19">
        <v>77.5</v>
      </c>
      <c r="R22" s="19">
        <v>65.900000000000006</v>
      </c>
      <c r="S22" s="20">
        <v>0.71793300000000004</v>
      </c>
      <c r="T22" s="19">
        <v>78.400000000000006</v>
      </c>
      <c r="U22" s="19">
        <v>69.599999999999994</v>
      </c>
      <c r="V22" s="19">
        <v>83.8</v>
      </c>
      <c r="W22" s="19">
        <v>71</v>
      </c>
      <c r="X22" s="19">
        <v>91.3</v>
      </c>
      <c r="Y22" s="19">
        <v>82.6</v>
      </c>
      <c r="Z22" s="20">
        <v>0.78808500000000004</v>
      </c>
      <c r="AA22" s="19">
        <v>86.6</v>
      </c>
      <c r="AB22" s="19">
        <v>82.7</v>
      </c>
      <c r="AC22" s="19">
        <v>89.7</v>
      </c>
      <c r="AD22" s="19">
        <v>72.3</v>
      </c>
      <c r="AE22" s="19">
        <v>95.1</v>
      </c>
      <c r="AF22" s="19">
        <v>94.8</v>
      </c>
      <c r="AG22" s="20">
        <v>0.86006400000000005</v>
      </c>
      <c r="AH22" s="19">
        <v>95.5</v>
      </c>
      <c r="AI22" s="19">
        <v>92.5</v>
      </c>
      <c r="AJ22" s="19">
        <v>98.8</v>
      </c>
      <c r="AK22" s="19">
        <v>89.2</v>
      </c>
      <c r="AL22" s="19">
        <v>98.9</v>
      </c>
      <c r="AM22" s="19">
        <v>99.1</v>
      </c>
      <c r="AN22" s="20">
        <v>0.95520000000000005</v>
      </c>
      <c r="AO22" s="19">
        <v>98.4</v>
      </c>
      <c r="AP22" s="19">
        <v>98.6</v>
      </c>
      <c r="AQ22" s="19">
        <v>100</v>
      </c>
      <c r="AR22" s="19">
        <v>94.3</v>
      </c>
      <c r="AS22" s="19">
        <v>100</v>
      </c>
      <c r="AT22" s="19">
        <v>99.1</v>
      </c>
      <c r="AU22" s="20">
        <v>0.98353100000000004</v>
      </c>
      <c r="AV22" s="19">
        <v>92.1</v>
      </c>
      <c r="AW22" s="19">
        <v>91.7</v>
      </c>
      <c r="AX22" s="19">
        <v>89.4</v>
      </c>
      <c r="AY22" s="19">
        <v>87.9</v>
      </c>
      <c r="AZ22" s="19">
        <v>97.5</v>
      </c>
      <c r="BA22" s="19">
        <v>92.6</v>
      </c>
      <c r="BB22" s="20">
        <v>0.91704600000000003</v>
      </c>
      <c r="BC22" s="19">
        <v>88.7</v>
      </c>
      <c r="BD22" s="19">
        <v>96.6</v>
      </c>
      <c r="BE22" s="19">
        <v>93.8</v>
      </c>
      <c r="BF22" s="19">
        <v>77.599999999999994</v>
      </c>
      <c r="BG22" s="19">
        <v>94</v>
      </c>
      <c r="BH22" s="19">
        <v>80.599999999999994</v>
      </c>
      <c r="BI22" s="20">
        <v>0.87804300000000002</v>
      </c>
      <c r="BJ22" s="19">
        <v>99.5</v>
      </c>
      <c r="BK22" s="19">
        <v>100</v>
      </c>
      <c r="BL22" s="19">
        <v>100</v>
      </c>
      <c r="BM22" s="19">
        <v>100</v>
      </c>
      <c r="BN22" s="19">
        <v>100</v>
      </c>
      <c r="BO22" s="19">
        <v>97.2</v>
      </c>
      <c r="BP22" s="20">
        <v>0.99427200000000004</v>
      </c>
      <c r="BQ22" s="19">
        <v>99.1</v>
      </c>
      <c r="BR22" s="19">
        <v>98.6</v>
      </c>
      <c r="BS22" s="19">
        <v>100</v>
      </c>
      <c r="BT22" s="19">
        <v>98.3</v>
      </c>
      <c r="BU22" s="19">
        <v>98.7</v>
      </c>
      <c r="BV22" s="19">
        <v>100</v>
      </c>
      <c r="BW22" s="20">
        <v>0.99114599999999997</v>
      </c>
      <c r="BX22" s="20">
        <v>180.2</v>
      </c>
      <c r="BY22" s="20">
        <v>171.6</v>
      </c>
      <c r="BZ22" s="20">
        <v>4.5227839999999997</v>
      </c>
      <c r="CA22" s="20">
        <v>186.95</v>
      </c>
      <c r="CB22" s="20">
        <v>173.9</v>
      </c>
      <c r="CC22" s="20">
        <v>4.693619</v>
      </c>
      <c r="CD22" s="20">
        <v>227.7</v>
      </c>
      <c r="CE22" s="20">
        <v>194.85</v>
      </c>
      <c r="CF22" s="20">
        <v>5.8521999999999998</v>
      </c>
      <c r="CG22" s="20">
        <v>216.54</v>
      </c>
      <c r="CH22" s="20">
        <v>201.82</v>
      </c>
      <c r="CI22" s="20">
        <v>5.7659500000000001</v>
      </c>
      <c r="CJ22" s="20">
        <v>232.71</v>
      </c>
      <c r="CK22" s="20">
        <v>204.95</v>
      </c>
      <c r="CL22" s="20">
        <v>6.1314469999999996</v>
      </c>
      <c r="CM22" s="20" t="s">
        <v>193</v>
      </c>
      <c r="CN22" s="20" t="s">
        <v>167</v>
      </c>
      <c r="CO22" s="20">
        <v>5.1444210000000004</v>
      </c>
      <c r="CP22" s="20">
        <v>201.99</v>
      </c>
      <c r="CQ22" s="20">
        <v>201.44</v>
      </c>
      <c r="CR22" s="20">
        <v>5.4813689999999999</v>
      </c>
      <c r="CS22" s="20">
        <v>198.62</v>
      </c>
      <c r="CT22" s="20">
        <v>188.42</v>
      </c>
      <c r="CU22" s="20">
        <v>5.1803290000000004</v>
      </c>
      <c r="CV22" s="20">
        <v>204.03</v>
      </c>
      <c r="CW22" s="20">
        <v>191.04</v>
      </c>
      <c r="CX22" s="20">
        <v>5.3312099999999996</v>
      </c>
      <c r="CY22" s="20">
        <v>216.09</v>
      </c>
      <c r="CZ22" s="20">
        <v>204.19</v>
      </c>
      <c r="DA22" s="20">
        <v>5.8004530000000001</v>
      </c>
      <c r="DB22" s="19">
        <v>3.1</v>
      </c>
      <c r="DC22" s="19">
        <v>3.4</v>
      </c>
      <c r="DD22" s="19">
        <v>4.5999999999999996</v>
      </c>
      <c r="DE22" s="19">
        <v>5</v>
      </c>
      <c r="DF22" s="19">
        <v>5.9</v>
      </c>
      <c r="DG22" s="19">
        <v>5.0999999999999996</v>
      </c>
      <c r="DH22" s="19">
        <v>5</v>
      </c>
      <c r="DI22" s="19">
        <v>4.5</v>
      </c>
      <c r="DJ22" s="19">
        <v>5.3</v>
      </c>
      <c r="DK22" s="19">
        <v>5.7</v>
      </c>
      <c r="DL22" s="19">
        <v>3.2</v>
      </c>
      <c r="DM22" s="19">
        <v>3.5</v>
      </c>
      <c r="DN22" s="19">
        <v>3.9</v>
      </c>
      <c r="DO22" s="19">
        <v>4.2</v>
      </c>
      <c r="DP22" s="19">
        <v>4.5</v>
      </c>
      <c r="DQ22" s="19">
        <v>4.8</v>
      </c>
      <c r="DR22" s="19">
        <v>5.0999999999999996</v>
      </c>
      <c r="DS22" s="21">
        <v>5.4</v>
      </c>
      <c r="DU22" s="51">
        <f t="shared" si="0"/>
        <v>0.29999999999999982</v>
      </c>
    </row>
    <row r="23" spans="1:125" s="22" customFormat="1" ht="14.15" customHeight="1" x14ac:dyDescent="0.25">
      <c r="A23" s="16" t="s">
        <v>1</v>
      </c>
      <c r="B23" s="17">
        <v>3144300</v>
      </c>
      <c r="C23" s="16" t="s">
        <v>43</v>
      </c>
      <c r="D23" s="18" t="str">
        <f>VLOOKUP(B23,Planilha1!$A:$B,2,0)</f>
        <v>Vale do Mucuri</v>
      </c>
      <c r="E23" s="18" t="s">
        <v>0</v>
      </c>
      <c r="F23" s="19">
        <v>78.900000000000006</v>
      </c>
      <c r="G23" s="19">
        <v>90.9</v>
      </c>
      <c r="H23" s="19">
        <v>65</v>
      </c>
      <c r="I23" s="19">
        <v>79.5</v>
      </c>
      <c r="J23" s="19">
        <v>80.099999999999994</v>
      </c>
      <c r="K23" s="19">
        <v>84.3</v>
      </c>
      <c r="L23" s="20">
        <v>0.78975099999999998</v>
      </c>
      <c r="M23" s="19">
        <v>79.900000000000006</v>
      </c>
      <c r="N23" s="19">
        <v>91.5</v>
      </c>
      <c r="O23" s="19">
        <v>74.099999999999994</v>
      </c>
      <c r="P23" s="19">
        <v>70.599999999999994</v>
      </c>
      <c r="Q23" s="19">
        <v>80.5</v>
      </c>
      <c r="R23" s="19">
        <v>81.900000000000006</v>
      </c>
      <c r="S23" s="20">
        <v>0.79087700000000005</v>
      </c>
      <c r="T23" s="19">
        <v>76.5</v>
      </c>
      <c r="U23" s="19">
        <v>78.3</v>
      </c>
      <c r="V23" s="19">
        <v>67.400000000000006</v>
      </c>
      <c r="W23" s="19">
        <v>81.3</v>
      </c>
      <c r="X23" s="19">
        <v>76.099999999999994</v>
      </c>
      <c r="Y23" s="19">
        <v>85.4</v>
      </c>
      <c r="Z23" s="20">
        <v>0.77209899999999998</v>
      </c>
      <c r="AA23" s="19">
        <v>82.9</v>
      </c>
      <c r="AB23" s="19">
        <v>83.2</v>
      </c>
      <c r="AC23" s="19">
        <v>74.7</v>
      </c>
      <c r="AD23" s="19">
        <v>84.4</v>
      </c>
      <c r="AE23" s="19">
        <v>84.7</v>
      </c>
      <c r="AF23" s="19">
        <v>89.5</v>
      </c>
      <c r="AG23" s="20">
        <v>0.83009599999999995</v>
      </c>
      <c r="AH23" s="19">
        <v>98.8</v>
      </c>
      <c r="AI23" s="19">
        <v>99.4</v>
      </c>
      <c r="AJ23" s="19">
        <v>98.7</v>
      </c>
      <c r="AK23" s="19">
        <v>99</v>
      </c>
      <c r="AL23" s="19">
        <v>97.4</v>
      </c>
      <c r="AM23" s="19">
        <v>99.4</v>
      </c>
      <c r="AN23" s="20">
        <v>0.98774399999999996</v>
      </c>
      <c r="AO23" s="19">
        <v>93.1</v>
      </c>
      <c r="AP23" s="19">
        <v>100</v>
      </c>
      <c r="AQ23" s="19">
        <v>96.2</v>
      </c>
      <c r="AR23" s="19">
        <v>86.1</v>
      </c>
      <c r="AS23" s="19">
        <v>92.2</v>
      </c>
      <c r="AT23" s="19">
        <v>92.8</v>
      </c>
      <c r="AU23" s="20">
        <v>0.93229200000000001</v>
      </c>
      <c r="AV23" s="19">
        <v>90</v>
      </c>
      <c r="AW23" s="19">
        <v>98</v>
      </c>
      <c r="AX23" s="19">
        <v>95.5</v>
      </c>
      <c r="AY23" s="19">
        <v>81.900000000000006</v>
      </c>
      <c r="AZ23" s="19">
        <v>89</v>
      </c>
      <c r="BA23" s="19">
        <v>88.3</v>
      </c>
      <c r="BB23" s="20">
        <v>0.90177399999999996</v>
      </c>
      <c r="BC23" s="19">
        <v>95.2</v>
      </c>
      <c r="BD23" s="19">
        <v>100</v>
      </c>
      <c r="BE23" s="19">
        <v>94.9</v>
      </c>
      <c r="BF23" s="19">
        <v>93.9</v>
      </c>
      <c r="BG23" s="19">
        <v>94.2</v>
      </c>
      <c r="BH23" s="19">
        <v>92.9</v>
      </c>
      <c r="BI23" s="20">
        <v>0.95116699999999998</v>
      </c>
      <c r="BJ23" s="19">
        <v>96.6</v>
      </c>
      <c r="BK23" s="19">
        <v>96.3</v>
      </c>
      <c r="BL23" s="19">
        <v>96.9</v>
      </c>
      <c r="BM23" s="19">
        <v>98.1</v>
      </c>
      <c r="BN23" s="19">
        <v>98</v>
      </c>
      <c r="BO23" s="19">
        <v>93.9</v>
      </c>
      <c r="BP23" s="20">
        <v>0.96615499999999999</v>
      </c>
      <c r="BQ23" s="19">
        <v>99.3</v>
      </c>
      <c r="BR23" s="19">
        <v>100</v>
      </c>
      <c r="BS23" s="19">
        <v>100</v>
      </c>
      <c r="BT23" s="19">
        <v>100</v>
      </c>
      <c r="BU23" s="19">
        <v>100</v>
      </c>
      <c r="BV23" s="19">
        <v>95.8</v>
      </c>
      <c r="BW23" s="20">
        <v>0.99130799999999997</v>
      </c>
      <c r="BX23" s="20">
        <v>165</v>
      </c>
      <c r="BY23" s="20">
        <v>157.4</v>
      </c>
      <c r="BZ23" s="20">
        <v>3.9726629999999998</v>
      </c>
      <c r="CA23" s="20">
        <v>168.52</v>
      </c>
      <c r="CB23" s="20">
        <v>151.41</v>
      </c>
      <c r="CC23" s="20">
        <v>3.932992</v>
      </c>
      <c r="CD23" s="20">
        <v>197.26</v>
      </c>
      <c r="CE23" s="20">
        <v>178.93</v>
      </c>
      <c r="CF23" s="20">
        <v>4.9818290000000003</v>
      </c>
      <c r="CG23" s="20">
        <v>194.96</v>
      </c>
      <c r="CH23" s="20">
        <v>183.02</v>
      </c>
      <c r="CI23" s="20">
        <v>5.0122999999999998</v>
      </c>
      <c r="CJ23" s="20">
        <v>197.95</v>
      </c>
      <c r="CK23" s="20">
        <v>184.6</v>
      </c>
      <c r="CL23" s="20">
        <v>5.0980879999999997</v>
      </c>
      <c r="CM23" s="20" t="s">
        <v>194</v>
      </c>
      <c r="CN23" s="20" t="s">
        <v>179</v>
      </c>
      <c r="CO23" s="20">
        <v>4.8908129999999996</v>
      </c>
      <c r="CP23" s="20">
        <v>194.89</v>
      </c>
      <c r="CQ23" s="20">
        <v>192.7</v>
      </c>
      <c r="CR23" s="20">
        <v>5.1869639999999997</v>
      </c>
      <c r="CS23" s="20">
        <v>191.71</v>
      </c>
      <c r="CT23" s="20">
        <v>188.39</v>
      </c>
      <c r="CU23" s="20">
        <v>5.0479130000000003</v>
      </c>
      <c r="CV23" s="20">
        <v>178.98</v>
      </c>
      <c r="CW23" s="20">
        <v>179.58</v>
      </c>
      <c r="CX23" s="20">
        <v>4.6447929999999999</v>
      </c>
      <c r="CY23" s="20">
        <v>183.86</v>
      </c>
      <c r="CZ23" s="20">
        <v>176.83</v>
      </c>
      <c r="DA23" s="20">
        <v>4.6879220000000004</v>
      </c>
      <c r="DB23" s="19">
        <v>3.1</v>
      </c>
      <c r="DC23" s="19">
        <v>3.1</v>
      </c>
      <c r="DD23" s="19">
        <v>3.8</v>
      </c>
      <c r="DE23" s="19">
        <v>4.2</v>
      </c>
      <c r="DF23" s="19">
        <v>5</v>
      </c>
      <c r="DG23" s="19">
        <v>4.5999999999999996</v>
      </c>
      <c r="DH23" s="19">
        <v>4.7</v>
      </c>
      <c r="DI23" s="19">
        <v>4.8</v>
      </c>
      <c r="DJ23" s="19">
        <v>4.5</v>
      </c>
      <c r="DK23" s="19">
        <v>4.5999999999999996</v>
      </c>
      <c r="DL23" s="19">
        <v>3.2</v>
      </c>
      <c r="DM23" s="19">
        <v>3.5</v>
      </c>
      <c r="DN23" s="19">
        <v>3.9</v>
      </c>
      <c r="DO23" s="19">
        <v>4.2</v>
      </c>
      <c r="DP23" s="19">
        <v>4.5</v>
      </c>
      <c r="DQ23" s="19">
        <v>4.8</v>
      </c>
      <c r="DR23" s="19">
        <v>5.0999999999999996</v>
      </c>
      <c r="DS23" s="21">
        <v>5.4</v>
      </c>
      <c r="DU23" s="51">
        <f t="shared" si="0"/>
        <v>-0.80000000000000071</v>
      </c>
    </row>
    <row r="24" spans="1:125" s="22" customFormat="1" ht="14.15" customHeight="1" x14ac:dyDescent="0.25">
      <c r="A24" s="16" t="s">
        <v>1</v>
      </c>
      <c r="B24" s="17">
        <v>3145356</v>
      </c>
      <c r="C24" s="16" t="s">
        <v>44</v>
      </c>
      <c r="D24" s="18" t="str">
        <f>VLOOKUP(B24,Planilha1!$A:$B,2,0)</f>
        <v>Vale do Mucuri</v>
      </c>
      <c r="E24" s="18" t="s">
        <v>0</v>
      </c>
      <c r="F24" s="19" t="s">
        <v>27</v>
      </c>
      <c r="G24" s="19" t="s">
        <v>27</v>
      </c>
      <c r="H24" s="19" t="s">
        <v>27</v>
      </c>
      <c r="I24" s="19" t="s">
        <v>27</v>
      </c>
      <c r="J24" s="19" t="s">
        <v>27</v>
      </c>
      <c r="K24" s="19" t="s">
        <v>27</v>
      </c>
      <c r="L24" s="20" t="s">
        <v>27</v>
      </c>
      <c r="M24" s="19" t="s">
        <v>27</v>
      </c>
      <c r="N24" s="19" t="s">
        <v>27</v>
      </c>
      <c r="O24" s="19" t="s">
        <v>27</v>
      </c>
      <c r="P24" s="19" t="s">
        <v>27</v>
      </c>
      <c r="Q24" s="19" t="s">
        <v>27</v>
      </c>
      <c r="R24" s="19" t="s">
        <v>27</v>
      </c>
      <c r="S24" s="20" t="s">
        <v>27</v>
      </c>
      <c r="T24" s="19" t="s">
        <v>27</v>
      </c>
      <c r="U24" s="19" t="s">
        <v>27</v>
      </c>
      <c r="V24" s="19" t="s">
        <v>27</v>
      </c>
      <c r="W24" s="19" t="s">
        <v>27</v>
      </c>
      <c r="X24" s="19" t="s">
        <v>27</v>
      </c>
      <c r="Y24" s="19" t="s">
        <v>27</v>
      </c>
      <c r="Z24" s="20" t="s">
        <v>27</v>
      </c>
      <c r="AA24" s="19">
        <v>91.3</v>
      </c>
      <c r="AB24" s="19">
        <v>94.6</v>
      </c>
      <c r="AC24" s="19">
        <v>97.1</v>
      </c>
      <c r="AD24" s="19">
        <v>82.8</v>
      </c>
      <c r="AE24" s="19">
        <v>94.6</v>
      </c>
      <c r="AF24" s="19">
        <v>90.2</v>
      </c>
      <c r="AG24" s="20">
        <v>0.91568300000000002</v>
      </c>
      <c r="AH24" s="19">
        <v>96.8</v>
      </c>
      <c r="AI24" s="19">
        <v>98.8</v>
      </c>
      <c r="AJ24" s="19">
        <v>99.2</v>
      </c>
      <c r="AK24" s="19">
        <v>94.2</v>
      </c>
      <c r="AL24" s="19">
        <v>99.3</v>
      </c>
      <c r="AM24" s="19">
        <v>92.6</v>
      </c>
      <c r="AN24" s="20">
        <v>0.96735300000000002</v>
      </c>
      <c r="AO24" s="19">
        <v>95.6</v>
      </c>
      <c r="AP24" s="19">
        <v>99</v>
      </c>
      <c r="AQ24" s="19">
        <v>98.1</v>
      </c>
      <c r="AR24" s="19">
        <v>97.6</v>
      </c>
      <c r="AS24" s="19">
        <v>98.3</v>
      </c>
      <c r="AT24" s="19">
        <v>84.8</v>
      </c>
      <c r="AU24" s="20">
        <v>0.95227200000000001</v>
      </c>
      <c r="AV24" s="19">
        <v>99.6</v>
      </c>
      <c r="AW24" s="19">
        <v>100</v>
      </c>
      <c r="AX24" s="19">
        <v>100</v>
      </c>
      <c r="AY24" s="19">
        <v>99.1</v>
      </c>
      <c r="AZ24" s="19">
        <v>100</v>
      </c>
      <c r="BA24" s="19">
        <v>98.9</v>
      </c>
      <c r="BB24" s="20">
        <v>0.99597500000000005</v>
      </c>
      <c r="BC24" s="19">
        <v>95.4</v>
      </c>
      <c r="BD24" s="19">
        <v>100</v>
      </c>
      <c r="BE24" s="19">
        <v>98.9</v>
      </c>
      <c r="BF24" s="19">
        <v>91</v>
      </c>
      <c r="BG24" s="19">
        <v>96.4</v>
      </c>
      <c r="BH24" s="19">
        <v>91.7</v>
      </c>
      <c r="BI24" s="20">
        <v>0.95458500000000002</v>
      </c>
      <c r="BJ24" s="19">
        <v>99.8</v>
      </c>
      <c r="BK24" s="19">
        <v>98.9</v>
      </c>
      <c r="BL24" s="19">
        <v>100</v>
      </c>
      <c r="BM24" s="19">
        <v>100</v>
      </c>
      <c r="BN24" s="19">
        <v>100</v>
      </c>
      <c r="BO24" s="19">
        <v>100</v>
      </c>
      <c r="BP24" s="20">
        <v>0.99778</v>
      </c>
      <c r="BQ24" s="19">
        <v>96.7</v>
      </c>
      <c r="BR24" s="19">
        <v>100</v>
      </c>
      <c r="BS24" s="19">
        <v>100</v>
      </c>
      <c r="BT24" s="19">
        <v>88.8</v>
      </c>
      <c r="BU24" s="19">
        <v>100</v>
      </c>
      <c r="BV24" s="19">
        <v>93.6</v>
      </c>
      <c r="BW24" s="20">
        <v>0.96255599999999997</v>
      </c>
      <c r="BX24" s="20" t="s">
        <v>27</v>
      </c>
      <c r="BY24" s="20" t="s">
        <v>27</v>
      </c>
      <c r="BZ24" s="20" t="s">
        <v>27</v>
      </c>
      <c r="CA24" s="20" t="s">
        <v>27</v>
      </c>
      <c r="CB24" s="20" t="s">
        <v>27</v>
      </c>
      <c r="CC24" s="20" t="s">
        <v>27</v>
      </c>
      <c r="CD24" s="20" t="s">
        <v>27</v>
      </c>
      <c r="CE24" s="20" t="s">
        <v>27</v>
      </c>
      <c r="CF24" s="20" t="s">
        <v>27</v>
      </c>
      <c r="CG24" s="20">
        <v>202.74</v>
      </c>
      <c r="CH24" s="20">
        <v>182.54</v>
      </c>
      <c r="CI24" s="20">
        <v>5.1520460000000003</v>
      </c>
      <c r="CJ24" s="20">
        <v>215.68</v>
      </c>
      <c r="CK24" s="20">
        <v>196.47</v>
      </c>
      <c r="CL24" s="20">
        <v>5.6522649999999999</v>
      </c>
      <c r="CM24" s="20" t="s">
        <v>172</v>
      </c>
      <c r="CN24" s="20" t="s">
        <v>169</v>
      </c>
      <c r="CO24" s="20">
        <v>5.5908629999999997</v>
      </c>
      <c r="CP24" s="20">
        <v>227.86</v>
      </c>
      <c r="CQ24" s="20">
        <v>212.82</v>
      </c>
      <c r="CR24" s="20">
        <v>6.1819810000000004</v>
      </c>
      <c r="CS24" s="20">
        <v>206.04</v>
      </c>
      <c r="CT24" s="20">
        <v>208.41</v>
      </c>
      <c r="CU24" s="20">
        <v>5.6853870000000004</v>
      </c>
      <c r="CV24" s="20" t="s">
        <v>26</v>
      </c>
      <c r="CW24" s="20" t="s">
        <v>26</v>
      </c>
      <c r="CX24" s="20" t="s">
        <v>27</v>
      </c>
      <c r="CY24" s="20">
        <v>186.72</v>
      </c>
      <c r="CZ24" s="20">
        <v>184.67</v>
      </c>
      <c r="DA24" s="20">
        <v>4.8850480000000003</v>
      </c>
      <c r="DB24" s="19" t="s">
        <v>27</v>
      </c>
      <c r="DC24" s="19" t="s">
        <v>27</v>
      </c>
      <c r="DD24" s="19" t="s">
        <v>27</v>
      </c>
      <c r="DE24" s="19">
        <v>4.7</v>
      </c>
      <c r="DF24" s="19">
        <v>5.5</v>
      </c>
      <c r="DG24" s="19">
        <v>5.3</v>
      </c>
      <c r="DH24" s="19">
        <v>6.2</v>
      </c>
      <c r="DI24" s="19">
        <v>5.4</v>
      </c>
      <c r="DJ24" s="19" t="s">
        <v>27</v>
      </c>
      <c r="DK24" s="19">
        <v>4.7</v>
      </c>
      <c r="DL24" s="19" t="s">
        <v>27</v>
      </c>
      <c r="DM24" s="19" t="s">
        <v>27</v>
      </c>
      <c r="DN24" s="19" t="s">
        <v>27</v>
      </c>
      <c r="DO24" s="19">
        <v>5</v>
      </c>
      <c r="DP24" s="19">
        <v>5.3</v>
      </c>
      <c r="DQ24" s="19">
        <v>5.5</v>
      </c>
      <c r="DR24" s="19">
        <v>5.8</v>
      </c>
      <c r="DS24" s="21">
        <v>6.1</v>
      </c>
      <c r="DU24" s="51">
        <f t="shared" si="0"/>
        <v>-1.3999999999999995</v>
      </c>
    </row>
    <row r="25" spans="1:125" s="22" customFormat="1" ht="14.15" customHeight="1" x14ac:dyDescent="0.25">
      <c r="A25" s="16" t="s">
        <v>1</v>
      </c>
      <c r="B25" s="17">
        <v>3146206</v>
      </c>
      <c r="C25" s="16" t="s">
        <v>45</v>
      </c>
      <c r="D25" s="18" t="str">
        <f>VLOOKUP(B25,Planilha1!$A:$B,2,0)</f>
        <v>Vale do Mucuri</v>
      </c>
      <c r="E25" s="18" t="s">
        <v>0</v>
      </c>
      <c r="F25" s="19" t="s">
        <v>27</v>
      </c>
      <c r="G25" s="19" t="s">
        <v>27</v>
      </c>
      <c r="H25" s="19" t="s">
        <v>27</v>
      </c>
      <c r="I25" s="19" t="s">
        <v>27</v>
      </c>
      <c r="J25" s="19" t="s">
        <v>27</v>
      </c>
      <c r="K25" s="19" t="s">
        <v>27</v>
      </c>
      <c r="L25" s="20" t="s">
        <v>27</v>
      </c>
      <c r="M25" s="19" t="s">
        <v>27</v>
      </c>
      <c r="N25" s="19" t="s">
        <v>27</v>
      </c>
      <c r="O25" s="19" t="s">
        <v>27</v>
      </c>
      <c r="P25" s="19" t="s">
        <v>27</v>
      </c>
      <c r="Q25" s="19" t="s">
        <v>27</v>
      </c>
      <c r="R25" s="19" t="s">
        <v>27</v>
      </c>
      <c r="S25" s="20" t="s">
        <v>27</v>
      </c>
      <c r="T25" s="19" t="s">
        <v>27</v>
      </c>
      <c r="U25" s="19" t="s">
        <v>27</v>
      </c>
      <c r="V25" s="19" t="s">
        <v>27</v>
      </c>
      <c r="W25" s="19" t="s">
        <v>27</v>
      </c>
      <c r="X25" s="19" t="s">
        <v>27</v>
      </c>
      <c r="Y25" s="19" t="s">
        <v>27</v>
      </c>
      <c r="Z25" s="20" t="s">
        <v>27</v>
      </c>
      <c r="AA25" s="19" t="s">
        <v>27</v>
      </c>
      <c r="AB25" s="19" t="s">
        <v>27</v>
      </c>
      <c r="AC25" s="19" t="s">
        <v>27</v>
      </c>
      <c r="AD25" s="19" t="s">
        <v>27</v>
      </c>
      <c r="AE25" s="19" t="s">
        <v>27</v>
      </c>
      <c r="AF25" s="19" t="s">
        <v>27</v>
      </c>
      <c r="AG25" s="20" t="s">
        <v>27</v>
      </c>
      <c r="AH25" s="19" t="s">
        <v>27</v>
      </c>
      <c r="AI25" s="19" t="s">
        <v>27</v>
      </c>
      <c r="AJ25" s="19" t="s">
        <v>27</v>
      </c>
      <c r="AK25" s="19" t="s">
        <v>27</v>
      </c>
      <c r="AL25" s="19" t="s">
        <v>27</v>
      </c>
      <c r="AM25" s="19" t="s">
        <v>27</v>
      </c>
      <c r="AN25" s="20" t="s">
        <v>27</v>
      </c>
      <c r="AO25" s="19" t="s">
        <v>27</v>
      </c>
      <c r="AP25" s="19" t="s">
        <v>27</v>
      </c>
      <c r="AQ25" s="19" t="s">
        <v>27</v>
      </c>
      <c r="AR25" s="19" t="s">
        <v>27</v>
      </c>
      <c r="AS25" s="19" t="s">
        <v>27</v>
      </c>
      <c r="AT25" s="19" t="s">
        <v>27</v>
      </c>
      <c r="AU25" s="20" t="s">
        <v>27</v>
      </c>
      <c r="AV25" s="19">
        <v>98.8</v>
      </c>
      <c r="AW25" s="19">
        <v>98.4</v>
      </c>
      <c r="AX25" s="19">
        <v>100</v>
      </c>
      <c r="AY25" s="19">
        <v>100</v>
      </c>
      <c r="AZ25" s="19">
        <v>96.2</v>
      </c>
      <c r="BA25" s="19">
        <v>100</v>
      </c>
      <c r="BB25" s="20">
        <v>0.98897100000000004</v>
      </c>
      <c r="BC25" s="19" t="s">
        <v>27</v>
      </c>
      <c r="BD25" s="19" t="s">
        <v>27</v>
      </c>
      <c r="BE25" s="19" t="s">
        <v>27</v>
      </c>
      <c r="BF25" s="19" t="s">
        <v>27</v>
      </c>
      <c r="BG25" s="19" t="s">
        <v>27</v>
      </c>
      <c r="BH25" s="19" t="s">
        <v>27</v>
      </c>
      <c r="BI25" s="20" t="s">
        <v>27</v>
      </c>
      <c r="BJ25" s="19">
        <v>100</v>
      </c>
      <c r="BK25" s="19">
        <v>100</v>
      </c>
      <c r="BL25" s="19">
        <v>100</v>
      </c>
      <c r="BM25" s="19">
        <v>100</v>
      </c>
      <c r="BN25" s="19">
        <v>100</v>
      </c>
      <c r="BO25" s="19">
        <v>100</v>
      </c>
      <c r="BP25" s="20">
        <v>1</v>
      </c>
      <c r="BQ25" s="19">
        <v>100</v>
      </c>
      <c r="BR25" s="19">
        <v>100</v>
      </c>
      <c r="BS25" s="19">
        <v>100</v>
      </c>
      <c r="BT25" s="19">
        <v>100</v>
      </c>
      <c r="BU25" s="19">
        <v>100</v>
      </c>
      <c r="BV25" s="19">
        <v>100</v>
      </c>
      <c r="BW25" s="20">
        <v>1</v>
      </c>
      <c r="BX25" s="20" t="s">
        <v>27</v>
      </c>
      <c r="BY25" s="20" t="s">
        <v>27</v>
      </c>
      <c r="BZ25" s="20" t="s">
        <v>27</v>
      </c>
      <c r="CA25" s="20" t="s">
        <v>27</v>
      </c>
      <c r="CB25" s="20" t="s">
        <v>27</v>
      </c>
      <c r="CC25" s="20" t="s">
        <v>27</v>
      </c>
      <c r="CD25" s="20" t="s">
        <v>27</v>
      </c>
      <c r="CE25" s="20" t="s">
        <v>27</v>
      </c>
      <c r="CF25" s="20" t="s">
        <v>27</v>
      </c>
      <c r="CG25" s="20" t="s">
        <v>27</v>
      </c>
      <c r="CH25" s="20" t="s">
        <v>27</v>
      </c>
      <c r="CI25" s="20" t="s">
        <v>27</v>
      </c>
      <c r="CJ25" s="20" t="s">
        <v>27</v>
      </c>
      <c r="CK25" s="20" t="s">
        <v>27</v>
      </c>
      <c r="CL25" s="20" t="s">
        <v>27</v>
      </c>
      <c r="CM25" s="20" t="s">
        <v>27</v>
      </c>
      <c r="CN25" s="20" t="s">
        <v>27</v>
      </c>
      <c r="CO25" s="20" t="s">
        <v>27</v>
      </c>
      <c r="CP25" s="20">
        <v>179.36</v>
      </c>
      <c r="CQ25" s="20">
        <v>159.22999999999999</v>
      </c>
      <c r="CR25" s="20">
        <v>4.282044</v>
      </c>
      <c r="CS25" s="20" t="s">
        <v>27</v>
      </c>
      <c r="CT25" s="20" t="s">
        <v>27</v>
      </c>
      <c r="CU25" s="20" t="s">
        <v>27</v>
      </c>
      <c r="CV25" s="20">
        <v>167.03</v>
      </c>
      <c r="CW25" s="20">
        <v>156.26</v>
      </c>
      <c r="CX25" s="20">
        <v>3.9927389999999998</v>
      </c>
      <c r="CY25" s="20">
        <v>210.35</v>
      </c>
      <c r="CZ25" s="20">
        <v>201.78</v>
      </c>
      <c r="DA25" s="20">
        <v>5.6470929999999999</v>
      </c>
      <c r="DB25" s="19" t="s">
        <v>27</v>
      </c>
      <c r="DC25" s="19" t="s">
        <v>27</v>
      </c>
      <c r="DD25" s="19" t="s">
        <v>27</v>
      </c>
      <c r="DE25" s="19" t="s">
        <v>27</v>
      </c>
      <c r="DF25" s="19" t="s">
        <v>27</v>
      </c>
      <c r="DG25" s="19" t="s">
        <v>27</v>
      </c>
      <c r="DH25" s="19">
        <v>4.2</v>
      </c>
      <c r="DI25" s="19" t="s">
        <v>27</v>
      </c>
      <c r="DJ25" s="19">
        <v>4</v>
      </c>
      <c r="DK25" s="19">
        <v>5.6</v>
      </c>
      <c r="DL25" s="19" t="s">
        <v>27</v>
      </c>
      <c r="DM25" s="19" t="s">
        <v>27</v>
      </c>
      <c r="DN25" s="19" t="s">
        <v>27</v>
      </c>
      <c r="DO25" s="19" t="s">
        <v>27</v>
      </c>
      <c r="DP25" s="19" t="s">
        <v>27</v>
      </c>
      <c r="DQ25" s="19" t="s">
        <v>27</v>
      </c>
      <c r="DR25" s="19">
        <v>4.5</v>
      </c>
      <c r="DS25" s="21">
        <v>4.8</v>
      </c>
      <c r="DU25" s="51">
        <f t="shared" si="0"/>
        <v>0.79999999999999982</v>
      </c>
    </row>
    <row r="26" spans="1:125" s="22" customFormat="1" ht="14.15" customHeight="1" x14ac:dyDescent="0.25">
      <c r="A26" s="16" t="s">
        <v>1</v>
      </c>
      <c r="B26" s="17">
        <v>3148509</v>
      </c>
      <c r="C26" s="16" t="s">
        <v>46</v>
      </c>
      <c r="D26" s="18" t="str">
        <f>VLOOKUP(B26,Planilha1!$A:$B,2,0)</f>
        <v>Vale do Mucuri</v>
      </c>
      <c r="E26" s="18" t="s">
        <v>0</v>
      </c>
      <c r="F26" s="19">
        <v>78.099999999999994</v>
      </c>
      <c r="G26" s="19">
        <v>96.9</v>
      </c>
      <c r="H26" s="19">
        <v>86.5</v>
      </c>
      <c r="I26" s="19">
        <v>62.4</v>
      </c>
      <c r="J26" s="19">
        <v>78.7</v>
      </c>
      <c r="K26" s="19">
        <v>74</v>
      </c>
      <c r="L26" s="20">
        <v>0.77971199999999996</v>
      </c>
      <c r="M26" s="19">
        <v>84.6</v>
      </c>
      <c r="N26" s="19">
        <v>98.9</v>
      </c>
      <c r="O26" s="19">
        <v>97.4</v>
      </c>
      <c r="P26" s="19">
        <v>75</v>
      </c>
      <c r="Q26" s="19">
        <v>83.8</v>
      </c>
      <c r="R26" s="19">
        <v>70.5</v>
      </c>
      <c r="S26" s="20">
        <v>0.83571399999999996</v>
      </c>
      <c r="T26" s="19">
        <v>84.2</v>
      </c>
      <c r="U26" s="19">
        <v>100</v>
      </c>
      <c r="V26" s="19">
        <v>97.5</v>
      </c>
      <c r="W26" s="19">
        <v>61.2</v>
      </c>
      <c r="X26" s="19">
        <v>96</v>
      </c>
      <c r="Y26" s="19">
        <v>76.5</v>
      </c>
      <c r="Z26" s="20">
        <v>0.83215700000000004</v>
      </c>
      <c r="AA26" s="19">
        <v>95.5</v>
      </c>
      <c r="AB26" s="19">
        <v>100</v>
      </c>
      <c r="AC26" s="19">
        <v>100</v>
      </c>
      <c r="AD26" s="19">
        <v>88.2</v>
      </c>
      <c r="AE26" s="19">
        <v>100</v>
      </c>
      <c r="AF26" s="19">
        <v>89.6</v>
      </c>
      <c r="AG26" s="20">
        <v>0.952407</v>
      </c>
      <c r="AH26" s="19">
        <v>93.2</v>
      </c>
      <c r="AI26" s="19">
        <v>100</v>
      </c>
      <c r="AJ26" s="19">
        <v>100</v>
      </c>
      <c r="AK26" s="19">
        <v>87.2</v>
      </c>
      <c r="AL26" s="19">
        <v>94.1</v>
      </c>
      <c r="AM26" s="19">
        <v>89.7</v>
      </c>
      <c r="AN26" s="20">
        <v>0.93908800000000003</v>
      </c>
      <c r="AO26" s="19">
        <v>97</v>
      </c>
      <c r="AP26" s="19">
        <v>100</v>
      </c>
      <c r="AQ26" s="19">
        <v>100</v>
      </c>
      <c r="AR26" s="19">
        <v>86.8</v>
      </c>
      <c r="AS26" s="19">
        <v>98</v>
      </c>
      <c r="AT26" s="19">
        <v>98.3</v>
      </c>
      <c r="AU26" s="20">
        <v>0.96343299999999998</v>
      </c>
      <c r="AV26" s="19">
        <v>98.9</v>
      </c>
      <c r="AW26" s="19">
        <v>100</v>
      </c>
      <c r="AX26" s="19">
        <v>98.4</v>
      </c>
      <c r="AY26" s="19">
        <v>100</v>
      </c>
      <c r="AZ26" s="19">
        <v>100</v>
      </c>
      <c r="BA26" s="19">
        <v>95.7</v>
      </c>
      <c r="BB26" s="20">
        <v>0.98790999999999995</v>
      </c>
      <c r="BC26" s="19">
        <v>100</v>
      </c>
      <c r="BD26" s="19">
        <v>100</v>
      </c>
      <c r="BE26" s="19">
        <v>100</v>
      </c>
      <c r="BF26" s="19">
        <v>100</v>
      </c>
      <c r="BG26" s="19">
        <v>100</v>
      </c>
      <c r="BH26" s="19">
        <v>100</v>
      </c>
      <c r="BI26" s="20">
        <v>1</v>
      </c>
      <c r="BJ26" s="19">
        <v>100</v>
      </c>
      <c r="BK26" s="19">
        <v>100</v>
      </c>
      <c r="BL26" s="19">
        <v>100</v>
      </c>
      <c r="BM26" s="19">
        <v>100</v>
      </c>
      <c r="BN26" s="19">
        <v>100</v>
      </c>
      <c r="BO26" s="19">
        <v>100</v>
      </c>
      <c r="BP26" s="20">
        <v>1</v>
      </c>
      <c r="BQ26" s="19">
        <v>97.6</v>
      </c>
      <c r="BR26" s="19">
        <v>100</v>
      </c>
      <c r="BS26" s="19">
        <v>100</v>
      </c>
      <c r="BT26" s="19">
        <v>93.3</v>
      </c>
      <c r="BU26" s="19">
        <v>100</v>
      </c>
      <c r="BV26" s="19">
        <v>93.2</v>
      </c>
      <c r="BW26" s="20">
        <v>0.97185999999999995</v>
      </c>
      <c r="BX26" s="20">
        <v>176.6</v>
      </c>
      <c r="BY26" s="20">
        <v>175.6</v>
      </c>
      <c r="BZ26" s="20">
        <v>4.5281089999999997</v>
      </c>
      <c r="CA26" s="20">
        <v>212.08</v>
      </c>
      <c r="CB26" s="20">
        <v>197.8</v>
      </c>
      <c r="CC26" s="20">
        <v>5.6077450000000004</v>
      </c>
      <c r="CD26" s="20">
        <v>226.24</v>
      </c>
      <c r="CE26" s="20">
        <v>205.21</v>
      </c>
      <c r="CF26" s="20">
        <v>6.0127009999999999</v>
      </c>
      <c r="CG26" s="20">
        <v>222.29</v>
      </c>
      <c r="CH26" s="20">
        <v>197.8</v>
      </c>
      <c r="CI26" s="20">
        <v>5.8025919999999998</v>
      </c>
      <c r="CJ26" s="20">
        <v>220.09</v>
      </c>
      <c r="CK26" s="20">
        <v>210.24</v>
      </c>
      <c r="CL26" s="20">
        <v>5.9867889999999999</v>
      </c>
      <c r="CM26" s="20" t="s">
        <v>196</v>
      </c>
      <c r="CN26" s="20" t="s">
        <v>195</v>
      </c>
      <c r="CO26" s="20">
        <v>6.6656459999999997</v>
      </c>
      <c r="CP26" s="20">
        <v>209.8</v>
      </c>
      <c r="CQ26" s="20">
        <v>198.19</v>
      </c>
      <c r="CR26" s="20">
        <v>5.5713239999999997</v>
      </c>
      <c r="CS26" s="20">
        <v>228.12</v>
      </c>
      <c r="CT26" s="20">
        <v>220.27</v>
      </c>
      <c r="CU26" s="20">
        <v>6.3223969999999996</v>
      </c>
      <c r="CV26" s="20" t="s">
        <v>26</v>
      </c>
      <c r="CW26" s="20" t="s">
        <v>26</v>
      </c>
      <c r="CX26" s="20" t="s">
        <v>27</v>
      </c>
      <c r="CY26" s="20">
        <v>202.92</v>
      </c>
      <c r="CZ26" s="20">
        <v>202.06</v>
      </c>
      <c r="DA26" s="20">
        <v>5.5103900000000001</v>
      </c>
      <c r="DB26" s="19">
        <v>3.5</v>
      </c>
      <c r="DC26" s="19">
        <v>4.7</v>
      </c>
      <c r="DD26" s="19">
        <v>5</v>
      </c>
      <c r="DE26" s="19">
        <v>5.5</v>
      </c>
      <c r="DF26" s="19">
        <v>5.6</v>
      </c>
      <c r="DG26" s="19">
        <v>6.4</v>
      </c>
      <c r="DH26" s="19">
        <v>5.5</v>
      </c>
      <c r="DI26" s="19">
        <v>6.3</v>
      </c>
      <c r="DJ26" s="19" t="s">
        <v>27</v>
      </c>
      <c r="DK26" s="19">
        <v>5.4</v>
      </c>
      <c r="DL26" s="19">
        <v>3.6</v>
      </c>
      <c r="DM26" s="19">
        <v>3.9</v>
      </c>
      <c r="DN26" s="19">
        <v>4.4000000000000004</v>
      </c>
      <c r="DO26" s="19">
        <v>4.5999999999999996</v>
      </c>
      <c r="DP26" s="19">
        <v>4.9000000000000004</v>
      </c>
      <c r="DQ26" s="19">
        <v>5.2</v>
      </c>
      <c r="DR26" s="19">
        <v>5.5</v>
      </c>
      <c r="DS26" s="21">
        <v>5.8</v>
      </c>
      <c r="DU26" s="51">
        <f t="shared" si="0"/>
        <v>-0.39999999999999947</v>
      </c>
    </row>
    <row r="27" spans="1:125" s="22" customFormat="1" ht="14.15" customHeight="1" x14ac:dyDescent="0.25">
      <c r="A27" s="16" t="s">
        <v>1</v>
      </c>
      <c r="B27" s="17">
        <v>3152402</v>
      </c>
      <c r="C27" s="16" t="s">
        <v>47</v>
      </c>
      <c r="D27" s="18" t="str">
        <f>VLOOKUP(B27,Planilha1!$A:$B,2,0)</f>
        <v>Vale do Mucuri</v>
      </c>
      <c r="E27" s="18" t="s">
        <v>0</v>
      </c>
      <c r="F27" s="19">
        <v>85.9</v>
      </c>
      <c r="G27" s="19">
        <v>97.3</v>
      </c>
      <c r="H27" s="19">
        <v>99.1</v>
      </c>
      <c r="I27" s="19">
        <v>71.5</v>
      </c>
      <c r="J27" s="19">
        <v>96.4</v>
      </c>
      <c r="K27" s="19">
        <v>70.900000000000006</v>
      </c>
      <c r="L27" s="20">
        <v>0.84987599999999996</v>
      </c>
      <c r="M27" s="19">
        <v>84.7</v>
      </c>
      <c r="N27" s="19">
        <v>94.8</v>
      </c>
      <c r="O27" s="19">
        <v>88.3</v>
      </c>
      <c r="P27" s="19">
        <v>68.2</v>
      </c>
      <c r="Q27" s="19">
        <v>96.6</v>
      </c>
      <c r="R27" s="19">
        <v>80.7</v>
      </c>
      <c r="S27" s="20">
        <v>0.84345700000000001</v>
      </c>
      <c r="T27" s="19">
        <v>86.3</v>
      </c>
      <c r="U27" s="19">
        <v>96.8</v>
      </c>
      <c r="V27" s="19">
        <v>95.7</v>
      </c>
      <c r="W27" s="19">
        <v>75.400000000000006</v>
      </c>
      <c r="X27" s="19">
        <v>94.7</v>
      </c>
      <c r="Y27" s="19">
        <v>75.099999999999994</v>
      </c>
      <c r="Z27" s="20">
        <v>0.86329299999999998</v>
      </c>
      <c r="AA27" s="19">
        <v>87.7</v>
      </c>
      <c r="AB27" s="19">
        <v>91.3</v>
      </c>
      <c r="AC27" s="19">
        <v>97</v>
      </c>
      <c r="AD27" s="19">
        <v>75.3</v>
      </c>
      <c r="AE27" s="19">
        <v>97.5</v>
      </c>
      <c r="AF27" s="19">
        <v>82.9</v>
      </c>
      <c r="AG27" s="20">
        <v>0.87932900000000003</v>
      </c>
      <c r="AH27" s="19">
        <v>96.7</v>
      </c>
      <c r="AI27" s="19">
        <v>98</v>
      </c>
      <c r="AJ27" s="19">
        <v>98.7</v>
      </c>
      <c r="AK27" s="19">
        <v>95.5</v>
      </c>
      <c r="AL27" s="19">
        <v>98.6</v>
      </c>
      <c r="AM27" s="19">
        <v>93</v>
      </c>
      <c r="AN27" s="20">
        <v>0.96708700000000003</v>
      </c>
      <c r="AO27" s="19">
        <v>95.9</v>
      </c>
      <c r="AP27" s="19">
        <v>98.8</v>
      </c>
      <c r="AQ27" s="19">
        <v>97.4</v>
      </c>
      <c r="AR27" s="19">
        <v>89.6</v>
      </c>
      <c r="AS27" s="19">
        <v>100</v>
      </c>
      <c r="AT27" s="19">
        <v>95.1</v>
      </c>
      <c r="AU27" s="20">
        <v>0.96035000000000004</v>
      </c>
      <c r="AV27" s="19">
        <v>97</v>
      </c>
      <c r="AW27" s="19">
        <v>99.4</v>
      </c>
      <c r="AX27" s="19">
        <v>99.3</v>
      </c>
      <c r="AY27" s="19">
        <v>92.3</v>
      </c>
      <c r="AZ27" s="19">
        <v>98.6</v>
      </c>
      <c r="BA27" s="19">
        <v>95.9</v>
      </c>
      <c r="BB27" s="20">
        <v>0.97022200000000003</v>
      </c>
      <c r="BC27" s="19">
        <v>95.4</v>
      </c>
      <c r="BD27" s="19">
        <v>97.8</v>
      </c>
      <c r="BE27" s="19">
        <v>85.9</v>
      </c>
      <c r="BF27" s="19">
        <v>96.9</v>
      </c>
      <c r="BG27" s="19">
        <v>100</v>
      </c>
      <c r="BH27" s="19">
        <v>96</v>
      </c>
      <c r="BI27" s="20">
        <v>0.95051699999999995</v>
      </c>
      <c r="BJ27" s="19">
        <v>99.3</v>
      </c>
      <c r="BK27" s="19">
        <v>100</v>
      </c>
      <c r="BL27" s="19">
        <v>100</v>
      </c>
      <c r="BM27" s="19">
        <v>97.9</v>
      </c>
      <c r="BN27" s="19">
        <v>100</v>
      </c>
      <c r="BO27" s="19">
        <v>99.3</v>
      </c>
      <c r="BP27" s="20">
        <v>0.99433199999999999</v>
      </c>
      <c r="BQ27" s="19">
        <v>98.1</v>
      </c>
      <c r="BR27" s="19">
        <v>100</v>
      </c>
      <c r="BS27" s="19">
        <v>98.1</v>
      </c>
      <c r="BT27" s="19">
        <v>100</v>
      </c>
      <c r="BU27" s="19">
        <v>100</v>
      </c>
      <c r="BV27" s="19">
        <v>94.4</v>
      </c>
      <c r="BW27" s="20">
        <v>0.98450599999999999</v>
      </c>
      <c r="BX27" s="20">
        <v>174.4</v>
      </c>
      <c r="BY27" s="20">
        <v>160.6</v>
      </c>
      <c r="BZ27" s="20">
        <v>4.21157</v>
      </c>
      <c r="CA27" s="20">
        <v>174.19</v>
      </c>
      <c r="CB27" s="20">
        <v>157.63</v>
      </c>
      <c r="CC27" s="20">
        <v>4.1542890000000003</v>
      </c>
      <c r="CD27" s="20">
        <v>189.34</v>
      </c>
      <c r="CE27" s="20">
        <v>170.95</v>
      </c>
      <c r="CF27" s="20">
        <v>4.6855929999999999</v>
      </c>
      <c r="CG27" s="20">
        <v>202.3</v>
      </c>
      <c r="CH27" s="20">
        <v>186.56</v>
      </c>
      <c r="CI27" s="20">
        <v>5.2167399999999997</v>
      </c>
      <c r="CJ27" s="20">
        <v>199.58</v>
      </c>
      <c r="CK27" s="20">
        <v>187.77</v>
      </c>
      <c r="CL27" s="20">
        <v>5.1868309999999997</v>
      </c>
      <c r="CM27" s="20" t="s">
        <v>197</v>
      </c>
      <c r="CN27" s="20" t="s">
        <v>198</v>
      </c>
      <c r="CO27" s="20">
        <v>5.534764</v>
      </c>
      <c r="CP27" s="20">
        <v>204.2</v>
      </c>
      <c r="CQ27" s="20">
        <v>194.71</v>
      </c>
      <c r="CR27" s="20">
        <v>5.4011810000000002</v>
      </c>
      <c r="CS27" s="20">
        <v>202.38</v>
      </c>
      <c r="CT27" s="20">
        <v>192.54</v>
      </c>
      <c r="CU27" s="20">
        <v>5.326994</v>
      </c>
      <c r="CV27" s="20">
        <v>187.19</v>
      </c>
      <c r="CW27" s="20">
        <v>181.96</v>
      </c>
      <c r="CX27" s="20">
        <v>4.8447449999999996</v>
      </c>
      <c r="CY27" s="20">
        <v>201.72</v>
      </c>
      <c r="CZ27" s="20">
        <v>196.45</v>
      </c>
      <c r="DA27" s="20">
        <v>5.3854889999999997</v>
      </c>
      <c r="DB27" s="19">
        <v>3.6</v>
      </c>
      <c r="DC27" s="19">
        <v>3.5</v>
      </c>
      <c r="DD27" s="19">
        <v>4</v>
      </c>
      <c r="DE27" s="19">
        <v>4.5999999999999996</v>
      </c>
      <c r="DF27" s="19">
        <v>5</v>
      </c>
      <c r="DG27" s="19">
        <v>5.3</v>
      </c>
      <c r="DH27" s="19">
        <v>5.2</v>
      </c>
      <c r="DI27" s="19">
        <v>5.0999999999999996</v>
      </c>
      <c r="DJ27" s="19">
        <v>4.8</v>
      </c>
      <c r="DK27" s="19">
        <v>5.3</v>
      </c>
      <c r="DL27" s="19">
        <v>3.6</v>
      </c>
      <c r="DM27" s="19">
        <v>4</v>
      </c>
      <c r="DN27" s="19">
        <v>4.4000000000000004</v>
      </c>
      <c r="DO27" s="19">
        <v>4.7</v>
      </c>
      <c r="DP27" s="19">
        <v>5</v>
      </c>
      <c r="DQ27" s="19">
        <v>5.3</v>
      </c>
      <c r="DR27" s="19">
        <v>5.5</v>
      </c>
      <c r="DS27" s="21">
        <v>5.8</v>
      </c>
      <c r="DU27" s="51">
        <f t="shared" si="0"/>
        <v>-0.5</v>
      </c>
    </row>
    <row r="28" spans="1:125" s="22" customFormat="1" ht="14.15" customHeight="1" x14ac:dyDescent="0.25">
      <c r="A28" s="16" t="s">
        <v>1</v>
      </c>
      <c r="B28" s="17">
        <v>3157658</v>
      </c>
      <c r="C28" s="16" t="s">
        <v>48</v>
      </c>
      <c r="D28" s="18" t="str">
        <f>VLOOKUP(B28,Planilha1!$A:$B,2,0)</f>
        <v>Vale do Mucuri</v>
      </c>
      <c r="E28" s="18" t="s">
        <v>0</v>
      </c>
      <c r="F28" s="19">
        <v>83.7</v>
      </c>
      <c r="G28" s="19">
        <v>82.7</v>
      </c>
      <c r="H28" s="19">
        <v>87.5</v>
      </c>
      <c r="I28" s="19">
        <v>79.5</v>
      </c>
      <c r="J28" s="19">
        <v>96</v>
      </c>
      <c r="K28" s="19">
        <v>72.900000000000006</v>
      </c>
      <c r="L28" s="20">
        <v>0.83010700000000004</v>
      </c>
      <c r="M28" s="19">
        <v>88.8</v>
      </c>
      <c r="N28" s="19">
        <v>93.1</v>
      </c>
      <c r="O28" s="19">
        <v>93.7</v>
      </c>
      <c r="P28" s="19">
        <v>86.1</v>
      </c>
      <c r="Q28" s="19">
        <v>98.1</v>
      </c>
      <c r="R28" s="19">
        <v>72.2</v>
      </c>
      <c r="S28" s="20">
        <v>0.87608600000000003</v>
      </c>
      <c r="T28" s="19">
        <v>88.8</v>
      </c>
      <c r="U28" s="19">
        <v>91.1</v>
      </c>
      <c r="V28" s="19">
        <v>83.5</v>
      </c>
      <c r="W28" s="19">
        <v>88.5</v>
      </c>
      <c r="X28" s="19">
        <v>95</v>
      </c>
      <c r="Y28" s="19">
        <v>86.6</v>
      </c>
      <c r="Z28" s="20">
        <v>0.88768800000000003</v>
      </c>
      <c r="AA28" s="19">
        <v>99.2</v>
      </c>
      <c r="AB28" s="19">
        <v>100</v>
      </c>
      <c r="AC28" s="19">
        <v>98.6</v>
      </c>
      <c r="AD28" s="19">
        <v>100</v>
      </c>
      <c r="AE28" s="19">
        <v>100</v>
      </c>
      <c r="AF28" s="19">
        <v>97.6</v>
      </c>
      <c r="AG28" s="20">
        <v>0.99230200000000002</v>
      </c>
      <c r="AH28" s="19">
        <v>99.4</v>
      </c>
      <c r="AI28" s="19">
        <v>98.6</v>
      </c>
      <c r="AJ28" s="19">
        <v>100</v>
      </c>
      <c r="AK28" s="19">
        <v>98.2</v>
      </c>
      <c r="AL28" s="19">
        <v>100</v>
      </c>
      <c r="AM28" s="19">
        <v>100</v>
      </c>
      <c r="AN28" s="20">
        <v>0.99353599999999997</v>
      </c>
      <c r="AO28" s="19">
        <v>100</v>
      </c>
      <c r="AP28" s="19">
        <v>100</v>
      </c>
      <c r="AQ28" s="19">
        <v>100</v>
      </c>
      <c r="AR28" s="19">
        <v>100</v>
      </c>
      <c r="AS28" s="19">
        <v>100</v>
      </c>
      <c r="AT28" s="19">
        <v>100</v>
      </c>
      <c r="AU28" s="20">
        <v>1</v>
      </c>
      <c r="AV28" s="19">
        <v>99.2</v>
      </c>
      <c r="AW28" s="19">
        <v>100</v>
      </c>
      <c r="AX28" s="19">
        <v>100</v>
      </c>
      <c r="AY28" s="19">
        <v>100</v>
      </c>
      <c r="AZ28" s="19">
        <v>97.6</v>
      </c>
      <c r="BA28" s="19">
        <v>98.4</v>
      </c>
      <c r="BB28" s="20">
        <v>0.991896</v>
      </c>
      <c r="BC28" s="19">
        <v>100</v>
      </c>
      <c r="BD28" s="19">
        <v>100</v>
      </c>
      <c r="BE28" s="19">
        <v>100</v>
      </c>
      <c r="BF28" s="19">
        <v>100</v>
      </c>
      <c r="BG28" s="19">
        <v>100</v>
      </c>
      <c r="BH28" s="19">
        <v>100</v>
      </c>
      <c r="BI28" s="20">
        <v>1</v>
      </c>
      <c r="BJ28" s="19">
        <v>100</v>
      </c>
      <c r="BK28" s="19">
        <v>100</v>
      </c>
      <c r="BL28" s="19">
        <v>100</v>
      </c>
      <c r="BM28" s="19">
        <v>100</v>
      </c>
      <c r="BN28" s="19">
        <v>100</v>
      </c>
      <c r="BO28" s="19">
        <v>100</v>
      </c>
      <c r="BP28" s="20">
        <v>1</v>
      </c>
      <c r="BQ28" s="19">
        <v>100</v>
      </c>
      <c r="BR28" s="19">
        <v>100</v>
      </c>
      <c r="BS28" s="19">
        <v>100</v>
      </c>
      <c r="BT28" s="19">
        <v>100</v>
      </c>
      <c r="BU28" s="19">
        <v>100</v>
      </c>
      <c r="BV28" s="19">
        <v>100</v>
      </c>
      <c r="BW28" s="20">
        <v>1</v>
      </c>
      <c r="BX28" s="20">
        <v>173.2</v>
      </c>
      <c r="BY28" s="20">
        <v>156.4</v>
      </c>
      <c r="BZ28" s="20">
        <v>4.1112140000000004</v>
      </c>
      <c r="CA28" s="20">
        <v>172.41</v>
      </c>
      <c r="CB28" s="20">
        <v>138.37</v>
      </c>
      <c r="CC28" s="20">
        <v>3.7701380000000002</v>
      </c>
      <c r="CD28" s="20">
        <v>210.16</v>
      </c>
      <c r="CE28" s="20">
        <v>179.44</v>
      </c>
      <c r="CF28" s="20">
        <v>5.237285</v>
      </c>
      <c r="CG28" s="20">
        <v>223.87</v>
      </c>
      <c r="CH28" s="20">
        <v>193.55</v>
      </c>
      <c r="CI28" s="20">
        <v>5.7554720000000001</v>
      </c>
      <c r="CJ28" s="20">
        <v>210.04</v>
      </c>
      <c r="CK28" s="20">
        <v>189.87</v>
      </c>
      <c r="CL28" s="20">
        <v>5.4246319999999999</v>
      </c>
      <c r="CM28" s="20" t="s">
        <v>199</v>
      </c>
      <c r="CN28" s="20" t="s">
        <v>174</v>
      </c>
      <c r="CO28" s="20">
        <v>5.8268509999999996</v>
      </c>
      <c r="CP28" s="20">
        <v>219</v>
      </c>
      <c r="CQ28" s="20">
        <v>210.66</v>
      </c>
      <c r="CR28" s="20">
        <v>5.973624</v>
      </c>
      <c r="CS28" s="20">
        <v>227.9</v>
      </c>
      <c r="CT28" s="20">
        <v>202.53</v>
      </c>
      <c r="CU28" s="20">
        <v>5.9956529999999999</v>
      </c>
      <c r="CV28" s="20">
        <v>218.36</v>
      </c>
      <c r="CW28" s="20">
        <v>215.65</v>
      </c>
      <c r="CX28" s="20">
        <v>6.0521370000000001</v>
      </c>
      <c r="CY28" s="20">
        <v>234.6</v>
      </c>
      <c r="CZ28" s="20">
        <v>225.15</v>
      </c>
      <c r="DA28" s="20">
        <v>6.5347879999999998</v>
      </c>
      <c r="DB28" s="19">
        <v>3.4</v>
      </c>
      <c r="DC28" s="19">
        <v>3.3</v>
      </c>
      <c r="DD28" s="19">
        <v>4.5999999999999996</v>
      </c>
      <c r="DE28" s="19">
        <v>5.7</v>
      </c>
      <c r="DF28" s="19">
        <v>5.4</v>
      </c>
      <c r="DG28" s="19">
        <v>5.8</v>
      </c>
      <c r="DH28" s="19">
        <v>5.9</v>
      </c>
      <c r="DI28" s="19">
        <v>6</v>
      </c>
      <c r="DJ28" s="19">
        <v>6.1</v>
      </c>
      <c r="DK28" s="19">
        <v>6.5</v>
      </c>
      <c r="DL28" s="19">
        <v>3.5</v>
      </c>
      <c r="DM28" s="19">
        <v>3.8</v>
      </c>
      <c r="DN28" s="19">
        <v>4.2</v>
      </c>
      <c r="DO28" s="19">
        <v>4.5</v>
      </c>
      <c r="DP28" s="19">
        <v>4.8</v>
      </c>
      <c r="DQ28" s="19">
        <v>5.0999999999999996</v>
      </c>
      <c r="DR28" s="19">
        <v>5.4</v>
      </c>
      <c r="DS28" s="21">
        <v>5.7</v>
      </c>
      <c r="DU28" s="51">
        <f t="shared" si="0"/>
        <v>0.79999999999999982</v>
      </c>
    </row>
    <row r="29" spans="1:125" s="22" customFormat="1" ht="14.15" customHeight="1" x14ac:dyDescent="0.25">
      <c r="A29" s="16" t="s">
        <v>1</v>
      </c>
      <c r="B29" s="17">
        <v>3166709</v>
      </c>
      <c r="C29" s="16" t="s">
        <v>49</v>
      </c>
      <c r="D29" s="18" t="str">
        <f>VLOOKUP(B29,Planilha1!$A:$B,2,0)</f>
        <v>Vale do Mucuri</v>
      </c>
      <c r="E29" s="18" t="s">
        <v>0</v>
      </c>
      <c r="F29" s="19">
        <v>82</v>
      </c>
      <c r="G29" s="19">
        <v>90.7</v>
      </c>
      <c r="H29" s="19">
        <v>82</v>
      </c>
      <c r="I29" s="19">
        <v>76.7</v>
      </c>
      <c r="J29" s="19">
        <v>82.3</v>
      </c>
      <c r="K29" s="19">
        <v>81.900000000000006</v>
      </c>
      <c r="L29" s="20">
        <v>0.824824</v>
      </c>
      <c r="M29" s="19">
        <v>76.5</v>
      </c>
      <c r="N29" s="19">
        <v>93.1</v>
      </c>
      <c r="O29" s="19">
        <v>81.599999999999994</v>
      </c>
      <c r="P29" s="19">
        <v>62.1</v>
      </c>
      <c r="Q29" s="19">
        <v>69.599999999999994</v>
      </c>
      <c r="R29" s="19">
        <v>75.5</v>
      </c>
      <c r="S29" s="20">
        <v>0.74949100000000002</v>
      </c>
      <c r="T29" s="19">
        <v>86.2</v>
      </c>
      <c r="U29" s="19">
        <v>98</v>
      </c>
      <c r="V29" s="19">
        <v>85.5</v>
      </c>
      <c r="W29" s="19">
        <v>76.8</v>
      </c>
      <c r="X29" s="19">
        <v>84.4</v>
      </c>
      <c r="Y29" s="19">
        <v>90.5</v>
      </c>
      <c r="Z29" s="20">
        <v>0.86476900000000001</v>
      </c>
      <c r="AA29" s="19">
        <v>93.2</v>
      </c>
      <c r="AB29" s="19">
        <v>100</v>
      </c>
      <c r="AC29" s="19">
        <v>96.8</v>
      </c>
      <c r="AD29" s="19">
        <v>83.3</v>
      </c>
      <c r="AE29" s="19">
        <v>98</v>
      </c>
      <c r="AF29" s="19">
        <v>92.2</v>
      </c>
      <c r="AG29" s="20">
        <v>0.936585</v>
      </c>
      <c r="AH29" s="19">
        <v>99</v>
      </c>
      <c r="AI29" s="19">
        <v>100</v>
      </c>
      <c r="AJ29" s="19">
        <v>95.6</v>
      </c>
      <c r="AK29" s="19">
        <v>98.8</v>
      </c>
      <c r="AL29" s="19">
        <v>100</v>
      </c>
      <c r="AM29" s="19">
        <v>100</v>
      </c>
      <c r="AN29" s="20">
        <v>0.98850000000000005</v>
      </c>
      <c r="AO29" s="19">
        <v>98.3</v>
      </c>
      <c r="AP29" s="19">
        <v>98.8</v>
      </c>
      <c r="AQ29" s="19">
        <v>100</v>
      </c>
      <c r="AR29" s="19">
        <v>97.8</v>
      </c>
      <c r="AS29" s="19">
        <v>95.2</v>
      </c>
      <c r="AT29" s="19">
        <v>100</v>
      </c>
      <c r="AU29" s="20">
        <v>0.98327200000000003</v>
      </c>
      <c r="AV29" s="19">
        <v>99.3</v>
      </c>
      <c r="AW29" s="19">
        <v>100</v>
      </c>
      <c r="AX29" s="19">
        <v>100</v>
      </c>
      <c r="AY29" s="19">
        <v>100</v>
      </c>
      <c r="AZ29" s="19">
        <v>100</v>
      </c>
      <c r="BA29" s="19">
        <v>97.2</v>
      </c>
      <c r="BB29" s="20">
        <v>0.99427200000000004</v>
      </c>
      <c r="BC29" s="19">
        <v>100</v>
      </c>
      <c r="BD29" s="19">
        <v>100</v>
      </c>
      <c r="BE29" s="19">
        <v>100</v>
      </c>
      <c r="BF29" s="19">
        <v>100</v>
      </c>
      <c r="BG29" s="19">
        <v>100</v>
      </c>
      <c r="BH29" s="19">
        <v>100</v>
      </c>
      <c r="BI29" s="20">
        <v>1</v>
      </c>
      <c r="BJ29" s="19">
        <v>100</v>
      </c>
      <c r="BK29" s="19">
        <v>100</v>
      </c>
      <c r="BL29" s="19">
        <v>100</v>
      </c>
      <c r="BM29" s="19">
        <v>100</v>
      </c>
      <c r="BN29" s="19">
        <v>100</v>
      </c>
      <c r="BO29" s="19">
        <v>100</v>
      </c>
      <c r="BP29" s="20">
        <v>1</v>
      </c>
      <c r="BQ29" s="19">
        <v>100</v>
      </c>
      <c r="BR29" s="19">
        <v>100</v>
      </c>
      <c r="BS29" s="19">
        <v>100</v>
      </c>
      <c r="BT29" s="19">
        <v>100</v>
      </c>
      <c r="BU29" s="19">
        <v>100</v>
      </c>
      <c r="BV29" s="19">
        <v>100</v>
      </c>
      <c r="BW29" s="20">
        <v>1</v>
      </c>
      <c r="BX29" s="20">
        <v>163.80000000000001</v>
      </c>
      <c r="BY29" s="20">
        <v>166</v>
      </c>
      <c r="BZ29" s="20">
        <v>4.1068889999999998</v>
      </c>
      <c r="CA29" s="20">
        <v>161.41999999999999</v>
      </c>
      <c r="CB29" s="20">
        <v>147.79</v>
      </c>
      <c r="CC29" s="20">
        <v>3.7316780000000001</v>
      </c>
      <c r="CD29" s="20">
        <v>207.57</v>
      </c>
      <c r="CE29" s="20">
        <v>181.75</v>
      </c>
      <c r="CF29" s="20">
        <v>5.2298580000000001</v>
      </c>
      <c r="CG29" s="20">
        <v>198.58</v>
      </c>
      <c r="CH29" s="20">
        <v>180.24</v>
      </c>
      <c r="CI29" s="20">
        <v>5.0308380000000001</v>
      </c>
      <c r="CJ29" s="20">
        <v>216.85</v>
      </c>
      <c r="CK29" s="20">
        <v>204.24</v>
      </c>
      <c r="CL29" s="20">
        <v>5.8158659999999998</v>
      </c>
      <c r="CM29" s="20" t="s">
        <v>200</v>
      </c>
      <c r="CN29" s="20" t="s">
        <v>180</v>
      </c>
      <c r="CO29" s="20">
        <v>5.7963120000000004</v>
      </c>
      <c r="CP29" s="20">
        <v>212.06</v>
      </c>
      <c r="CQ29" s="20">
        <v>206.61</v>
      </c>
      <c r="CR29" s="20">
        <v>5.7675450000000001</v>
      </c>
      <c r="CS29" s="20">
        <v>208.41</v>
      </c>
      <c r="CT29" s="20">
        <v>206.2</v>
      </c>
      <c r="CU29" s="20">
        <v>5.6904339999999998</v>
      </c>
      <c r="CV29" s="20">
        <v>205.78</v>
      </c>
      <c r="CW29" s="20">
        <v>194.33</v>
      </c>
      <c r="CX29" s="20">
        <v>5.4244250000000003</v>
      </c>
      <c r="CY29" s="20">
        <v>212.94</v>
      </c>
      <c r="CZ29" s="20">
        <v>210.81</v>
      </c>
      <c r="DA29" s="20">
        <v>5.8607019999999999</v>
      </c>
      <c r="DB29" s="19">
        <v>3.4</v>
      </c>
      <c r="DC29" s="19">
        <v>2.8</v>
      </c>
      <c r="DD29" s="19">
        <v>4.5</v>
      </c>
      <c r="DE29" s="19">
        <v>4.7</v>
      </c>
      <c r="DF29" s="19">
        <v>5.7</v>
      </c>
      <c r="DG29" s="19">
        <v>5.7</v>
      </c>
      <c r="DH29" s="19">
        <v>5.7</v>
      </c>
      <c r="DI29" s="19">
        <v>5.7</v>
      </c>
      <c r="DJ29" s="19">
        <v>5.4</v>
      </c>
      <c r="DK29" s="19">
        <v>5.9</v>
      </c>
      <c r="DL29" s="19">
        <v>3.5</v>
      </c>
      <c r="DM29" s="19">
        <v>3.8</v>
      </c>
      <c r="DN29" s="19">
        <v>4.2</v>
      </c>
      <c r="DO29" s="19">
        <v>4.5</v>
      </c>
      <c r="DP29" s="19">
        <v>4.8</v>
      </c>
      <c r="DQ29" s="19">
        <v>5.0999999999999996</v>
      </c>
      <c r="DR29" s="19">
        <v>5.4</v>
      </c>
      <c r="DS29" s="21">
        <v>5.6</v>
      </c>
      <c r="DU29" s="51">
        <f t="shared" si="0"/>
        <v>0.30000000000000071</v>
      </c>
    </row>
    <row r="30" spans="1:125" s="22" customFormat="1" ht="14.15" customHeight="1" x14ac:dyDescent="0.25">
      <c r="A30" s="16" t="s">
        <v>1</v>
      </c>
      <c r="B30" s="17">
        <v>3168606</v>
      </c>
      <c r="C30" s="16" t="s">
        <v>50</v>
      </c>
      <c r="D30" s="18" t="str">
        <f>VLOOKUP(B30,Planilha1!$A:$B,2,0)</f>
        <v>Vale do Mucuri</v>
      </c>
      <c r="E30" s="18" t="s">
        <v>0</v>
      </c>
      <c r="F30" s="19">
        <v>80.2</v>
      </c>
      <c r="G30" s="19" t="s">
        <v>27</v>
      </c>
      <c r="H30" s="19">
        <v>72.099999999999994</v>
      </c>
      <c r="I30" s="19">
        <v>81.099999999999994</v>
      </c>
      <c r="J30" s="19">
        <v>80.7</v>
      </c>
      <c r="K30" s="19">
        <v>86.8</v>
      </c>
      <c r="L30" s="20">
        <v>0.79820599999999997</v>
      </c>
      <c r="M30" s="19">
        <v>83.4</v>
      </c>
      <c r="N30" s="19">
        <v>98.2</v>
      </c>
      <c r="O30" s="19">
        <v>75.5</v>
      </c>
      <c r="P30" s="19">
        <v>82.4</v>
      </c>
      <c r="Q30" s="19">
        <v>78.3</v>
      </c>
      <c r="R30" s="19">
        <v>85.6</v>
      </c>
      <c r="S30" s="20">
        <v>0.83308499999999996</v>
      </c>
      <c r="T30" s="19">
        <v>85.8</v>
      </c>
      <c r="U30" s="19">
        <v>97.6</v>
      </c>
      <c r="V30" s="19">
        <v>77.099999999999994</v>
      </c>
      <c r="W30" s="19">
        <v>84.4</v>
      </c>
      <c r="X30" s="19">
        <v>84.4</v>
      </c>
      <c r="Y30" s="19">
        <v>87.2</v>
      </c>
      <c r="Z30" s="20">
        <v>0.85644799999999999</v>
      </c>
      <c r="AA30" s="19">
        <v>89.9</v>
      </c>
      <c r="AB30" s="19">
        <v>99.6</v>
      </c>
      <c r="AC30" s="19">
        <v>83.7</v>
      </c>
      <c r="AD30" s="19">
        <v>85.9</v>
      </c>
      <c r="AE30" s="19">
        <v>88.8</v>
      </c>
      <c r="AF30" s="19">
        <v>94.2</v>
      </c>
      <c r="AG30" s="20">
        <v>0.90080300000000002</v>
      </c>
      <c r="AH30" s="19">
        <v>97.2</v>
      </c>
      <c r="AI30" s="19">
        <v>99.8</v>
      </c>
      <c r="AJ30" s="19">
        <v>99.2</v>
      </c>
      <c r="AK30" s="19">
        <v>99.5</v>
      </c>
      <c r="AL30" s="19">
        <v>92.6</v>
      </c>
      <c r="AM30" s="19">
        <v>95.2</v>
      </c>
      <c r="AN30" s="20">
        <v>0.97173699999999996</v>
      </c>
      <c r="AO30" s="19">
        <v>95.6</v>
      </c>
      <c r="AP30" s="19">
        <v>99.6</v>
      </c>
      <c r="AQ30" s="19">
        <v>99.8</v>
      </c>
      <c r="AR30" s="19">
        <v>99.7</v>
      </c>
      <c r="AS30" s="19">
        <v>86.5</v>
      </c>
      <c r="AT30" s="19">
        <v>93.7</v>
      </c>
      <c r="AU30" s="20">
        <v>0.955596</v>
      </c>
      <c r="AV30" s="19">
        <v>95.4</v>
      </c>
      <c r="AW30" s="19">
        <v>99</v>
      </c>
      <c r="AX30" s="19">
        <v>99.6</v>
      </c>
      <c r="AY30" s="19">
        <v>99.1</v>
      </c>
      <c r="AZ30" s="19">
        <v>88.8</v>
      </c>
      <c r="BA30" s="19">
        <v>91.9</v>
      </c>
      <c r="BB30" s="20">
        <v>0.95465999999999995</v>
      </c>
      <c r="BC30" s="19">
        <v>95.8</v>
      </c>
      <c r="BD30" s="19">
        <v>99.6</v>
      </c>
      <c r="BE30" s="19">
        <v>99.7</v>
      </c>
      <c r="BF30" s="19">
        <v>100</v>
      </c>
      <c r="BG30" s="19">
        <v>88</v>
      </c>
      <c r="BH30" s="19">
        <v>93</v>
      </c>
      <c r="BI30" s="20">
        <v>0.95810099999999998</v>
      </c>
      <c r="BJ30" s="19">
        <v>95.2</v>
      </c>
      <c r="BK30" s="19">
        <v>100</v>
      </c>
      <c r="BL30" s="19">
        <v>99.8</v>
      </c>
      <c r="BM30" s="19">
        <v>98</v>
      </c>
      <c r="BN30" s="19">
        <v>90.2</v>
      </c>
      <c r="BO30" s="19">
        <v>88.8</v>
      </c>
      <c r="BP30" s="20">
        <v>0.95107900000000001</v>
      </c>
      <c r="BQ30" s="19">
        <v>95.9</v>
      </c>
      <c r="BR30" s="19">
        <v>99.9</v>
      </c>
      <c r="BS30" s="19">
        <v>99.9</v>
      </c>
      <c r="BT30" s="19">
        <v>99.7</v>
      </c>
      <c r="BU30" s="19">
        <v>91.9</v>
      </c>
      <c r="BV30" s="19">
        <v>89.6</v>
      </c>
      <c r="BW30" s="20">
        <v>0.95983600000000002</v>
      </c>
      <c r="BX30" s="20">
        <v>191.8</v>
      </c>
      <c r="BY30" s="20">
        <v>186</v>
      </c>
      <c r="BZ30" s="20">
        <v>5.0062300000000004</v>
      </c>
      <c r="CA30" s="20">
        <v>191.19</v>
      </c>
      <c r="CB30" s="20">
        <v>172.97</v>
      </c>
      <c r="CC30" s="20">
        <v>4.7576260000000001</v>
      </c>
      <c r="CD30" s="20">
        <v>216.82</v>
      </c>
      <c r="CE30" s="20">
        <v>197.19</v>
      </c>
      <c r="CF30" s="20">
        <v>5.6871119999999999</v>
      </c>
      <c r="CG30" s="20">
        <v>222.04</v>
      </c>
      <c r="CH30" s="20">
        <v>207.38</v>
      </c>
      <c r="CI30" s="20">
        <v>5.972003</v>
      </c>
      <c r="CJ30" s="20">
        <v>219.71</v>
      </c>
      <c r="CK30" s="20">
        <v>209.58</v>
      </c>
      <c r="CL30" s="20">
        <v>5.9675370000000001</v>
      </c>
      <c r="CM30" s="20" t="s">
        <v>201</v>
      </c>
      <c r="CN30" s="20" t="s">
        <v>171</v>
      </c>
      <c r="CO30" s="20">
        <v>6.285158</v>
      </c>
      <c r="CP30" s="20">
        <v>222.97</v>
      </c>
      <c r="CQ30" s="20">
        <v>219.65</v>
      </c>
      <c r="CR30" s="20">
        <v>6.2128420000000002</v>
      </c>
      <c r="CS30" s="20">
        <v>224.44</v>
      </c>
      <c r="CT30" s="20">
        <v>214.37</v>
      </c>
      <c r="CU30" s="20">
        <v>6.144895</v>
      </c>
      <c r="CV30" s="20">
        <v>213.72</v>
      </c>
      <c r="CW30" s="20">
        <v>207.27</v>
      </c>
      <c r="CX30" s="20">
        <v>5.8112240000000002</v>
      </c>
      <c r="CY30" s="20">
        <v>221.17</v>
      </c>
      <c r="CZ30" s="20">
        <v>213.34</v>
      </c>
      <c r="DA30" s="20">
        <v>6.0637629999999998</v>
      </c>
      <c r="DB30" s="19">
        <v>4</v>
      </c>
      <c r="DC30" s="19">
        <v>4</v>
      </c>
      <c r="DD30" s="19">
        <v>4.9000000000000004</v>
      </c>
      <c r="DE30" s="19">
        <v>5.4</v>
      </c>
      <c r="DF30" s="19">
        <v>5.8</v>
      </c>
      <c r="DG30" s="19">
        <v>6</v>
      </c>
      <c r="DH30" s="19">
        <v>5.9</v>
      </c>
      <c r="DI30" s="19">
        <v>5.9</v>
      </c>
      <c r="DJ30" s="19">
        <v>5.5</v>
      </c>
      <c r="DK30" s="19">
        <v>5.8</v>
      </c>
      <c r="DL30" s="19">
        <v>4.0999999999999996</v>
      </c>
      <c r="DM30" s="19">
        <v>4.4000000000000004</v>
      </c>
      <c r="DN30" s="19">
        <v>4.8</v>
      </c>
      <c r="DO30" s="19">
        <v>5.0999999999999996</v>
      </c>
      <c r="DP30" s="19">
        <v>5.4</v>
      </c>
      <c r="DQ30" s="19">
        <v>5.6</v>
      </c>
      <c r="DR30" s="19">
        <v>5.9</v>
      </c>
      <c r="DS30" s="21">
        <v>6.2</v>
      </c>
      <c r="DU30" s="51">
        <f t="shared" si="0"/>
        <v>-0.40000000000000036</v>
      </c>
    </row>
    <row r="31" spans="1:125" s="22" customFormat="1" ht="14.15" customHeight="1" x14ac:dyDescent="0.25">
      <c r="A31" s="16" t="s">
        <v>1</v>
      </c>
      <c r="B31" s="17">
        <v>3170305</v>
      </c>
      <c r="C31" s="16" t="s">
        <v>51</v>
      </c>
      <c r="D31" s="18" t="str">
        <f>VLOOKUP(B31,Planilha1!$A:$B,2,0)</f>
        <v>Vale do Mucuri</v>
      </c>
      <c r="E31" s="18" t="s">
        <v>0</v>
      </c>
      <c r="F31" s="19" t="s">
        <v>27</v>
      </c>
      <c r="G31" s="19" t="s">
        <v>27</v>
      </c>
      <c r="H31" s="19" t="s">
        <v>27</v>
      </c>
      <c r="I31" s="19" t="s">
        <v>27</v>
      </c>
      <c r="J31" s="19" t="s">
        <v>27</v>
      </c>
      <c r="K31" s="19" t="s">
        <v>27</v>
      </c>
      <c r="L31" s="20" t="s">
        <v>27</v>
      </c>
      <c r="M31" s="19">
        <v>86.4</v>
      </c>
      <c r="N31" s="19">
        <v>92.3</v>
      </c>
      <c r="O31" s="19">
        <v>85.5</v>
      </c>
      <c r="P31" s="19">
        <v>89.3</v>
      </c>
      <c r="Q31" s="19">
        <v>87.8</v>
      </c>
      <c r="R31" s="19">
        <v>73.900000000000006</v>
      </c>
      <c r="S31" s="20">
        <v>0.85251999999999994</v>
      </c>
      <c r="T31" s="19">
        <v>91.9</v>
      </c>
      <c r="U31" s="19">
        <v>98.1</v>
      </c>
      <c r="V31" s="19">
        <v>97.4</v>
      </c>
      <c r="W31" s="19">
        <v>75.8</v>
      </c>
      <c r="X31" s="19">
        <v>98.4</v>
      </c>
      <c r="Y31" s="19">
        <v>90.6</v>
      </c>
      <c r="Z31" s="20">
        <v>0.91152100000000003</v>
      </c>
      <c r="AA31" s="19">
        <v>86.9</v>
      </c>
      <c r="AB31" s="19">
        <v>88.4</v>
      </c>
      <c r="AC31" s="19">
        <v>98.5</v>
      </c>
      <c r="AD31" s="19">
        <v>71.7</v>
      </c>
      <c r="AE31" s="19">
        <v>100</v>
      </c>
      <c r="AF31" s="19">
        <v>85.7</v>
      </c>
      <c r="AG31" s="20">
        <v>0.87596200000000002</v>
      </c>
      <c r="AH31" s="19">
        <v>99.3</v>
      </c>
      <c r="AI31" s="19">
        <v>100</v>
      </c>
      <c r="AJ31" s="19">
        <v>98.3</v>
      </c>
      <c r="AK31" s="19">
        <v>100</v>
      </c>
      <c r="AL31" s="19">
        <v>100</v>
      </c>
      <c r="AM31" s="19">
        <v>98.5</v>
      </c>
      <c r="AN31" s="20">
        <v>0.99353800000000003</v>
      </c>
      <c r="AO31" s="19">
        <v>99.2</v>
      </c>
      <c r="AP31" s="19">
        <v>100</v>
      </c>
      <c r="AQ31" s="19">
        <v>100</v>
      </c>
      <c r="AR31" s="19">
        <v>97.7</v>
      </c>
      <c r="AS31" s="19">
        <v>100</v>
      </c>
      <c r="AT31" s="19">
        <v>98.5</v>
      </c>
      <c r="AU31" s="20">
        <v>0.99230600000000002</v>
      </c>
      <c r="AV31" s="19">
        <v>94.4</v>
      </c>
      <c r="AW31" s="19">
        <v>100</v>
      </c>
      <c r="AX31" s="19">
        <v>97.1</v>
      </c>
      <c r="AY31" s="19">
        <v>87.8</v>
      </c>
      <c r="AZ31" s="19">
        <v>98</v>
      </c>
      <c r="BA31" s="19">
        <v>92.2</v>
      </c>
      <c r="BB31" s="20">
        <v>0.94807799999999998</v>
      </c>
      <c r="BC31" s="19">
        <v>95.8</v>
      </c>
      <c r="BD31" s="19">
        <v>100</v>
      </c>
      <c r="BE31" s="19">
        <v>97.3</v>
      </c>
      <c r="BF31" s="19">
        <v>94.9</v>
      </c>
      <c r="BG31" s="19">
        <v>100</v>
      </c>
      <c r="BH31" s="19">
        <v>88.4</v>
      </c>
      <c r="BI31" s="20">
        <v>0.95919399999999999</v>
      </c>
      <c r="BJ31" s="19">
        <v>100</v>
      </c>
      <c r="BK31" s="19">
        <v>100</v>
      </c>
      <c r="BL31" s="19">
        <v>100</v>
      </c>
      <c r="BM31" s="19">
        <v>100</v>
      </c>
      <c r="BN31" s="19">
        <v>100</v>
      </c>
      <c r="BO31" s="19">
        <v>100</v>
      </c>
      <c r="BP31" s="20">
        <v>1</v>
      </c>
      <c r="BQ31" s="19">
        <v>99.4</v>
      </c>
      <c r="BR31" s="19">
        <v>97</v>
      </c>
      <c r="BS31" s="19">
        <v>100</v>
      </c>
      <c r="BT31" s="19">
        <v>100</v>
      </c>
      <c r="BU31" s="19">
        <v>100</v>
      </c>
      <c r="BV31" s="19">
        <v>100</v>
      </c>
      <c r="BW31" s="20">
        <v>0.99385199999999996</v>
      </c>
      <c r="BX31" s="20" t="s">
        <v>27</v>
      </c>
      <c r="BY31" s="20" t="s">
        <v>27</v>
      </c>
      <c r="BZ31" s="20" t="s">
        <v>27</v>
      </c>
      <c r="CA31" s="20">
        <v>181.75</v>
      </c>
      <c r="CB31" s="20">
        <v>153.99</v>
      </c>
      <c r="CC31" s="20">
        <v>4.2323820000000003</v>
      </c>
      <c r="CD31" s="20">
        <v>197.24</v>
      </c>
      <c r="CE31" s="20">
        <v>183.03</v>
      </c>
      <c r="CF31" s="20">
        <v>5.055993</v>
      </c>
      <c r="CG31" s="20">
        <v>197.15</v>
      </c>
      <c r="CH31" s="20">
        <v>178.92</v>
      </c>
      <c r="CI31" s="20">
        <v>4.9795480000000003</v>
      </c>
      <c r="CJ31" s="20">
        <v>218.56</v>
      </c>
      <c r="CK31" s="20">
        <v>194.23</v>
      </c>
      <c r="CL31" s="20">
        <v>5.6665000000000001</v>
      </c>
      <c r="CM31" s="20" t="s">
        <v>181</v>
      </c>
      <c r="CN31" s="20" t="s">
        <v>182</v>
      </c>
      <c r="CO31" s="20">
        <v>5.1993159999999996</v>
      </c>
      <c r="CP31" s="20">
        <v>212.86</v>
      </c>
      <c r="CQ31" s="20">
        <v>204.91</v>
      </c>
      <c r="CR31" s="20">
        <v>5.7519030000000004</v>
      </c>
      <c r="CS31" s="20">
        <v>202.71</v>
      </c>
      <c r="CT31" s="20">
        <v>190.2</v>
      </c>
      <c r="CU31" s="20">
        <v>5.2907460000000004</v>
      </c>
      <c r="CV31" s="20">
        <v>176.97</v>
      </c>
      <c r="CW31" s="20">
        <v>179.16</v>
      </c>
      <c r="CX31" s="20">
        <v>4.5987970000000002</v>
      </c>
      <c r="CY31" s="20">
        <v>191.13</v>
      </c>
      <c r="CZ31" s="20">
        <v>185</v>
      </c>
      <c r="DA31" s="20">
        <v>4.9752080000000003</v>
      </c>
      <c r="DB31" s="19" t="s">
        <v>27</v>
      </c>
      <c r="DC31" s="19">
        <v>3.6</v>
      </c>
      <c r="DD31" s="19">
        <v>4.5999999999999996</v>
      </c>
      <c r="DE31" s="19">
        <v>4.4000000000000004</v>
      </c>
      <c r="DF31" s="19">
        <v>5.6</v>
      </c>
      <c r="DG31" s="19">
        <v>5.2</v>
      </c>
      <c r="DH31" s="19">
        <v>5.5</v>
      </c>
      <c r="DI31" s="19">
        <v>5.0999999999999996</v>
      </c>
      <c r="DJ31" s="19">
        <v>4.5999999999999996</v>
      </c>
      <c r="DK31" s="19">
        <v>4.9000000000000004</v>
      </c>
      <c r="DL31" s="19" t="s">
        <v>27</v>
      </c>
      <c r="DM31" s="19">
        <v>3.8</v>
      </c>
      <c r="DN31" s="19">
        <v>4.0999999999999996</v>
      </c>
      <c r="DO31" s="19">
        <v>4.4000000000000004</v>
      </c>
      <c r="DP31" s="19">
        <v>4.7</v>
      </c>
      <c r="DQ31" s="19">
        <v>5</v>
      </c>
      <c r="DR31" s="19">
        <v>5.3</v>
      </c>
      <c r="DS31" s="21">
        <v>5.6</v>
      </c>
      <c r="DU31" s="51">
        <f t="shared" si="0"/>
        <v>-0.69999999999999929</v>
      </c>
    </row>
    <row r="32" spans="1:125" ht="2.25" customHeight="1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</row>
    <row r="33" spans="1:24" ht="15" customHeight="1" x14ac:dyDescent="0.35">
      <c r="A33" s="23" t="s">
        <v>28</v>
      </c>
    </row>
    <row r="34" spans="1:24" ht="12" customHeight="1" x14ac:dyDescent="0.35">
      <c r="A34" s="32" t="s">
        <v>236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25"/>
      <c r="Q34" s="25"/>
      <c r="R34" s="25"/>
    </row>
    <row r="35" spans="1:24" ht="12" customHeight="1" x14ac:dyDescent="0.35">
      <c r="A35" s="32" t="s">
        <v>237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1:24" ht="12" customHeight="1" x14ac:dyDescent="0.35">
      <c r="A36" s="32" t="s">
        <v>246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25"/>
      <c r="Q36" s="25"/>
      <c r="R36" s="25"/>
    </row>
    <row r="37" spans="1:24" ht="12" customHeight="1" x14ac:dyDescent="0.35">
      <c r="A37" s="32" t="s">
        <v>238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1:24" ht="12" customHeight="1" x14ac:dyDescent="0.35">
      <c r="A38" s="32" t="s">
        <v>239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1:24" ht="12" customHeight="1" x14ac:dyDescent="0.35">
      <c r="A39" s="32" t="s">
        <v>240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24" ht="12" customHeight="1" x14ac:dyDescent="0.35">
      <c r="A40" s="42" t="s">
        <v>227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23"/>
      <c r="Q40" s="23"/>
      <c r="R40" s="23"/>
      <c r="S40" s="23"/>
      <c r="T40" s="23"/>
      <c r="U40" s="23"/>
      <c r="V40" s="23"/>
      <c r="W40" s="23"/>
      <c r="X40" s="23"/>
    </row>
    <row r="41" spans="1:24" ht="12" customHeight="1" x14ac:dyDescent="0.35">
      <c r="A41" s="42" t="s">
        <v>228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23"/>
      <c r="Q41" s="23"/>
      <c r="R41" s="23"/>
      <c r="S41" s="23"/>
      <c r="T41" s="23"/>
      <c r="U41" s="23"/>
      <c r="V41" s="23"/>
      <c r="W41" s="23"/>
      <c r="X41" s="23"/>
    </row>
    <row r="42" spans="1:24" ht="12" customHeight="1" x14ac:dyDescent="0.35">
      <c r="A42" s="42" t="s">
        <v>229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23"/>
      <c r="Q42" s="23"/>
      <c r="R42" s="23"/>
      <c r="S42" s="23"/>
      <c r="T42" s="23"/>
      <c r="U42" s="23"/>
      <c r="V42" s="23"/>
      <c r="W42" s="23"/>
      <c r="X42" s="23"/>
    </row>
    <row r="43" spans="1:24" ht="12" customHeight="1" x14ac:dyDescent="0.35">
      <c r="A43" s="42" t="s">
        <v>230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23"/>
      <c r="Q43" s="23"/>
      <c r="R43" s="23"/>
      <c r="S43" s="23"/>
      <c r="T43" s="23"/>
      <c r="U43" s="23"/>
      <c r="V43" s="23"/>
      <c r="W43" s="23"/>
      <c r="X43" s="23"/>
    </row>
    <row r="44" spans="1:24" ht="12" customHeight="1" x14ac:dyDescent="0.35">
      <c r="A44" s="42" t="s">
        <v>231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23"/>
      <c r="Q44" s="23"/>
      <c r="R44" s="23"/>
      <c r="S44" s="23"/>
      <c r="T44" s="23"/>
      <c r="U44" s="23"/>
      <c r="V44" s="23"/>
      <c r="W44" s="23"/>
      <c r="X44" s="23"/>
    </row>
    <row r="45" spans="1:24" ht="12" customHeight="1" x14ac:dyDescent="0.35">
      <c r="A45" s="42" t="s">
        <v>232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23"/>
      <c r="Q45" s="23"/>
      <c r="R45" s="23"/>
      <c r="S45" s="23"/>
      <c r="T45" s="23"/>
      <c r="U45" s="23"/>
      <c r="V45" s="23"/>
      <c r="W45" s="23"/>
      <c r="X45" s="23"/>
    </row>
    <row r="46" spans="1:24" ht="12" customHeight="1" x14ac:dyDescent="0.35">
      <c r="A46" s="42" t="s">
        <v>233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23"/>
      <c r="Q46" s="23"/>
      <c r="R46" s="23"/>
      <c r="S46" s="23"/>
      <c r="T46" s="23"/>
      <c r="U46" s="23"/>
      <c r="V46" s="23"/>
      <c r="W46" s="23"/>
      <c r="X46" s="23"/>
    </row>
    <row r="47" spans="1:24" ht="12" customHeight="1" x14ac:dyDescent="0.35">
      <c r="A47" s="42" t="s">
        <v>234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23"/>
      <c r="Q47" s="23"/>
      <c r="R47" s="23"/>
      <c r="S47" s="23"/>
      <c r="T47" s="23"/>
      <c r="U47" s="23"/>
      <c r="V47" s="23"/>
      <c r="W47" s="23"/>
      <c r="X47" s="23"/>
    </row>
    <row r="48" spans="1:24" ht="12" customHeight="1" x14ac:dyDescent="0.35">
      <c r="A48" s="42" t="s">
        <v>235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23"/>
      <c r="Q48" s="23"/>
      <c r="R48" s="23"/>
      <c r="S48" s="23"/>
      <c r="T48" s="23"/>
      <c r="U48" s="23"/>
      <c r="V48" s="23"/>
      <c r="W48" s="23"/>
      <c r="X48" s="23"/>
    </row>
    <row r="49" ht="12" customHeight="1" x14ac:dyDescent="0.35"/>
    <row r="50" ht="12" customHeight="1" x14ac:dyDescent="0.35"/>
    <row r="51" ht="12" customHeight="1" x14ac:dyDescent="0.35"/>
  </sheetData>
  <autoFilter ref="A10:DS31" xr:uid="{00000000-0001-0000-0000-000000000000}"/>
  <mergeCells count="83">
    <mergeCell ref="DK7:DK9"/>
    <mergeCell ref="DF7:DF9"/>
    <mergeCell ref="DC7:DC9"/>
    <mergeCell ref="CF8:CF9"/>
    <mergeCell ref="A36:O36"/>
    <mergeCell ref="DH7:DH9"/>
    <mergeCell ref="CT8:CT9"/>
    <mergeCell ref="CU8:CU9"/>
    <mergeCell ref="DI7:DI9"/>
    <mergeCell ref="BQ7:BW8"/>
    <mergeCell ref="CY7:DA7"/>
    <mergeCell ref="CY8:CY9"/>
    <mergeCell ref="CZ8:CZ9"/>
    <mergeCell ref="DA8:DA9"/>
    <mergeCell ref="DE7:DE9"/>
    <mergeCell ref="AA7:AG8"/>
    <mergeCell ref="DL7:DS8"/>
    <mergeCell ref="BX8:BX9"/>
    <mergeCell ref="BY8:BY9"/>
    <mergeCell ref="BZ8:BZ9"/>
    <mergeCell ref="CA8:CA9"/>
    <mergeCell ref="CB8:CB9"/>
    <mergeCell ref="CC8:CC9"/>
    <mergeCell ref="CJ8:CJ9"/>
    <mergeCell ref="CK8:CK9"/>
    <mergeCell ref="DB7:DB9"/>
    <mergeCell ref="DD7:DD9"/>
    <mergeCell ref="CL8:CL9"/>
    <mergeCell ref="CN8:CN9"/>
    <mergeCell ref="CO8:CO9"/>
    <mergeCell ref="DG7:DG9"/>
    <mergeCell ref="DJ7:DJ9"/>
    <mergeCell ref="BC7:BI8"/>
    <mergeCell ref="CS7:CU7"/>
    <mergeCell ref="CS8:CS9"/>
    <mergeCell ref="AH7:AN8"/>
    <mergeCell ref="AV7:BB8"/>
    <mergeCell ref="CP7:CR7"/>
    <mergeCell ref="CP8:CP9"/>
    <mergeCell ref="CJ7:CL7"/>
    <mergeCell ref="CG7:CI7"/>
    <mergeCell ref="CG8:CG9"/>
    <mergeCell ref="CH8:CH9"/>
    <mergeCell ref="CI8:CI9"/>
    <mergeCell ref="CD7:CF7"/>
    <mergeCell ref="CD8:CD9"/>
    <mergeCell ref="CE8:CE9"/>
    <mergeCell ref="CV7:CX7"/>
    <mergeCell ref="CV8:CV9"/>
    <mergeCell ref="CW8:CW9"/>
    <mergeCell ref="CX8:CX9"/>
    <mergeCell ref="CM7:CO7"/>
    <mergeCell ref="CM8:CM9"/>
    <mergeCell ref="CQ8:CQ9"/>
    <mergeCell ref="CR8:CR9"/>
    <mergeCell ref="A45:O45"/>
    <mergeCell ref="A46:O46"/>
    <mergeCell ref="A47:O47"/>
    <mergeCell ref="A48:O48"/>
    <mergeCell ref="CA7:CC7"/>
    <mergeCell ref="A40:O40"/>
    <mergeCell ref="A41:O41"/>
    <mergeCell ref="A42:O42"/>
    <mergeCell ref="A43:O43"/>
    <mergeCell ref="A44:O44"/>
    <mergeCell ref="A7:A9"/>
    <mergeCell ref="B7:B9"/>
    <mergeCell ref="C7:C9"/>
    <mergeCell ref="BX7:BZ7"/>
    <mergeCell ref="BJ7:BP8"/>
    <mergeCell ref="AO7:AU8"/>
    <mergeCell ref="A4:S4"/>
    <mergeCell ref="A5:U6"/>
    <mergeCell ref="A39:O39"/>
    <mergeCell ref="A34:O34"/>
    <mergeCell ref="A35:O35"/>
    <mergeCell ref="A37:O37"/>
    <mergeCell ref="A38:O38"/>
    <mergeCell ref="E7:E9"/>
    <mergeCell ref="F7:L8"/>
    <mergeCell ref="M7:S8"/>
    <mergeCell ref="T7:Z8"/>
    <mergeCell ref="D7:D9"/>
  </mergeCells>
  <conditionalFormatting sqref="A11:DS31">
    <cfRule type="expression" dxfId="0" priority="2">
      <formula>+$E11="Pública"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BA91-A0B6-4182-93EC-8EC1A3025732}">
  <dimension ref="A1:B24"/>
  <sheetViews>
    <sheetView workbookViewId="0">
      <selection activeCell="B2" sqref="B2"/>
    </sheetView>
  </sheetViews>
  <sheetFormatPr defaultRowHeight="14.5" x14ac:dyDescent="0.35"/>
  <cols>
    <col min="1" max="1" width="23.1796875" bestFit="1" customWidth="1"/>
  </cols>
  <sheetData>
    <row r="1" spans="1:2" x14ac:dyDescent="0.35">
      <c r="A1" s="28" t="s">
        <v>249</v>
      </c>
      <c r="B1" t="s">
        <v>248</v>
      </c>
    </row>
    <row r="2" spans="1:2" x14ac:dyDescent="0.35">
      <c r="A2" s="28">
        <v>3100906</v>
      </c>
      <c r="B2" t="s">
        <v>250</v>
      </c>
    </row>
    <row r="3" spans="1:2" x14ac:dyDescent="0.35">
      <c r="A3" s="28">
        <v>3104700</v>
      </c>
      <c r="B3" t="s">
        <v>250</v>
      </c>
    </row>
    <row r="4" spans="1:2" x14ac:dyDescent="0.35">
      <c r="A4" s="28">
        <v>3106606</v>
      </c>
      <c r="B4" t="s">
        <v>250</v>
      </c>
    </row>
    <row r="5" spans="1:2" x14ac:dyDescent="0.35">
      <c r="A5" s="28">
        <v>3113701</v>
      </c>
      <c r="B5" t="s">
        <v>250</v>
      </c>
    </row>
    <row r="6" spans="1:2" x14ac:dyDescent="0.35">
      <c r="A6" s="28">
        <v>3115458</v>
      </c>
      <c r="B6" t="s">
        <v>250</v>
      </c>
    </row>
    <row r="7" spans="1:2" x14ac:dyDescent="0.35">
      <c r="A7" s="28">
        <v>3120151</v>
      </c>
      <c r="B7" t="s">
        <v>250</v>
      </c>
    </row>
    <row r="8" spans="1:2" x14ac:dyDescent="0.35">
      <c r="A8" s="28">
        <v>3126752</v>
      </c>
      <c r="B8" t="s">
        <v>250</v>
      </c>
    </row>
    <row r="9" spans="1:2" x14ac:dyDescent="0.35">
      <c r="A9" s="28">
        <v>3126802</v>
      </c>
      <c r="B9" t="s">
        <v>250</v>
      </c>
    </row>
    <row r="10" spans="1:2" x14ac:dyDescent="0.35">
      <c r="A10" s="28">
        <v>3127057</v>
      </c>
      <c r="B10" t="s">
        <v>250</v>
      </c>
    </row>
    <row r="11" spans="1:2" x14ac:dyDescent="0.35">
      <c r="A11" s="28">
        <v>3132305</v>
      </c>
      <c r="B11" t="s">
        <v>250</v>
      </c>
    </row>
    <row r="12" spans="1:2" x14ac:dyDescent="0.35">
      <c r="A12" s="28">
        <v>3137007</v>
      </c>
      <c r="B12" t="s">
        <v>250</v>
      </c>
    </row>
    <row r="13" spans="1:2" x14ac:dyDescent="0.35">
      <c r="A13" s="28">
        <v>3138906</v>
      </c>
      <c r="B13" t="s">
        <v>250</v>
      </c>
    </row>
    <row r="14" spans="1:2" x14ac:dyDescent="0.35">
      <c r="A14" s="28">
        <v>3139201</v>
      </c>
      <c r="B14" t="s">
        <v>250</v>
      </c>
    </row>
    <row r="15" spans="1:2" x14ac:dyDescent="0.35">
      <c r="A15" s="28">
        <v>3144300</v>
      </c>
      <c r="B15" t="s">
        <v>250</v>
      </c>
    </row>
    <row r="16" spans="1:2" x14ac:dyDescent="0.35">
      <c r="A16" s="28">
        <v>3145356</v>
      </c>
      <c r="B16" t="s">
        <v>250</v>
      </c>
    </row>
    <row r="17" spans="1:2" x14ac:dyDescent="0.35">
      <c r="A17" s="28">
        <v>3146206</v>
      </c>
      <c r="B17" t="s">
        <v>250</v>
      </c>
    </row>
    <row r="18" spans="1:2" x14ac:dyDescent="0.35">
      <c r="A18" s="28">
        <v>3148509</v>
      </c>
      <c r="B18" t="s">
        <v>250</v>
      </c>
    </row>
    <row r="19" spans="1:2" x14ac:dyDescent="0.35">
      <c r="A19" s="28">
        <v>3152402</v>
      </c>
      <c r="B19" t="s">
        <v>250</v>
      </c>
    </row>
    <row r="20" spans="1:2" x14ac:dyDescent="0.35">
      <c r="A20" s="28">
        <v>3157658</v>
      </c>
      <c r="B20" t="s">
        <v>250</v>
      </c>
    </row>
    <row r="21" spans="1:2" x14ac:dyDescent="0.35">
      <c r="A21" s="28">
        <v>3166709</v>
      </c>
      <c r="B21" t="s">
        <v>250</v>
      </c>
    </row>
    <row r="22" spans="1:2" x14ac:dyDescent="0.35">
      <c r="A22" s="28">
        <v>3165552</v>
      </c>
      <c r="B22" t="s">
        <v>250</v>
      </c>
    </row>
    <row r="23" spans="1:2" x14ac:dyDescent="0.35">
      <c r="A23" s="28">
        <v>3168606</v>
      </c>
      <c r="B23" t="s">
        <v>250</v>
      </c>
    </row>
    <row r="24" spans="1:2" x14ac:dyDescent="0.35">
      <c r="A24" s="28">
        <v>3170305</v>
      </c>
      <c r="B24" t="s">
        <v>250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IDEB_AI_MUNICÍPIOS</vt:lpstr>
      <vt:lpstr>Planilha1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2023 - Anos Iniciais - Municípios</dc:title>
  <dc:subject>IDEB</dc:subject>
  <dc:creator>INEP/DEED/CGCQTI/CEICQEB</dc:creator>
  <cp:keywords>INEP/DEED/CGCQTI</cp:keywords>
  <cp:lastModifiedBy>Rafael Abreu</cp:lastModifiedBy>
  <dcterms:created xsi:type="dcterms:W3CDTF">2014-08-14T20:50:01Z</dcterms:created>
  <dcterms:modified xsi:type="dcterms:W3CDTF">2025-06-10T21:38:13Z</dcterms:modified>
  <cp:category>Indicadores Educacionais</cp:category>
</cp:coreProperties>
</file>