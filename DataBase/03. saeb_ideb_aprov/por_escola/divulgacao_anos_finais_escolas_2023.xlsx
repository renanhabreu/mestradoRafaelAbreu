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913f1a445cdf06c/Estudos/01. Mestrado UFVJM/00. Dissertação/03. saeb_ideb_aprov/"/>
    </mc:Choice>
  </mc:AlternateContent>
  <xr:revisionPtr revIDLastSave="14" documentId="13_ncr:1_{2FA0A91F-3B8E-49F3-9EA8-1E90E47A8FB5}" xr6:coauthVersionLast="47" xr6:coauthVersionMax="47" xr10:uidLastSave="{075E8062-9197-42D0-AF97-A5CD66DD9F35}"/>
  <bookViews>
    <workbookView xWindow="-110" yWindow="-110" windowWidth="19420" windowHeight="10300" xr2:uid="{00000000-000D-0000-FFFF-FFFF00000000}"/>
  </bookViews>
  <sheets>
    <sheet name="IDEB_Escolas (Anos_Finais)" sheetId="1" r:id="rId1"/>
    <sheet name="Planilha1" sheetId="2" r:id="rId2"/>
  </sheets>
  <definedNames>
    <definedName name="_xlnm._FilterDatabase" localSheetId="0" hidden="1">'IDEB_Escolas (Anos_Finais)'!$A$10:$DK$43</definedName>
    <definedName name="IDEB09_R_Fim_Esc8a">'IDEB_Escolas (Anos_Finais)'!$A$11:$DK$43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</calcChain>
</file>

<file path=xl/sharedStrings.xml><?xml version="1.0" encoding="utf-8"?>
<sst xmlns="http://schemas.openxmlformats.org/spreadsheetml/2006/main" count="2171" uniqueCount="269">
  <si>
    <t>Sigla da UF</t>
  </si>
  <si>
    <t>Código do Município</t>
  </si>
  <si>
    <t>Nome do Município</t>
  </si>
  <si>
    <t>Código da Escola</t>
  </si>
  <si>
    <t>Nome da Escola</t>
  </si>
  <si>
    <t>Rede</t>
  </si>
  <si>
    <t>IDEB
2005
(N x P)</t>
  </si>
  <si>
    <t>IDEB
2007
(N x P)</t>
  </si>
  <si>
    <t>IDEB
2009
(N x P)</t>
  </si>
  <si>
    <t>Matemática</t>
  </si>
  <si>
    <t>Língua Portuguesa</t>
  </si>
  <si>
    <t>Nota Média Padronizada (N)</t>
  </si>
  <si>
    <t>Indicador de Rendimento (P)</t>
  </si>
  <si>
    <t>Fonte: MEC/Inep</t>
  </si>
  <si>
    <t>Taxa de Aprovação - 2005</t>
  </si>
  <si>
    <t>Taxa de Aprovação - 2007</t>
  </si>
  <si>
    <t>Taxa de Aprovação - 2009</t>
  </si>
  <si>
    <t>Taxa de Aprovação - 2011</t>
  </si>
  <si>
    <t>IDEB
2011
(N x P)</t>
  </si>
  <si>
    <t>Municipal</t>
  </si>
  <si>
    <t>EM DUQUE DE CAXIAS</t>
  </si>
  <si>
    <t>ESCOLA MUNICIPAL BARAO DO RIO BRANCO</t>
  </si>
  <si>
    <t>MG</t>
  </si>
  <si>
    <t>EM ZELITA CARLOS DE OLIVEIRA</t>
  </si>
  <si>
    <t>EM SEBASTIAO PEREIRA CAMPOS</t>
  </si>
  <si>
    <t>EM VICENTE MACEDO</t>
  </si>
  <si>
    <t>EM SERAFIM MACHADO NAYA</t>
  </si>
  <si>
    <t>EM SIDONIO OTTONI</t>
  </si>
  <si>
    <t>EM AMERICANINHA</t>
  </si>
  <si>
    <t>EM DE ENS FUND 1 A 8 S</t>
  </si>
  <si>
    <t>EM ARISTIDES GOMES PEREIRA</t>
  </si>
  <si>
    <t>EM IRMA MARIA AMALIA</t>
  </si>
  <si>
    <t>EM PROF WALDEMAR MENDES DE CASTRO</t>
  </si>
  <si>
    <t>EM EVA RIBEIRO MENDES</t>
  </si>
  <si>
    <t>EM NOSSA SENHORA APARECIDA</t>
  </si>
  <si>
    <t>EM DE ENSINO FUNDAMENTAL DE CATUJI</t>
  </si>
  <si>
    <t>EM MARIA DE FATIMA BATISTA MATIAS</t>
  </si>
  <si>
    <t>EM AMERICO MACHADO</t>
  </si>
  <si>
    <t>-</t>
  </si>
  <si>
    <t>ND</t>
  </si>
  <si>
    <t>6º a 9º ano</t>
  </si>
  <si>
    <t>6º</t>
  </si>
  <si>
    <t>7º</t>
  </si>
  <si>
    <t>8º</t>
  </si>
  <si>
    <t>9º</t>
  </si>
  <si>
    <t>Taxa de Aprovação - 2013</t>
  </si>
  <si>
    <t>IDEB
2013
(N x P)</t>
  </si>
  <si>
    <t>ESCOLA MUNICIPAL DA FAZENDA AVENIDA</t>
  </si>
  <si>
    <t>ESCOLA MUNICIPAL SEBASTIAO LIMA FILHO</t>
  </si>
  <si>
    <t>EM PREF OMAR AFFONSO DA SILVA</t>
  </si>
  <si>
    <t>Taxa de Aprovação - 2015</t>
  </si>
  <si>
    <t>IDEB
2015
(N x P)</t>
  </si>
  <si>
    <t>Águas Formosas</t>
  </si>
  <si>
    <t>Ataléia</t>
  </si>
  <si>
    <t>Bertópolis</t>
  </si>
  <si>
    <t>Carlos Chagas</t>
  </si>
  <si>
    <t>Catuji</t>
  </si>
  <si>
    <t>Crisólita</t>
  </si>
  <si>
    <t>Franciscópolis</t>
  </si>
  <si>
    <t>Frei Gaspar</t>
  </si>
  <si>
    <t>Fronteira dos Vales</t>
  </si>
  <si>
    <t>Itaipé</t>
  </si>
  <si>
    <t>Ladainha</t>
  </si>
  <si>
    <t>Malacacheta</t>
  </si>
  <si>
    <t>Nanuque</t>
  </si>
  <si>
    <t>ESCOLA MUNICIPAL MIGUEL VIANA DE OLIVEIRA</t>
  </si>
  <si>
    <t>Novo Oriente de Minas</t>
  </si>
  <si>
    <t>Poté</t>
  </si>
  <si>
    <t>Santa Helena de Minas</t>
  </si>
  <si>
    <t>Serra dos Aimorés</t>
  </si>
  <si>
    <t>Teófilo Otoni</t>
  </si>
  <si>
    <t>Umburatiba</t>
  </si>
  <si>
    <t>EM ESTEVAO MONTEIRO</t>
  </si>
  <si>
    <t>EM MANOEL GOMES DE PAULA</t>
  </si>
  <si>
    <t>EM FREI GASPAR</t>
  </si>
  <si>
    <t>EM MANOEL GONCALVES SOARES</t>
  </si>
  <si>
    <t>EM DOMICIO PINTO MIRANDA</t>
  </si>
  <si>
    <t>Taxa de Aprovação - 2017</t>
  </si>
  <si>
    <t>IDEB
2017
(N x P)</t>
  </si>
  <si>
    <t>Nota SAEB - 2005</t>
  </si>
  <si>
    <t>Nota SAEB - 2007</t>
  </si>
  <si>
    <t>Nota SAEB - 2009</t>
  </si>
  <si>
    <t>Nota SAEB - 2011</t>
  </si>
  <si>
    <t>Nota SAEB - 2013</t>
  </si>
  <si>
    <t>Nota SAEB - 2015</t>
  </si>
  <si>
    <t>Nota SAEB - 2017</t>
  </si>
  <si>
    <t>Ministério da Educação</t>
  </si>
  <si>
    <t>Instituto Nacional de Estudos e Pesquisas Educacionais Anísio Teixeira</t>
  </si>
  <si>
    <t>Taxa de Aprovação - 2019</t>
  </si>
  <si>
    <t>Nota SAEB - 2019</t>
  </si>
  <si>
    <t>IDEB
2019
(N x P)</t>
  </si>
  <si>
    <t>SG_UF</t>
  </si>
  <si>
    <t>CO_MUNICIPIO</t>
  </si>
  <si>
    <t>NO_MUNICIPIO</t>
  </si>
  <si>
    <t>ID_ESCOLA</t>
  </si>
  <si>
    <t>NO_ESCOLA</t>
  </si>
  <si>
    <t>REDE</t>
  </si>
  <si>
    <t>VL_APROVACAO_2005_SI_4</t>
  </si>
  <si>
    <t>VL_APROVACAO_2005_1</t>
  </si>
  <si>
    <t>VL_APROVACAO_2005_2</t>
  </si>
  <si>
    <t>VL_APROVACAO_2005_3</t>
  </si>
  <si>
    <t>VL_APROVACAO_2005_4</t>
  </si>
  <si>
    <t>VL_INDICADOR_REND_2005</t>
  </si>
  <si>
    <t>VL_APROVACAO_2007_SI_4</t>
  </si>
  <si>
    <t>VL_APROVACAO_2007_1</t>
  </si>
  <si>
    <t>VL_APROVACAO_2007_2</t>
  </si>
  <si>
    <t>VL_APROVACAO_2007_3</t>
  </si>
  <si>
    <t>VL_APROVACAO_2007_4</t>
  </si>
  <si>
    <t>VL_INDICADOR_REND_2007</t>
  </si>
  <si>
    <t>VL_APROVACAO_2009_SI_4</t>
  </si>
  <si>
    <t>VL_APROVACAO_2009_1</t>
  </si>
  <si>
    <t>VL_APROVACAO_2009_2</t>
  </si>
  <si>
    <t>VL_APROVACAO_2009_3</t>
  </si>
  <si>
    <t>VL_APROVACAO_2009_4</t>
  </si>
  <si>
    <t>VL_INDICADOR_REND_2009</t>
  </si>
  <si>
    <t>VL_APROVACAO_2011_SI_4</t>
  </si>
  <si>
    <t>VL_APROVACAO_2011_1</t>
  </si>
  <si>
    <t>VL_APROVACAO_2011_2</t>
  </si>
  <si>
    <t>VL_APROVACAO_2011_3</t>
  </si>
  <si>
    <t>VL_APROVACAO_2011_4</t>
  </si>
  <si>
    <t>VL_INDICADOR_REND_2011</t>
  </si>
  <si>
    <t>VL_APROVACAO_2013_SI_4</t>
  </si>
  <si>
    <t>VL_APROVACAO_2013_1</t>
  </si>
  <si>
    <t>VL_APROVACAO_2013_2</t>
  </si>
  <si>
    <t>VL_APROVACAO_2013_3</t>
  </si>
  <si>
    <t>VL_APROVACAO_2013_4</t>
  </si>
  <si>
    <t>VL_INDICADOR_REND_2013</t>
  </si>
  <si>
    <t>VL_APROVACAO_2015_SI_4</t>
  </si>
  <si>
    <t>VL_APROVACAO_2015_1</t>
  </si>
  <si>
    <t>VL_APROVACAO_2015_2</t>
  </si>
  <si>
    <t>VL_APROVACAO_2015_3</t>
  </si>
  <si>
    <t>VL_APROVACAO_2015_4</t>
  </si>
  <si>
    <t>VL_INDICADOR_REND_2015</t>
  </si>
  <si>
    <t>VL_APROVACAO_2017_SI_4</t>
  </si>
  <si>
    <t>VL_APROVACAO_2017_1</t>
  </si>
  <si>
    <t>VL_APROVACAO_2017_2</t>
  </si>
  <si>
    <t>VL_APROVACAO_2017_3</t>
  </si>
  <si>
    <t>VL_APROVACAO_2017_4</t>
  </si>
  <si>
    <t>VL_INDICADOR_REND_2017</t>
  </si>
  <si>
    <t>VL_APROVACAO_2019_SI_4</t>
  </si>
  <si>
    <t>VL_APROVACAO_2019_1</t>
  </si>
  <si>
    <t>VL_APROVACAO_2019_2</t>
  </si>
  <si>
    <t>VL_APROVACAO_2019_3</t>
  </si>
  <si>
    <t>VL_APROVACAO_2019_4</t>
  </si>
  <si>
    <t>VL_INDICADOR_REND_2019</t>
  </si>
  <si>
    <t>VL_NOTA_MATEMATICA_2005</t>
  </si>
  <si>
    <t>VL_NOTA_PORTUGUES_2005</t>
  </si>
  <si>
    <t>VL_NOTA_MEDIA_2005</t>
  </si>
  <si>
    <t>VL_NOTA_MATEMATICA_2007</t>
  </si>
  <si>
    <t>VL_NOTA_PORTUGUES_2007</t>
  </si>
  <si>
    <t>VL_NOTA_MEDIA_2007</t>
  </si>
  <si>
    <t>VL_NOTA_MATEMATICA_2009</t>
  </si>
  <si>
    <t>VL_NOTA_PORTUGUES_2009</t>
  </si>
  <si>
    <t>VL_NOTA_MEDIA_2009</t>
  </si>
  <si>
    <t>VL_NOTA_MATEMATICA_2011</t>
  </si>
  <si>
    <t>VL_NOTA_PORTUGUES_2011</t>
  </si>
  <si>
    <t>VL_NOTA_MEDIA_2011</t>
  </si>
  <si>
    <t>VL_NOTA_MATEMATICA_2013</t>
  </si>
  <si>
    <t>VL_NOTA_PORTUGUES_2013</t>
  </si>
  <si>
    <t>VL_NOTA_MEDIA_2013</t>
  </si>
  <si>
    <t>VL_NOTA_MATEMATICA_2015</t>
  </si>
  <si>
    <t>VL_NOTA_PORTUGUES_2015</t>
  </si>
  <si>
    <t>VL_NOTA_MEDIA_2015</t>
  </si>
  <si>
    <t>VL_NOTA_MATEMATICA_2017</t>
  </si>
  <si>
    <t>VL_NOTA_PORTUGUES_2017</t>
  </si>
  <si>
    <t>VL_NOTA_MEDIA_2017</t>
  </si>
  <si>
    <t>VL_NOTA_MATEMATICA_2019</t>
  </si>
  <si>
    <t>VL_NOTA_PORTUGUES_2019</t>
  </si>
  <si>
    <t>VL_NOTA_MEDIA_2019</t>
  </si>
  <si>
    <t>VL_OBSERVADO_2005</t>
  </si>
  <si>
    <t>VL_OBSERVADO_2007</t>
  </si>
  <si>
    <t>VL_OBSERVADO_2009</t>
  </si>
  <si>
    <t>VL_OBSERVADO_2011</t>
  </si>
  <si>
    <t>VL_OBSERVADO_2013</t>
  </si>
  <si>
    <t>VL_OBSERVADO_2015</t>
  </si>
  <si>
    <t>VL_OBSERVADO_2017</t>
  </si>
  <si>
    <t>VL_OBSERVADO_2019</t>
  </si>
  <si>
    <t>VL_PROJECAO_2007</t>
  </si>
  <si>
    <t>VL_PROJECAO_2009</t>
  </si>
  <si>
    <t>VL_PROJECAO_2011</t>
  </si>
  <si>
    <t>VL_PROJECAO_2013</t>
  </si>
  <si>
    <t>VL_PROJECAO_2015</t>
  </si>
  <si>
    <t>VL_PROJECAO_2017</t>
  </si>
  <si>
    <t>VL_PROJECAO_2019</t>
  </si>
  <si>
    <t>VL_PROJECAO_2021</t>
  </si>
  <si>
    <t>243,79</t>
  </si>
  <si>
    <t>229,92</t>
  </si>
  <si>
    <t>242,42</t>
  </si>
  <si>
    <t>252,57</t>
  </si>
  <si>
    <t>244,27</t>
  </si>
  <si>
    <t>235,90</t>
  </si>
  <si>
    <t>234,52</t>
  </si>
  <si>
    <t>246,56</t>
  </si>
  <si>
    <t>245,96</t>
  </si>
  <si>
    <t>240,19</t>
  </si>
  <si>
    <t>243,71</t>
  </si>
  <si>
    <t>237,53</t>
  </si>
  <si>
    <t>233,71</t>
  </si>
  <si>
    <t>234,02</t>
  </si>
  <si>
    <t>233,65</t>
  </si>
  <si>
    <t>236,53</t>
  </si>
  <si>
    <t>240,85</t>
  </si>
  <si>
    <t>232,27</t>
  </si>
  <si>
    <t>247,26</t>
  </si>
  <si>
    <t>246,77</t>
  </si>
  <si>
    <t>229,89</t>
  </si>
  <si>
    <t>230,61</t>
  </si>
  <si>
    <t>230,38</t>
  </si>
  <si>
    <t>245,51</t>
  </si>
  <si>
    <t>256,05</t>
  </si>
  <si>
    <t>262,44</t>
  </si>
  <si>
    <t>245,07</t>
  </si>
  <si>
    <t>242,95</t>
  </si>
  <si>
    <t>249,12</t>
  </si>
  <si>
    <t>249,08</t>
  </si>
  <si>
    <t>288,90</t>
  </si>
  <si>
    <t>298,65</t>
  </si>
  <si>
    <t>VL_APROVACAO_2021_SI_4</t>
  </si>
  <si>
    <t>VL_APROVACAO_2021_1</t>
  </si>
  <si>
    <t>VL_APROVACAO_2021_2</t>
  </si>
  <si>
    <t>VL_APROVACAO_2021_3</t>
  </si>
  <si>
    <t>VL_APROVACAO_2021_4</t>
  </si>
  <si>
    <t>VL_INDICADOR_REND_2021</t>
  </si>
  <si>
    <t>VL_NOTA_MATEMATICA_2021</t>
  </si>
  <si>
    <t>VL_NOTA_PORTUGUES_2021</t>
  </si>
  <si>
    <t>VL_NOTA_MEDIA_2021</t>
  </si>
  <si>
    <t>VL_OBSERVADO_2021</t>
  </si>
  <si>
    <t>ESCOLA MUNICIPAL DOUTOR MANOEL ESTEVES OTONI</t>
  </si>
  <si>
    <t>ESCOLA MUNICIPAL OSCAR JOAO KRETLI</t>
  </si>
  <si>
    <t>ESCOLA MUNICIPAL AGRICOLA GERALDO LEAO LOPES</t>
  </si>
  <si>
    <t>Taxa de Aprovação - 2023</t>
  </si>
  <si>
    <t>Nota SAEB - 2023</t>
  </si>
  <si>
    <t>IDEB
2023
(N x P)</t>
  </si>
  <si>
    <t>VL_APROVACAO_2023_SI_4</t>
  </si>
  <si>
    <t>VL_APROVACAO_2023_1</t>
  </si>
  <si>
    <t>VL_APROVACAO_2023_2</t>
  </si>
  <si>
    <t>VL_APROVACAO_2023_3</t>
  </si>
  <si>
    <t>VL_APROVACAO_2023_4</t>
  </si>
  <si>
    <t>VL_INDICADOR_REND_2023</t>
  </si>
  <si>
    <t>VL_NOTA_MATEMATICA_2023</t>
  </si>
  <si>
    <t>VL_NOTA_PORTUGUES_2023</t>
  </si>
  <si>
    <t>VL_NOTA_MEDIA_2023</t>
  </si>
  <si>
    <t>VL_OBSERVADO_2023</t>
  </si>
  <si>
    <t>ESCOLA MUNICIPAL JOAO GONCALVES DA ROCHA</t>
  </si>
  <si>
    <t>EM DE JOAQUIM DIAS ALMEIDA</t>
  </si>
  <si>
    <t>EM AGRICOLA INACIO PEREIRA GUIMARAES</t>
  </si>
  <si>
    <t>ESCOLA MUNICIPAL COLATINA GONCALVES DE SOUZA</t>
  </si>
  <si>
    <t>Ensino Fundamental Regular - Anos Finais</t>
  </si>
  <si>
    <r>
      <t>Taxa de Aprovação - 2021</t>
    </r>
    <r>
      <rPr>
        <b/>
        <vertAlign val="superscript"/>
        <sz val="9"/>
        <rFont val="Arial"/>
        <family val="2"/>
      </rPr>
      <t>1</t>
    </r>
  </si>
  <si>
    <r>
      <t>Nota SAEB - 2021</t>
    </r>
    <r>
      <rPr>
        <b/>
        <vertAlign val="superscript"/>
        <sz val="9"/>
        <rFont val="Arial"/>
        <family val="2"/>
      </rPr>
      <t>1</t>
    </r>
  </si>
  <si>
    <r>
      <t>IDEB
2021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
(N x P)</t>
    </r>
  </si>
  <si>
    <r>
      <t>Metas do 1º ciclo do Ideb</t>
    </r>
    <r>
      <rPr>
        <b/>
        <vertAlign val="superscript"/>
        <sz val="9"/>
        <rFont val="Arial"/>
        <family val="2"/>
      </rPr>
      <t>2,3</t>
    </r>
    <r>
      <rPr>
        <b/>
        <sz val="9"/>
        <rFont val="Arial"/>
        <family val="2"/>
      </rPr>
      <t xml:space="preserve"> (2007-2021)</t>
    </r>
  </si>
  <si>
    <t>Notas: ND - Número de participantes no SAEB insuficiente para que os resultados sejam divulgados;</t>
  </si>
  <si>
    <t xml:space="preserve">(1) Ver Nota informativa do Ideb de 2021 (https://download.inep.gov.br/educacao_basica/portal_ideb/planilhas_para_download/2021/nota_informativa_ideb_2021.pdf) e </t>
  </si>
  <si>
    <t>Relatório de Resultados do Saeb de 2021 (https://download.inep.gov.br/educacao_basica/saeb/2021/resultados/relatorio_de_resultados_do_saeb_2021_volume_1.pdf)</t>
  </si>
  <si>
    <t>para maiores informações sobre o impacto da pandemia no Ideb;</t>
  </si>
  <si>
    <t>(2) O primeiro ciclo do Ideb considera as metas pactuadas no Compromisso Todos pela Educação (https://www.planalto.gov.br/ccivil_03/_ato2007-2010/2007/decreto/d6094.htm)</t>
  </si>
  <si>
    <t>que foram definidas (https://download.inep.gov.br/educacao_basica/portal_ideb/o_que_sao_as_metas/Nota_Tecnica_n2_metas_intermediarias_IDEB.pdf) para cada ente</t>
  </si>
  <si>
    <t>federado de 2007 até 2021;</t>
  </si>
  <si>
    <t>(3) Com o fim do primeiro ciclo do Ideb, o Inep criou um Grupo Técnico para elaborar estudo e subsidiar a atualização do Ideb e a avaliação de novas metas - para maiores</t>
  </si>
  <si>
    <t>informações ver Portaria nº 26 de 29/01/2024 (https://www.in.gov.br/web/dou/-/portaria-n-26-de-29-de-janeiro-de-2024-540345023) que institui o Grupo Técnico e</t>
  </si>
  <si>
    <t>Portaria nº 231 de 17/06/2024 (https://www.in.gov.br/web/dou/-/portaria-n-231-de-17-de-junho-de-2024-566241404) que prorroga o prazo para conclusão das atividades.</t>
  </si>
  <si>
    <t>(*) - Média calculada a partir dos resultados dos alunos nas avaliações estaduais, em decorrência do extravio de provas e impossibilidade do cálculo da proficiência para o SAEB;</t>
  </si>
  <si>
    <t>ND** - Não divulgado por solicitação da Secretaria/Escola por situações adversas no momento da aplicação do SAEB;</t>
  </si>
  <si>
    <t>ND* - Solicitação de não divulgação conforme Portaria Inep nº 410 de 03 de novembro de 2011 ou Portaria Inep nº 304 de 24 de junho de 2013;</t>
  </si>
  <si>
    <t>ND*** - Escola com pelo menos 20% do material extraviado, com participação insuficiente para divulgação dos resultados;</t>
  </si>
  <si>
    <r>
      <t>Indicadores educacionais compostos por: Taxa de Aprovação, SAEB e IDEB nos anos de 2005, 2007, 2009, 2011, 2013, 2015, 2017, 2019, 2021</t>
    </r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e 2023 e Metas do 1º ciclo do Ideb</t>
    </r>
    <r>
      <rPr>
        <vertAlign val="superscript"/>
        <sz val="10"/>
        <rFont val="Arial"/>
        <family val="2"/>
      </rPr>
      <t>2,3</t>
    </r>
    <r>
      <rPr>
        <sz val="10"/>
        <rFont val="Arial"/>
        <family val="2"/>
      </rPr>
      <t xml:space="preserve"> (2007-2021). Os dados estão dimensionados por escola e organizados por rede de ensino.</t>
    </r>
  </si>
  <si>
    <t>Código Município Completo</t>
  </si>
  <si>
    <t>Vale do Mucuri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</si>
</sst>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b/>
      <sz val="14"/>
      <color indexed="9"/>
      <name val="Arial"/>
      <family val="2"/>
    </font>
    <font>
      <sz val="9"/>
      <color theme="0"/>
      <name val="Arial"/>
      <family val="2"/>
    </font>
    <font>
      <vertAlign val="superscript"/>
      <sz val="10"/>
      <name val="Arial"/>
      <family val="2"/>
    </font>
    <font>
      <b/>
      <vertAlign val="superscript"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12">
    <xf numFmtId="0" fontId="0" fillId="0" borderId="0"/>
    <xf numFmtId="0" fontId="14" fillId="0" borderId="0"/>
    <xf numFmtId="0" fontId="9" fillId="0" borderId="0"/>
    <xf numFmtId="0" fontId="10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7">
    <xf numFmtId="0" fontId="0" fillId="0" borderId="0" xfId="0"/>
    <xf numFmtId="0" fontId="0" fillId="2" borderId="0" xfId="0" applyFill="1"/>
    <xf numFmtId="0" fontId="11" fillId="2" borderId="0" xfId="0" applyFont="1" applyFill="1"/>
    <xf numFmtId="0" fontId="11" fillId="2" borderId="1" xfId="0" applyFont="1" applyFill="1" applyBorder="1" applyAlignment="1">
      <alignment horizontal="center" vertical="center" wrapText="1"/>
    </xf>
    <xf numFmtId="0" fontId="11" fillId="2" borderId="2" xfId="0" quotePrefix="1" applyFont="1" applyFill="1" applyBorder="1" applyAlignment="1">
      <alignment horizontal="center" vertical="center"/>
    </xf>
    <xf numFmtId="0" fontId="11" fillId="2" borderId="3" xfId="0" quotePrefix="1" applyFont="1" applyFill="1" applyBorder="1" applyAlignment="1">
      <alignment horizontal="center" vertical="center"/>
    </xf>
    <xf numFmtId="0" fontId="13" fillId="2" borderId="14" xfId="1" applyFont="1" applyFill="1" applyBorder="1"/>
    <xf numFmtId="1" fontId="13" fillId="2" borderId="14" xfId="1" applyNumberFormat="1" applyFont="1" applyFill="1" applyBorder="1"/>
    <xf numFmtId="164" fontId="13" fillId="2" borderId="14" xfId="1" applyNumberFormat="1" applyFont="1" applyFill="1" applyBorder="1" applyAlignment="1">
      <alignment horizontal="right"/>
    </xf>
    <xf numFmtId="2" fontId="13" fillId="2" borderId="14" xfId="1" applyNumberFormat="1" applyFont="1" applyFill="1" applyBorder="1" applyAlignment="1">
      <alignment horizontal="right"/>
    </xf>
    <xf numFmtId="0" fontId="0" fillId="2" borderId="4" xfId="0" applyFill="1" applyBorder="1"/>
    <xf numFmtId="0" fontId="12" fillId="2" borderId="0" xfId="0" applyFont="1" applyFill="1"/>
    <xf numFmtId="0" fontId="12" fillId="2" borderId="0" xfId="0" applyFont="1" applyFill="1" applyAlignment="1">
      <alignment vertical="center"/>
    </xf>
    <xf numFmtId="1" fontId="8" fillId="3" borderId="0" xfId="4" applyNumberFormat="1" applyFill="1" applyAlignment="1">
      <alignment horizontal="center"/>
    </xf>
    <xf numFmtId="0" fontId="16" fillId="3" borderId="0" xfId="4" applyFont="1" applyFill="1"/>
    <xf numFmtId="0" fontId="8" fillId="3" borderId="0" xfId="4" applyFill="1"/>
    <xf numFmtId="0" fontId="17" fillId="2" borderId="0" xfId="0" applyFont="1" applyFill="1"/>
    <xf numFmtId="0" fontId="8" fillId="3" borderId="4" xfId="4" applyFill="1" applyBorder="1" applyAlignment="1">
      <alignment horizontal="left"/>
    </xf>
    <xf numFmtId="0" fontId="8" fillId="3" borderId="4" xfId="4" applyFill="1" applyBorder="1"/>
    <xf numFmtId="0" fontId="17" fillId="2" borderId="4" xfId="0" applyFont="1" applyFill="1" applyBorder="1"/>
    <xf numFmtId="0" fontId="8" fillId="3" borderId="0" xfId="4" applyFill="1" applyAlignment="1">
      <alignment horizontal="center"/>
    </xf>
    <xf numFmtId="1" fontId="8" fillId="3" borderId="0" xfId="4" applyNumberFormat="1" applyFill="1"/>
    <xf numFmtId="164" fontId="13" fillId="2" borderId="15" xfId="1" applyNumberFormat="1" applyFont="1" applyFill="1" applyBorder="1" applyAlignment="1">
      <alignment horizontal="right"/>
    </xf>
    <xf numFmtId="0" fontId="19" fillId="2" borderId="0" xfId="0" quotePrefix="1" applyFont="1" applyFill="1" applyAlignment="1">
      <alignment horizontal="center"/>
    </xf>
    <xf numFmtId="0" fontId="19" fillId="2" borderId="0" xfId="0" quotePrefix="1" applyFont="1" applyFill="1"/>
    <xf numFmtId="0" fontId="19" fillId="2" borderId="0" xfId="0" applyFont="1" applyFill="1"/>
    <xf numFmtId="0" fontId="8" fillId="3" borderId="6" xfId="4" applyFill="1" applyBorder="1"/>
    <xf numFmtId="0" fontId="10" fillId="3" borderId="0" xfId="1" applyFont="1" applyFill="1" applyAlignment="1">
      <alignment vertical="center" wrapText="1"/>
    </xf>
    <xf numFmtId="0" fontId="18" fillId="4" borderId="0" xfId="4" applyFont="1" applyFill="1" applyAlignment="1">
      <alignment vertical="center" wrapText="1"/>
    </xf>
    <xf numFmtId="2" fontId="13" fillId="2" borderId="14" xfId="1" applyNumberFormat="1" applyFont="1" applyFill="1" applyBorder="1" applyAlignment="1">
      <alignment horizontal="right" vertical="center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left" vertical="center"/>
    </xf>
    <xf numFmtId="0" fontId="10" fillId="3" borderId="0" xfId="1" applyFont="1" applyFill="1" applyAlignment="1">
      <alignment horizontal="left" vertical="center" wrapText="1"/>
    </xf>
    <xf numFmtId="0" fontId="10" fillId="3" borderId="4" xfId="1" applyFont="1" applyFill="1" applyBorder="1" applyAlignment="1">
      <alignment horizontal="left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8" fillId="4" borderId="0" xfId="4" applyFont="1" applyFill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8" fillId="3" borderId="0" xfId="4" applyFill="1" applyBorder="1"/>
    <xf numFmtId="0" fontId="0" fillId="0" borderId="0" xfId="0" applyAlignment="1">
      <alignment horizontal="center"/>
    </xf>
  </cellXfs>
  <cellStyles count="12">
    <cellStyle name="Normal" xfId="0" builtinId="0"/>
    <cellStyle name="Normal 10" xfId="9" xr:uid="{00000000-0005-0000-0000-000001000000}"/>
    <cellStyle name="Normal 11" xfId="10" xr:uid="{00000000-0005-0000-0000-000002000000}"/>
    <cellStyle name="Normal 12" xfId="11" xr:uid="{00000000-0005-0000-0000-000003000000}"/>
    <cellStyle name="Normal 2" xfId="1" xr:uid="{00000000-0005-0000-0000-000004000000}"/>
    <cellStyle name="Normal 3" xfId="2" xr:uid="{00000000-0005-0000-0000-000005000000}"/>
    <cellStyle name="Normal 4" xfId="4" xr:uid="{00000000-0005-0000-0000-000006000000}"/>
    <cellStyle name="Normal 5" xfId="3" xr:uid="{00000000-0005-0000-0000-000007000000}"/>
    <cellStyle name="Normal 6" xfId="5" xr:uid="{00000000-0005-0000-0000-000008000000}"/>
    <cellStyle name="Normal 7" xfId="6" xr:uid="{00000000-0005-0000-0000-000009000000}"/>
    <cellStyle name="Normal 8" xfId="7" xr:uid="{00000000-0005-0000-0000-00000A000000}"/>
    <cellStyle name="Normal 9" xfId="8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76201</xdr:rowOff>
    </xdr:from>
    <xdr:to>
      <xdr:col>1</xdr:col>
      <xdr:colOff>606426</xdr:colOff>
      <xdr:row>1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1EA456-462A-456F-A8ED-283899EB7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6" y="76201"/>
          <a:ext cx="933450" cy="323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59"/>
  <sheetViews>
    <sheetView tabSelected="1" workbookViewId="0">
      <pane xSplit="6" ySplit="10" topLeftCell="G11" activePane="bottomRight" state="frozen"/>
      <selection pane="topRight" activeCell="F1" sqref="F1"/>
      <selection pane="bottomLeft" activeCell="A11" sqref="A11"/>
      <selection pane="bottomRight" activeCell="G11" sqref="G11"/>
    </sheetView>
  </sheetViews>
  <sheetFormatPr defaultColWidth="9.1796875" defaultRowHeight="12.5" x14ac:dyDescent="0.25"/>
  <cols>
    <col min="1" max="1" width="6" style="1" customWidth="1"/>
    <col min="2" max="2" width="9.08984375" style="1" customWidth="1"/>
    <col min="3" max="3" width="28" style="1" bestFit="1" customWidth="1"/>
    <col min="4" max="4" width="28" style="1" customWidth="1"/>
    <col min="5" max="5" width="10" style="1" customWidth="1"/>
    <col min="6" max="6" width="41.1796875" style="1" customWidth="1"/>
    <col min="7" max="7" width="8.453125" style="1" bestFit="1" customWidth="1"/>
    <col min="8" max="12" width="6" style="1" customWidth="1"/>
    <col min="13" max="13" width="11" style="1" customWidth="1"/>
    <col min="14" max="18" width="6" style="1" customWidth="1"/>
    <col min="19" max="19" width="11" style="1" customWidth="1"/>
    <col min="20" max="20" width="6" style="1" bestFit="1" customWidth="1"/>
    <col min="21" max="24" width="6" style="1" customWidth="1"/>
    <col min="25" max="25" width="11" style="1" customWidth="1"/>
    <col min="26" max="30" width="6" style="1" customWidth="1"/>
    <col min="31" max="31" width="11" style="1" customWidth="1"/>
    <col min="32" max="36" width="6" style="1" customWidth="1"/>
    <col min="37" max="37" width="11" style="1" customWidth="1"/>
    <col min="38" max="42" width="6" style="1" customWidth="1"/>
    <col min="43" max="43" width="11" style="1" customWidth="1"/>
    <col min="44" max="48" width="6" style="1" customWidth="1"/>
    <col min="49" max="49" width="11" style="1" customWidth="1"/>
    <col min="50" max="54" width="6" style="1" customWidth="1"/>
    <col min="55" max="55" width="11" style="1" customWidth="1"/>
    <col min="56" max="60" width="6" style="1" customWidth="1"/>
    <col min="61" max="61" width="11" style="1" customWidth="1"/>
    <col min="62" max="66" width="6" style="1" customWidth="1"/>
    <col min="67" max="67" width="11" style="1" customWidth="1"/>
    <col min="68" max="69" width="10" style="1" customWidth="1"/>
    <col min="70" max="70" width="11" style="1" customWidth="1"/>
    <col min="71" max="72" width="10" style="1" customWidth="1"/>
    <col min="73" max="76" width="11" style="1" customWidth="1"/>
    <col min="77" max="78" width="10" style="1" customWidth="1"/>
    <col min="79" max="79" width="11" style="1" customWidth="1"/>
    <col min="80" max="81" width="10" style="1" customWidth="1"/>
    <col min="82" max="82" width="11" style="1" customWidth="1"/>
    <col min="83" max="84" width="10" style="1" customWidth="1"/>
    <col min="85" max="88" width="11" style="1" customWidth="1"/>
    <col min="89" max="90" width="10" style="1" customWidth="1"/>
    <col min="91" max="91" width="11" style="1" customWidth="1"/>
    <col min="92" max="93" width="10" style="1" customWidth="1"/>
    <col min="94" max="94" width="11" style="1" customWidth="1"/>
    <col min="95" max="96" width="10" style="1" customWidth="1"/>
    <col min="97" max="97" width="11" style="1" customWidth="1"/>
    <col min="98" max="100" width="6.1796875" style="1" bestFit="1" customWidth="1"/>
    <col min="101" max="107" width="6.1796875" style="1" customWidth="1"/>
    <col min="108" max="115" width="5" style="1" bestFit="1" customWidth="1"/>
    <col min="116" max="16384" width="9.1796875" style="1"/>
  </cols>
  <sheetData>
    <row r="1" spans="1:115" ht="18" x14ac:dyDescent="0.4">
      <c r="A1" s="13"/>
      <c r="C1" s="14" t="s">
        <v>86</v>
      </c>
      <c r="D1" s="14"/>
      <c r="E1" s="14"/>
      <c r="F1" s="14"/>
      <c r="G1" s="14"/>
      <c r="H1" s="14"/>
      <c r="I1" s="14"/>
      <c r="J1" s="14"/>
      <c r="K1" s="15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</row>
    <row r="2" spans="1:115" ht="14.5" x14ac:dyDescent="0.35">
      <c r="A2" s="13"/>
      <c r="C2" s="17" t="s">
        <v>87</v>
      </c>
      <c r="D2" s="17"/>
      <c r="E2" s="17"/>
      <c r="F2" s="17"/>
      <c r="G2" s="17"/>
      <c r="H2" s="17"/>
      <c r="I2" s="17"/>
      <c r="J2" s="17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</row>
    <row r="3" spans="1:115" ht="4.5" customHeight="1" x14ac:dyDescent="0.35">
      <c r="A3" s="13"/>
      <c r="B3" s="20"/>
      <c r="C3" s="26"/>
      <c r="D3" s="55"/>
      <c r="E3" s="21"/>
      <c r="F3" s="21"/>
      <c r="G3" s="21"/>
      <c r="H3" s="21"/>
      <c r="I3" s="21"/>
      <c r="J3" s="21"/>
      <c r="K3" s="15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</row>
    <row r="4" spans="1:115" ht="26.25" customHeight="1" x14ac:dyDescent="0.25">
      <c r="A4" s="45" t="s">
        <v>247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</row>
    <row r="5" spans="1:115" ht="15" customHeight="1" x14ac:dyDescent="0.25">
      <c r="A5" s="35" t="s">
        <v>266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</row>
    <row r="6" spans="1:115" ht="15" customHeight="1" x14ac:dyDescent="0.25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</row>
    <row r="7" spans="1:115" s="2" customFormat="1" ht="13.5" customHeight="1" x14ac:dyDescent="0.25">
      <c r="A7" s="37" t="s">
        <v>0</v>
      </c>
      <c r="B7" s="40" t="s">
        <v>1</v>
      </c>
      <c r="C7" s="40" t="s">
        <v>2</v>
      </c>
      <c r="D7" s="30"/>
      <c r="E7" s="40" t="s">
        <v>3</v>
      </c>
      <c r="F7" s="40" t="s">
        <v>4</v>
      </c>
      <c r="G7" s="40" t="s">
        <v>5</v>
      </c>
      <c r="H7" s="43" t="s">
        <v>14</v>
      </c>
      <c r="I7" s="44"/>
      <c r="J7" s="44"/>
      <c r="K7" s="44"/>
      <c r="L7" s="44"/>
      <c r="M7" s="37"/>
      <c r="N7" s="43" t="s">
        <v>15</v>
      </c>
      <c r="O7" s="44"/>
      <c r="P7" s="44"/>
      <c r="Q7" s="44"/>
      <c r="R7" s="44"/>
      <c r="S7" s="37"/>
      <c r="T7" s="43" t="s">
        <v>16</v>
      </c>
      <c r="U7" s="44"/>
      <c r="V7" s="44"/>
      <c r="W7" s="44"/>
      <c r="X7" s="44"/>
      <c r="Y7" s="37"/>
      <c r="Z7" s="43" t="s">
        <v>17</v>
      </c>
      <c r="AA7" s="44"/>
      <c r="AB7" s="44"/>
      <c r="AC7" s="44"/>
      <c r="AD7" s="44"/>
      <c r="AE7" s="37"/>
      <c r="AF7" s="43" t="s">
        <v>45</v>
      </c>
      <c r="AG7" s="44"/>
      <c r="AH7" s="44"/>
      <c r="AI7" s="44"/>
      <c r="AJ7" s="44"/>
      <c r="AK7" s="37"/>
      <c r="AL7" s="43" t="s">
        <v>50</v>
      </c>
      <c r="AM7" s="44"/>
      <c r="AN7" s="44"/>
      <c r="AO7" s="44"/>
      <c r="AP7" s="44"/>
      <c r="AQ7" s="37"/>
      <c r="AR7" s="43" t="s">
        <v>77</v>
      </c>
      <c r="AS7" s="44"/>
      <c r="AT7" s="44"/>
      <c r="AU7" s="44"/>
      <c r="AV7" s="44"/>
      <c r="AW7" s="37"/>
      <c r="AX7" s="43" t="s">
        <v>88</v>
      </c>
      <c r="AY7" s="44"/>
      <c r="AZ7" s="44"/>
      <c r="BA7" s="44"/>
      <c r="BB7" s="44"/>
      <c r="BC7" s="37"/>
      <c r="BD7" s="43" t="s">
        <v>248</v>
      </c>
      <c r="BE7" s="44"/>
      <c r="BF7" s="44"/>
      <c r="BG7" s="44"/>
      <c r="BH7" s="44"/>
      <c r="BI7" s="37"/>
      <c r="BJ7" s="43" t="s">
        <v>230</v>
      </c>
      <c r="BK7" s="44"/>
      <c r="BL7" s="44"/>
      <c r="BM7" s="44"/>
      <c r="BN7" s="44"/>
      <c r="BO7" s="37"/>
      <c r="BP7" s="43" t="s">
        <v>79</v>
      </c>
      <c r="BQ7" s="44"/>
      <c r="BR7" s="44"/>
      <c r="BS7" s="43" t="s">
        <v>80</v>
      </c>
      <c r="BT7" s="44"/>
      <c r="BU7" s="44"/>
      <c r="BV7" s="43" t="s">
        <v>81</v>
      </c>
      <c r="BW7" s="44"/>
      <c r="BX7" s="44"/>
      <c r="BY7" s="43" t="s">
        <v>82</v>
      </c>
      <c r="BZ7" s="44"/>
      <c r="CA7" s="44"/>
      <c r="CB7" s="43" t="s">
        <v>83</v>
      </c>
      <c r="CC7" s="44"/>
      <c r="CD7" s="44"/>
      <c r="CE7" s="43" t="s">
        <v>84</v>
      </c>
      <c r="CF7" s="44"/>
      <c r="CG7" s="44"/>
      <c r="CH7" s="43" t="s">
        <v>85</v>
      </c>
      <c r="CI7" s="44"/>
      <c r="CJ7" s="44"/>
      <c r="CK7" s="43" t="s">
        <v>89</v>
      </c>
      <c r="CL7" s="44"/>
      <c r="CM7" s="44"/>
      <c r="CN7" s="43" t="s">
        <v>249</v>
      </c>
      <c r="CO7" s="44"/>
      <c r="CP7" s="44"/>
      <c r="CQ7" s="43" t="s">
        <v>231</v>
      </c>
      <c r="CR7" s="44"/>
      <c r="CS7" s="44"/>
      <c r="CT7" s="43" t="s">
        <v>6</v>
      </c>
      <c r="CU7" s="43" t="s">
        <v>7</v>
      </c>
      <c r="CV7" s="43" t="s">
        <v>8</v>
      </c>
      <c r="CW7" s="43" t="s">
        <v>18</v>
      </c>
      <c r="CX7" s="43" t="s">
        <v>46</v>
      </c>
      <c r="CY7" s="43" t="s">
        <v>51</v>
      </c>
      <c r="CZ7" s="43" t="s">
        <v>78</v>
      </c>
      <c r="DA7" s="43" t="s">
        <v>90</v>
      </c>
      <c r="DB7" s="43" t="s">
        <v>250</v>
      </c>
      <c r="DC7" s="43" t="s">
        <v>232</v>
      </c>
      <c r="DD7" s="50" t="s">
        <v>251</v>
      </c>
      <c r="DE7" s="50"/>
      <c r="DF7" s="50"/>
      <c r="DG7" s="50"/>
      <c r="DH7" s="50"/>
      <c r="DI7" s="50"/>
      <c r="DJ7" s="50"/>
      <c r="DK7" s="51"/>
    </row>
    <row r="8" spans="1:115" s="2" customFormat="1" ht="10.5" customHeight="1" x14ac:dyDescent="0.25">
      <c r="A8" s="38"/>
      <c r="B8" s="41"/>
      <c r="C8" s="41"/>
      <c r="D8" s="31"/>
      <c r="E8" s="41"/>
      <c r="F8" s="41"/>
      <c r="G8" s="41"/>
      <c r="H8" s="46"/>
      <c r="I8" s="47"/>
      <c r="J8" s="47"/>
      <c r="K8" s="47"/>
      <c r="L8" s="47"/>
      <c r="M8" s="39"/>
      <c r="N8" s="46"/>
      <c r="O8" s="47"/>
      <c r="P8" s="47"/>
      <c r="Q8" s="47"/>
      <c r="R8" s="47"/>
      <c r="S8" s="39"/>
      <c r="T8" s="46"/>
      <c r="U8" s="47"/>
      <c r="V8" s="47"/>
      <c r="W8" s="47"/>
      <c r="X8" s="47"/>
      <c r="Y8" s="39"/>
      <c r="Z8" s="46"/>
      <c r="AA8" s="47"/>
      <c r="AB8" s="47"/>
      <c r="AC8" s="47"/>
      <c r="AD8" s="47"/>
      <c r="AE8" s="39"/>
      <c r="AF8" s="46"/>
      <c r="AG8" s="47"/>
      <c r="AH8" s="47"/>
      <c r="AI8" s="47"/>
      <c r="AJ8" s="47"/>
      <c r="AK8" s="39"/>
      <c r="AL8" s="46"/>
      <c r="AM8" s="47"/>
      <c r="AN8" s="47"/>
      <c r="AO8" s="47"/>
      <c r="AP8" s="47"/>
      <c r="AQ8" s="39"/>
      <c r="AR8" s="46"/>
      <c r="AS8" s="47"/>
      <c r="AT8" s="47"/>
      <c r="AU8" s="47"/>
      <c r="AV8" s="47"/>
      <c r="AW8" s="39"/>
      <c r="AX8" s="46"/>
      <c r="AY8" s="47"/>
      <c r="AZ8" s="47"/>
      <c r="BA8" s="47"/>
      <c r="BB8" s="47"/>
      <c r="BC8" s="39"/>
      <c r="BD8" s="46"/>
      <c r="BE8" s="47"/>
      <c r="BF8" s="47"/>
      <c r="BG8" s="47"/>
      <c r="BH8" s="47"/>
      <c r="BI8" s="39"/>
      <c r="BJ8" s="46"/>
      <c r="BK8" s="47"/>
      <c r="BL8" s="47"/>
      <c r="BM8" s="47"/>
      <c r="BN8" s="47"/>
      <c r="BO8" s="39"/>
      <c r="BP8" s="53" t="s">
        <v>9</v>
      </c>
      <c r="BQ8" s="53" t="s">
        <v>10</v>
      </c>
      <c r="BR8" s="48" t="s">
        <v>11</v>
      </c>
      <c r="BS8" s="53" t="s">
        <v>9</v>
      </c>
      <c r="BT8" s="53" t="s">
        <v>10</v>
      </c>
      <c r="BU8" s="48" t="s">
        <v>11</v>
      </c>
      <c r="BV8" s="53" t="s">
        <v>9</v>
      </c>
      <c r="BW8" s="53" t="s">
        <v>10</v>
      </c>
      <c r="BX8" s="48" t="s">
        <v>11</v>
      </c>
      <c r="BY8" s="53" t="s">
        <v>9</v>
      </c>
      <c r="BZ8" s="53" t="s">
        <v>10</v>
      </c>
      <c r="CA8" s="48" t="s">
        <v>11</v>
      </c>
      <c r="CB8" s="53" t="s">
        <v>9</v>
      </c>
      <c r="CC8" s="53" t="s">
        <v>10</v>
      </c>
      <c r="CD8" s="48" t="s">
        <v>11</v>
      </c>
      <c r="CE8" s="53" t="s">
        <v>9</v>
      </c>
      <c r="CF8" s="53" t="s">
        <v>10</v>
      </c>
      <c r="CG8" s="48" t="s">
        <v>11</v>
      </c>
      <c r="CH8" s="53" t="s">
        <v>9</v>
      </c>
      <c r="CI8" s="53" t="s">
        <v>10</v>
      </c>
      <c r="CJ8" s="48" t="s">
        <v>11</v>
      </c>
      <c r="CK8" s="53" t="s">
        <v>9</v>
      </c>
      <c r="CL8" s="53" t="s">
        <v>10</v>
      </c>
      <c r="CM8" s="48" t="s">
        <v>11</v>
      </c>
      <c r="CN8" s="53" t="s">
        <v>9</v>
      </c>
      <c r="CO8" s="53" t="s">
        <v>10</v>
      </c>
      <c r="CP8" s="48" t="s">
        <v>11</v>
      </c>
      <c r="CQ8" s="53" t="s">
        <v>9</v>
      </c>
      <c r="CR8" s="53" t="s">
        <v>10</v>
      </c>
      <c r="CS8" s="48" t="s">
        <v>11</v>
      </c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0"/>
      <c r="DE8" s="50"/>
      <c r="DF8" s="50"/>
      <c r="DG8" s="50"/>
      <c r="DH8" s="50"/>
      <c r="DI8" s="50"/>
      <c r="DJ8" s="50"/>
      <c r="DK8" s="51"/>
    </row>
    <row r="9" spans="1:115" s="2" customFormat="1" ht="36.75" customHeight="1" x14ac:dyDescent="0.25">
      <c r="A9" s="39"/>
      <c r="B9" s="42"/>
      <c r="C9" s="42"/>
      <c r="D9" s="32"/>
      <c r="E9" s="42"/>
      <c r="F9" s="42"/>
      <c r="G9" s="42"/>
      <c r="H9" s="3" t="s">
        <v>40</v>
      </c>
      <c r="I9" s="3" t="s">
        <v>41</v>
      </c>
      <c r="J9" s="3" t="s">
        <v>42</v>
      </c>
      <c r="K9" s="3" t="s">
        <v>43</v>
      </c>
      <c r="L9" s="3" t="s">
        <v>44</v>
      </c>
      <c r="M9" s="3" t="s">
        <v>12</v>
      </c>
      <c r="N9" s="3" t="s">
        <v>40</v>
      </c>
      <c r="O9" s="3" t="s">
        <v>41</v>
      </c>
      <c r="P9" s="3" t="s">
        <v>42</v>
      </c>
      <c r="Q9" s="3" t="s">
        <v>43</v>
      </c>
      <c r="R9" s="3" t="s">
        <v>44</v>
      </c>
      <c r="S9" s="3" t="s">
        <v>12</v>
      </c>
      <c r="T9" s="3" t="s">
        <v>40</v>
      </c>
      <c r="U9" s="3" t="s">
        <v>41</v>
      </c>
      <c r="V9" s="3" t="s">
        <v>42</v>
      </c>
      <c r="W9" s="3" t="s">
        <v>43</v>
      </c>
      <c r="X9" s="3" t="s">
        <v>44</v>
      </c>
      <c r="Y9" s="3" t="s">
        <v>12</v>
      </c>
      <c r="Z9" s="3" t="s">
        <v>40</v>
      </c>
      <c r="AA9" s="3" t="s">
        <v>41</v>
      </c>
      <c r="AB9" s="3" t="s">
        <v>42</v>
      </c>
      <c r="AC9" s="3" t="s">
        <v>43</v>
      </c>
      <c r="AD9" s="3" t="s">
        <v>44</v>
      </c>
      <c r="AE9" s="3" t="s">
        <v>12</v>
      </c>
      <c r="AF9" s="3" t="s">
        <v>40</v>
      </c>
      <c r="AG9" s="3" t="s">
        <v>41</v>
      </c>
      <c r="AH9" s="3" t="s">
        <v>42</v>
      </c>
      <c r="AI9" s="3" t="s">
        <v>43</v>
      </c>
      <c r="AJ9" s="3" t="s">
        <v>44</v>
      </c>
      <c r="AK9" s="3" t="s">
        <v>12</v>
      </c>
      <c r="AL9" s="3" t="s">
        <v>40</v>
      </c>
      <c r="AM9" s="3" t="s">
        <v>41</v>
      </c>
      <c r="AN9" s="3" t="s">
        <v>42</v>
      </c>
      <c r="AO9" s="3" t="s">
        <v>43</v>
      </c>
      <c r="AP9" s="3" t="s">
        <v>44</v>
      </c>
      <c r="AQ9" s="3" t="s">
        <v>12</v>
      </c>
      <c r="AR9" s="3" t="s">
        <v>40</v>
      </c>
      <c r="AS9" s="3" t="s">
        <v>41</v>
      </c>
      <c r="AT9" s="3" t="s">
        <v>42</v>
      </c>
      <c r="AU9" s="3" t="s">
        <v>43</v>
      </c>
      <c r="AV9" s="3" t="s">
        <v>44</v>
      </c>
      <c r="AW9" s="3" t="s">
        <v>12</v>
      </c>
      <c r="AX9" s="3" t="s">
        <v>40</v>
      </c>
      <c r="AY9" s="3" t="s">
        <v>41</v>
      </c>
      <c r="AZ9" s="3" t="s">
        <v>42</v>
      </c>
      <c r="BA9" s="3" t="s">
        <v>43</v>
      </c>
      <c r="BB9" s="3" t="s">
        <v>44</v>
      </c>
      <c r="BC9" s="3" t="s">
        <v>12</v>
      </c>
      <c r="BD9" s="3" t="s">
        <v>40</v>
      </c>
      <c r="BE9" s="3" t="s">
        <v>41</v>
      </c>
      <c r="BF9" s="3" t="s">
        <v>42</v>
      </c>
      <c r="BG9" s="3" t="s">
        <v>43</v>
      </c>
      <c r="BH9" s="3" t="s">
        <v>44</v>
      </c>
      <c r="BI9" s="3" t="s">
        <v>12</v>
      </c>
      <c r="BJ9" s="3" t="s">
        <v>40</v>
      </c>
      <c r="BK9" s="3" t="s">
        <v>41</v>
      </c>
      <c r="BL9" s="3" t="s">
        <v>42</v>
      </c>
      <c r="BM9" s="3" t="s">
        <v>43</v>
      </c>
      <c r="BN9" s="3" t="s">
        <v>44</v>
      </c>
      <c r="BO9" s="3" t="s">
        <v>12</v>
      </c>
      <c r="BP9" s="54"/>
      <c r="BQ9" s="54"/>
      <c r="BR9" s="49"/>
      <c r="BS9" s="54"/>
      <c r="BT9" s="54"/>
      <c r="BU9" s="49"/>
      <c r="BV9" s="54"/>
      <c r="BW9" s="54"/>
      <c r="BX9" s="49"/>
      <c r="BY9" s="54"/>
      <c r="BZ9" s="54"/>
      <c r="CA9" s="49"/>
      <c r="CB9" s="54"/>
      <c r="CC9" s="54"/>
      <c r="CD9" s="49"/>
      <c r="CE9" s="54"/>
      <c r="CF9" s="54"/>
      <c r="CG9" s="49"/>
      <c r="CH9" s="54"/>
      <c r="CI9" s="54"/>
      <c r="CJ9" s="49"/>
      <c r="CK9" s="54"/>
      <c r="CL9" s="54"/>
      <c r="CM9" s="49"/>
      <c r="CN9" s="54"/>
      <c r="CO9" s="54"/>
      <c r="CP9" s="49"/>
      <c r="CQ9" s="54"/>
      <c r="CR9" s="54"/>
      <c r="CS9" s="49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">
        <v>2007</v>
      </c>
      <c r="DE9" s="4">
        <v>2009</v>
      </c>
      <c r="DF9" s="4">
        <v>2011</v>
      </c>
      <c r="DG9" s="4">
        <v>2013</v>
      </c>
      <c r="DH9" s="4">
        <v>2015</v>
      </c>
      <c r="DI9" s="4">
        <v>2017</v>
      </c>
      <c r="DJ9" s="4">
        <v>2019</v>
      </c>
      <c r="DK9" s="5">
        <v>2021</v>
      </c>
    </row>
    <row r="10" spans="1:115" s="25" customFormat="1" ht="13.5" customHeight="1" x14ac:dyDescent="0.25">
      <c r="A10" s="23" t="s">
        <v>91</v>
      </c>
      <c r="B10" s="24" t="s">
        <v>92</v>
      </c>
      <c r="C10" s="24" t="s">
        <v>93</v>
      </c>
      <c r="D10" s="24"/>
      <c r="E10" s="24" t="s">
        <v>94</v>
      </c>
      <c r="F10" s="24" t="s">
        <v>95</v>
      </c>
      <c r="G10" s="24" t="s">
        <v>96</v>
      </c>
      <c r="H10" s="24" t="s">
        <v>97</v>
      </c>
      <c r="I10" s="24" t="s">
        <v>98</v>
      </c>
      <c r="J10" s="24" t="s">
        <v>99</v>
      </c>
      <c r="K10" s="24" t="s">
        <v>100</v>
      </c>
      <c r="L10" s="24" t="s">
        <v>101</v>
      </c>
      <c r="M10" s="24" t="s">
        <v>102</v>
      </c>
      <c r="N10" s="24" t="s">
        <v>103</v>
      </c>
      <c r="O10" s="24" t="s">
        <v>104</v>
      </c>
      <c r="P10" s="24" t="s">
        <v>105</v>
      </c>
      <c r="Q10" s="24" t="s">
        <v>106</v>
      </c>
      <c r="R10" s="24" t="s">
        <v>107</v>
      </c>
      <c r="S10" s="24" t="s">
        <v>108</v>
      </c>
      <c r="T10" s="24" t="s">
        <v>109</v>
      </c>
      <c r="U10" s="24" t="s">
        <v>110</v>
      </c>
      <c r="V10" s="24" t="s">
        <v>111</v>
      </c>
      <c r="W10" s="24" t="s">
        <v>112</v>
      </c>
      <c r="X10" s="24" t="s">
        <v>113</v>
      </c>
      <c r="Y10" s="24" t="s">
        <v>114</v>
      </c>
      <c r="Z10" s="24" t="s">
        <v>115</v>
      </c>
      <c r="AA10" s="24" t="s">
        <v>116</v>
      </c>
      <c r="AB10" s="24" t="s">
        <v>117</v>
      </c>
      <c r="AC10" s="24" t="s">
        <v>118</v>
      </c>
      <c r="AD10" s="24" t="s">
        <v>119</v>
      </c>
      <c r="AE10" s="24" t="s">
        <v>120</v>
      </c>
      <c r="AF10" s="24" t="s">
        <v>121</v>
      </c>
      <c r="AG10" s="24" t="s">
        <v>122</v>
      </c>
      <c r="AH10" s="24" t="s">
        <v>123</v>
      </c>
      <c r="AI10" s="24" t="s">
        <v>124</v>
      </c>
      <c r="AJ10" s="24" t="s">
        <v>125</v>
      </c>
      <c r="AK10" s="24" t="s">
        <v>126</v>
      </c>
      <c r="AL10" s="24" t="s">
        <v>127</v>
      </c>
      <c r="AM10" s="24" t="s">
        <v>128</v>
      </c>
      <c r="AN10" s="24" t="s">
        <v>129</v>
      </c>
      <c r="AO10" s="24" t="s">
        <v>130</v>
      </c>
      <c r="AP10" s="24" t="s">
        <v>131</v>
      </c>
      <c r="AQ10" s="24" t="s">
        <v>132</v>
      </c>
      <c r="AR10" s="24" t="s">
        <v>133</v>
      </c>
      <c r="AS10" s="24" t="s">
        <v>134</v>
      </c>
      <c r="AT10" s="24" t="s">
        <v>135</v>
      </c>
      <c r="AU10" s="24" t="s">
        <v>136</v>
      </c>
      <c r="AV10" s="24" t="s">
        <v>137</v>
      </c>
      <c r="AW10" s="24" t="s">
        <v>138</v>
      </c>
      <c r="AX10" s="24" t="s">
        <v>139</v>
      </c>
      <c r="AY10" s="24" t="s">
        <v>140</v>
      </c>
      <c r="AZ10" s="24" t="s">
        <v>141</v>
      </c>
      <c r="BA10" s="24" t="s">
        <v>142</v>
      </c>
      <c r="BB10" s="24" t="s">
        <v>143</v>
      </c>
      <c r="BC10" s="24" t="s">
        <v>144</v>
      </c>
      <c r="BD10" s="24" t="s">
        <v>217</v>
      </c>
      <c r="BE10" s="24" t="s">
        <v>218</v>
      </c>
      <c r="BF10" s="24" t="s">
        <v>219</v>
      </c>
      <c r="BG10" s="24" t="s">
        <v>220</v>
      </c>
      <c r="BH10" s="24" t="s">
        <v>221</v>
      </c>
      <c r="BI10" s="24" t="s">
        <v>222</v>
      </c>
      <c r="BJ10" s="24" t="s">
        <v>233</v>
      </c>
      <c r="BK10" s="24" t="s">
        <v>234</v>
      </c>
      <c r="BL10" s="24" t="s">
        <v>235</v>
      </c>
      <c r="BM10" s="24" t="s">
        <v>236</v>
      </c>
      <c r="BN10" s="24" t="s">
        <v>237</v>
      </c>
      <c r="BO10" s="24" t="s">
        <v>238</v>
      </c>
      <c r="BP10" s="24" t="s">
        <v>145</v>
      </c>
      <c r="BQ10" s="24" t="s">
        <v>146</v>
      </c>
      <c r="BR10" s="24" t="s">
        <v>147</v>
      </c>
      <c r="BS10" s="24" t="s">
        <v>148</v>
      </c>
      <c r="BT10" s="24" t="s">
        <v>149</v>
      </c>
      <c r="BU10" s="24" t="s">
        <v>150</v>
      </c>
      <c r="BV10" s="24" t="s">
        <v>151</v>
      </c>
      <c r="BW10" s="24" t="s">
        <v>152</v>
      </c>
      <c r="BX10" s="24" t="s">
        <v>153</v>
      </c>
      <c r="BY10" s="24" t="s">
        <v>154</v>
      </c>
      <c r="BZ10" s="24" t="s">
        <v>155</v>
      </c>
      <c r="CA10" s="24" t="s">
        <v>156</v>
      </c>
      <c r="CB10" s="24" t="s">
        <v>157</v>
      </c>
      <c r="CC10" s="24" t="s">
        <v>158</v>
      </c>
      <c r="CD10" s="24" t="s">
        <v>159</v>
      </c>
      <c r="CE10" s="24" t="s">
        <v>160</v>
      </c>
      <c r="CF10" s="24" t="s">
        <v>161</v>
      </c>
      <c r="CG10" s="24" t="s">
        <v>162</v>
      </c>
      <c r="CH10" s="24" t="s">
        <v>163</v>
      </c>
      <c r="CI10" s="24" t="s">
        <v>164</v>
      </c>
      <c r="CJ10" s="24" t="s">
        <v>165</v>
      </c>
      <c r="CK10" s="24" t="s">
        <v>166</v>
      </c>
      <c r="CL10" s="24" t="s">
        <v>167</v>
      </c>
      <c r="CM10" s="24" t="s">
        <v>168</v>
      </c>
      <c r="CN10" s="24" t="s">
        <v>223</v>
      </c>
      <c r="CO10" s="24" t="s">
        <v>224</v>
      </c>
      <c r="CP10" s="24" t="s">
        <v>225</v>
      </c>
      <c r="CQ10" s="24" t="s">
        <v>239</v>
      </c>
      <c r="CR10" s="24" t="s">
        <v>240</v>
      </c>
      <c r="CS10" s="24" t="s">
        <v>241</v>
      </c>
      <c r="CT10" s="24" t="s">
        <v>169</v>
      </c>
      <c r="CU10" s="24" t="s">
        <v>170</v>
      </c>
      <c r="CV10" s="24" t="s">
        <v>171</v>
      </c>
      <c r="CW10" s="24" t="s">
        <v>172</v>
      </c>
      <c r="CX10" s="24" t="s">
        <v>173</v>
      </c>
      <c r="CY10" s="24" t="s">
        <v>174</v>
      </c>
      <c r="CZ10" s="24" t="s">
        <v>175</v>
      </c>
      <c r="DA10" s="24" t="s">
        <v>176</v>
      </c>
      <c r="DB10" s="24" t="s">
        <v>226</v>
      </c>
      <c r="DC10" s="24" t="s">
        <v>242</v>
      </c>
      <c r="DD10" s="24" t="s">
        <v>177</v>
      </c>
      <c r="DE10" s="24" t="s">
        <v>178</v>
      </c>
      <c r="DF10" s="24" t="s">
        <v>179</v>
      </c>
      <c r="DG10" s="24" t="s">
        <v>180</v>
      </c>
      <c r="DH10" s="24" t="s">
        <v>181</v>
      </c>
      <c r="DI10" s="24" t="s">
        <v>182</v>
      </c>
      <c r="DJ10" s="24" t="s">
        <v>183</v>
      </c>
      <c r="DK10" s="24" t="s">
        <v>184</v>
      </c>
    </row>
    <row r="11" spans="1:115" ht="14.15" customHeight="1" x14ac:dyDescent="0.25">
      <c r="A11" s="6" t="s">
        <v>22</v>
      </c>
      <c r="B11" s="6">
        <v>3100906</v>
      </c>
      <c r="C11" s="6" t="s">
        <v>52</v>
      </c>
      <c r="D11" s="6" t="str">
        <f>VLOOKUP(B11,Planilha1!$A:$B,2,0)</f>
        <v>Vale do Mucuri</v>
      </c>
      <c r="E11" s="7">
        <v>31312169</v>
      </c>
      <c r="F11" s="6" t="s">
        <v>48</v>
      </c>
      <c r="G11" s="6" t="s">
        <v>19</v>
      </c>
      <c r="H11" s="8" t="s">
        <v>38</v>
      </c>
      <c r="I11" s="8" t="s">
        <v>38</v>
      </c>
      <c r="J11" s="8" t="s">
        <v>38</v>
      </c>
      <c r="K11" s="8" t="s">
        <v>38</v>
      </c>
      <c r="L11" s="8" t="s">
        <v>38</v>
      </c>
      <c r="M11" s="9" t="s">
        <v>38</v>
      </c>
      <c r="N11" s="8" t="s">
        <v>38</v>
      </c>
      <c r="O11" s="8" t="s">
        <v>38</v>
      </c>
      <c r="P11" s="8" t="s">
        <v>38</v>
      </c>
      <c r="Q11" s="8" t="s">
        <v>38</v>
      </c>
      <c r="R11" s="8" t="s">
        <v>38</v>
      </c>
      <c r="S11" s="9" t="s">
        <v>38</v>
      </c>
      <c r="T11" s="8">
        <v>81.400000000000006</v>
      </c>
      <c r="U11" s="8">
        <v>59.3</v>
      </c>
      <c r="V11" s="8">
        <v>95.6</v>
      </c>
      <c r="W11" s="8">
        <v>88.5</v>
      </c>
      <c r="X11" s="8">
        <v>87</v>
      </c>
      <c r="Y11" s="9">
        <v>0.79812700000000003</v>
      </c>
      <c r="Z11" s="8">
        <v>89.3</v>
      </c>
      <c r="AA11" s="8">
        <v>71.7</v>
      </c>
      <c r="AB11" s="8">
        <v>92.3</v>
      </c>
      <c r="AC11" s="8">
        <v>97.1</v>
      </c>
      <c r="AD11" s="8">
        <v>100</v>
      </c>
      <c r="AE11" s="9">
        <v>0.88731300000000002</v>
      </c>
      <c r="AF11" s="8">
        <v>94.9</v>
      </c>
      <c r="AG11" s="8">
        <v>97.8</v>
      </c>
      <c r="AH11" s="8">
        <v>92.3</v>
      </c>
      <c r="AI11" s="8">
        <v>91.9</v>
      </c>
      <c r="AJ11" s="8">
        <v>100</v>
      </c>
      <c r="AK11" s="9">
        <v>0.95372999999999997</v>
      </c>
      <c r="AL11" s="8">
        <v>87.1</v>
      </c>
      <c r="AM11" s="8">
        <v>77.8</v>
      </c>
      <c r="AN11" s="8">
        <v>96.1</v>
      </c>
      <c r="AO11" s="8">
        <v>76.7</v>
      </c>
      <c r="AP11" s="8">
        <v>95</v>
      </c>
      <c r="AQ11" s="9">
        <v>0.85427299999999995</v>
      </c>
      <c r="AR11" s="8">
        <v>88.4</v>
      </c>
      <c r="AS11" s="8">
        <v>72.7</v>
      </c>
      <c r="AT11" s="8">
        <v>93.3</v>
      </c>
      <c r="AU11" s="8">
        <v>100</v>
      </c>
      <c r="AV11" s="8">
        <v>88.2</v>
      </c>
      <c r="AW11" s="9">
        <v>0.87314999999999998</v>
      </c>
      <c r="AX11" s="8">
        <v>93</v>
      </c>
      <c r="AY11" s="8">
        <v>93.9</v>
      </c>
      <c r="AZ11" s="8">
        <v>93.9</v>
      </c>
      <c r="BA11" s="8">
        <v>82.6</v>
      </c>
      <c r="BB11" s="8">
        <v>100</v>
      </c>
      <c r="BC11" s="9">
        <v>0.92153600000000002</v>
      </c>
      <c r="BD11" s="8" t="s">
        <v>38</v>
      </c>
      <c r="BE11" s="8" t="s">
        <v>38</v>
      </c>
      <c r="BF11" s="8" t="s">
        <v>38</v>
      </c>
      <c r="BG11" s="8" t="s">
        <v>38</v>
      </c>
      <c r="BH11" s="8" t="s">
        <v>38</v>
      </c>
      <c r="BI11" s="9" t="s">
        <v>38</v>
      </c>
      <c r="BJ11" s="8">
        <v>95.1</v>
      </c>
      <c r="BK11" s="8">
        <v>89.5</v>
      </c>
      <c r="BL11" s="8">
        <v>100</v>
      </c>
      <c r="BM11" s="8">
        <v>90.5</v>
      </c>
      <c r="BN11" s="8">
        <v>100</v>
      </c>
      <c r="BO11" s="9">
        <v>0.947353</v>
      </c>
      <c r="BP11" s="9" t="s">
        <v>38</v>
      </c>
      <c r="BQ11" s="9" t="s">
        <v>38</v>
      </c>
      <c r="BR11" s="9" t="s">
        <v>38</v>
      </c>
      <c r="BS11" s="9" t="s">
        <v>38</v>
      </c>
      <c r="BT11" s="9" t="s">
        <v>38</v>
      </c>
      <c r="BU11" s="9" t="s">
        <v>38</v>
      </c>
      <c r="BV11" s="9">
        <v>231.36</v>
      </c>
      <c r="BW11" s="9">
        <v>215.58</v>
      </c>
      <c r="BX11" s="9">
        <v>4.1156670000000002</v>
      </c>
      <c r="BY11" s="9">
        <v>210.25</v>
      </c>
      <c r="BZ11" s="9">
        <v>209.08</v>
      </c>
      <c r="CA11" s="9">
        <v>3.6555</v>
      </c>
      <c r="CB11" s="9">
        <v>237.15</v>
      </c>
      <c r="CC11" s="9">
        <v>226.31</v>
      </c>
      <c r="CD11" s="9">
        <v>4.391</v>
      </c>
      <c r="CE11" s="9" t="s">
        <v>196</v>
      </c>
      <c r="CF11" s="9" t="s">
        <v>199</v>
      </c>
      <c r="CG11" s="9">
        <v>4.5196670000000001</v>
      </c>
      <c r="CH11" s="9">
        <v>231.5</v>
      </c>
      <c r="CI11" s="9">
        <v>248.51</v>
      </c>
      <c r="CJ11" s="9">
        <v>4.6668329999999996</v>
      </c>
      <c r="CK11" s="9">
        <v>241.49</v>
      </c>
      <c r="CL11" s="9">
        <v>243.02</v>
      </c>
      <c r="CM11" s="9">
        <v>4.7418329999999997</v>
      </c>
      <c r="CN11" s="9" t="s">
        <v>38</v>
      </c>
      <c r="CO11" s="9" t="s">
        <v>38</v>
      </c>
      <c r="CP11" s="9" t="s">
        <v>38</v>
      </c>
      <c r="CQ11" s="9" t="s">
        <v>39</v>
      </c>
      <c r="CR11" s="9" t="s">
        <v>39</v>
      </c>
      <c r="CS11" s="9" t="s">
        <v>38</v>
      </c>
      <c r="CT11" s="8" t="s">
        <v>38</v>
      </c>
      <c r="CU11" s="8" t="s">
        <v>38</v>
      </c>
      <c r="CV11" s="8">
        <v>3.3</v>
      </c>
      <c r="CW11" s="8">
        <v>3.2</v>
      </c>
      <c r="CX11" s="8">
        <v>4.2</v>
      </c>
      <c r="CY11" s="8">
        <v>3.9</v>
      </c>
      <c r="CZ11" s="8">
        <v>4.0999999999999996</v>
      </c>
      <c r="DA11" s="8">
        <v>4.4000000000000004</v>
      </c>
      <c r="DB11" s="8" t="s">
        <v>38</v>
      </c>
      <c r="DC11" s="8" t="s">
        <v>38</v>
      </c>
      <c r="DD11" s="8" t="s">
        <v>38</v>
      </c>
      <c r="DE11" s="8" t="s">
        <v>38</v>
      </c>
      <c r="DF11" s="8">
        <v>3.4</v>
      </c>
      <c r="DG11" s="8">
        <v>3.7</v>
      </c>
      <c r="DH11" s="8">
        <v>4</v>
      </c>
      <c r="DI11" s="8">
        <v>4.3</v>
      </c>
      <c r="DJ11" s="8">
        <v>4.5999999999999996</v>
      </c>
      <c r="DK11" s="22">
        <v>4.8</v>
      </c>
    </row>
    <row r="12" spans="1:115" ht="14.15" customHeight="1" x14ac:dyDescent="0.25">
      <c r="A12" s="6" t="s">
        <v>22</v>
      </c>
      <c r="B12" s="6">
        <v>3104700</v>
      </c>
      <c r="C12" s="6" t="s">
        <v>53</v>
      </c>
      <c r="D12" s="6" t="str">
        <f>VLOOKUP(B12,Planilha1!$A:$B,2,0)</f>
        <v>Vale do Mucuri</v>
      </c>
      <c r="E12" s="7">
        <v>31213080</v>
      </c>
      <c r="F12" s="6" t="s">
        <v>20</v>
      </c>
      <c r="G12" s="6" t="s">
        <v>19</v>
      </c>
      <c r="H12" s="8" t="s">
        <v>38</v>
      </c>
      <c r="I12" s="8" t="s">
        <v>38</v>
      </c>
      <c r="J12" s="8" t="s">
        <v>38</v>
      </c>
      <c r="K12" s="8" t="s">
        <v>38</v>
      </c>
      <c r="L12" s="8" t="s">
        <v>38</v>
      </c>
      <c r="M12" s="9" t="s">
        <v>38</v>
      </c>
      <c r="N12" s="8" t="s">
        <v>38</v>
      </c>
      <c r="O12" s="8" t="s">
        <v>38</v>
      </c>
      <c r="P12" s="8" t="s">
        <v>38</v>
      </c>
      <c r="Q12" s="8" t="s">
        <v>38</v>
      </c>
      <c r="R12" s="8" t="s">
        <v>38</v>
      </c>
      <c r="S12" s="9" t="s">
        <v>38</v>
      </c>
      <c r="T12" s="8" t="s">
        <v>38</v>
      </c>
      <c r="U12" s="8" t="s">
        <v>38</v>
      </c>
      <c r="V12" s="8" t="s">
        <v>38</v>
      </c>
      <c r="W12" s="8" t="s">
        <v>38</v>
      </c>
      <c r="X12" s="8" t="s">
        <v>38</v>
      </c>
      <c r="Y12" s="9" t="s">
        <v>38</v>
      </c>
      <c r="Z12" s="8" t="s">
        <v>38</v>
      </c>
      <c r="AA12" s="8" t="s">
        <v>38</v>
      </c>
      <c r="AB12" s="8" t="s">
        <v>38</v>
      </c>
      <c r="AC12" s="8" t="s">
        <v>38</v>
      </c>
      <c r="AD12" s="8" t="s">
        <v>38</v>
      </c>
      <c r="AE12" s="9" t="s">
        <v>38</v>
      </c>
      <c r="AF12" s="8" t="s">
        <v>38</v>
      </c>
      <c r="AG12" s="8" t="s">
        <v>38</v>
      </c>
      <c r="AH12" s="8" t="s">
        <v>38</v>
      </c>
      <c r="AI12" s="8" t="s">
        <v>38</v>
      </c>
      <c r="AJ12" s="8" t="s">
        <v>38</v>
      </c>
      <c r="AK12" s="9" t="s">
        <v>38</v>
      </c>
      <c r="AL12" s="8" t="s">
        <v>38</v>
      </c>
      <c r="AM12" s="8" t="s">
        <v>38</v>
      </c>
      <c r="AN12" s="8" t="s">
        <v>38</v>
      </c>
      <c r="AO12" s="8" t="s">
        <v>38</v>
      </c>
      <c r="AP12" s="8" t="s">
        <v>38</v>
      </c>
      <c r="AQ12" s="9" t="s">
        <v>38</v>
      </c>
      <c r="AR12" s="8">
        <v>87.8</v>
      </c>
      <c r="AS12" s="8">
        <v>76.900000000000006</v>
      </c>
      <c r="AT12" s="8">
        <v>85.7</v>
      </c>
      <c r="AU12" s="8">
        <v>89.5</v>
      </c>
      <c r="AV12" s="8">
        <v>100</v>
      </c>
      <c r="AW12" s="9">
        <v>0.87249200000000005</v>
      </c>
      <c r="AX12" s="8" t="s">
        <v>38</v>
      </c>
      <c r="AY12" s="8" t="s">
        <v>38</v>
      </c>
      <c r="AZ12" s="8" t="s">
        <v>38</v>
      </c>
      <c r="BA12" s="8" t="s">
        <v>38</v>
      </c>
      <c r="BB12" s="8" t="s">
        <v>38</v>
      </c>
      <c r="BC12" s="9" t="s">
        <v>38</v>
      </c>
      <c r="BD12" s="8">
        <v>100</v>
      </c>
      <c r="BE12" s="8">
        <v>100</v>
      </c>
      <c r="BF12" s="8">
        <v>100</v>
      </c>
      <c r="BG12" s="8">
        <v>100</v>
      </c>
      <c r="BH12" s="8">
        <v>100</v>
      </c>
      <c r="BI12" s="9">
        <v>1</v>
      </c>
      <c r="BJ12" s="8">
        <v>97.8</v>
      </c>
      <c r="BK12" s="8">
        <v>100</v>
      </c>
      <c r="BL12" s="8">
        <v>100</v>
      </c>
      <c r="BM12" s="8">
        <v>90</v>
      </c>
      <c r="BN12" s="8">
        <v>100</v>
      </c>
      <c r="BO12" s="9">
        <v>0.97297299999999998</v>
      </c>
      <c r="BP12" s="9" t="s">
        <v>38</v>
      </c>
      <c r="BQ12" s="9" t="s">
        <v>38</v>
      </c>
      <c r="BR12" s="9" t="s">
        <v>38</v>
      </c>
      <c r="BS12" s="9" t="s">
        <v>38</v>
      </c>
      <c r="BT12" s="9" t="s">
        <v>38</v>
      </c>
      <c r="BU12" s="9" t="s">
        <v>38</v>
      </c>
      <c r="BV12" s="9" t="s">
        <v>38</v>
      </c>
      <c r="BW12" s="9" t="s">
        <v>38</v>
      </c>
      <c r="BX12" s="9" t="s">
        <v>38</v>
      </c>
      <c r="BY12" s="29" t="s">
        <v>38</v>
      </c>
      <c r="BZ12" s="29" t="s">
        <v>38</v>
      </c>
      <c r="CA12" s="9" t="s">
        <v>38</v>
      </c>
      <c r="CB12" s="29" t="s">
        <v>38</v>
      </c>
      <c r="CC12" s="29" t="s">
        <v>38</v>
      </c>
      <c r="CD12" s="9" t="s">
        <v>38</v>
      </c>
      <c r="CE12" s="9" t="s">
        <v>38</v>
      </c>
      <c r="CF12" s="9" t="s">
        <v>38</v>
      </c>
      <c r="CG12" s="9" t="s">
        <v>38</v>
      </c>
      <c r="CH12" s="9">
        <v>241.36</v>
      </c>
      <c r="CI12" s="9">
        <v>240.31</v>
      </c>
      <c r="CJ12" s="9">
        <v>4.6944999999999997</v>
      </c>
      <c r="CK12" s="9" t="s">
        <v>38</v>
      </c>
      <c r="CL12" s="9" t="s">
        <v>38</v>
      </c>
      <c r="CM12" s="9" t="s">
        <v>38</v>
      </c>
      <c r="CN12" s="9">
        <v>232.05</v>
      </c>
      <c r="CO12" s="9">
        <v>231.75</v>
      </c>
      <c r="CP12" s="9">
        <v>4.3966669999999999</v>
      </c>
      <c r="CQ12" s="9">
        <v>212.43</v>
      </c>
      <c r="CR12" s="9">
        <v>214.86</v>
      </c>
      <c r="CS12" s="9">
        <v>3.7881670000000001</v>
      </c>
      <c r="CT12" s="8" t="s">
        <v>38</v>
      </c>
      <c r="CU12" s="8" t="s">
        <v>38</v>
      </c>
      <c r="CV12" s="8" t="s">
        <v>38</v>
      </c>
      <c r="CW12" s="8" t="s">
        <v>38</v>
      </c>
      <c r="CX12" s="8" t="s">
        <v>38</v>
      </c>
      <c r="CY12" s="8" t="s">
        <v>38</v>
      </c>
      <c r="CZ12" s="8">
        <v>4.0999999999999996</v>
      </c>
      <c r="DA12" s="8" t="s">
        <v>38</v>
      </c>
      <c r="DB12" s="8">
        <v>4.4000000000000004</v>
      </c>
      <c r="DC12" s="8">
        <v>3.7</v>
      </c>
      <c r="DD12" s="8" t="s">
        <v>38</v>
      </c>
      <c r="DE12" s="8" t="s">
        <v>38</v>
      </c>
      <c r="DF12" s="8" t="s">
        <v>38</v>
      </c>
      <c r="DG12" s="8" t="s">
        <v>38</v>
      </c>
      <c r="DH12" s="8" t="s">
        <v>38</v>
      </c>
      <c r="DI12" s="8" t="s">
        <v>38</v>
      </c>
      <c r="DJ12" s="8">
        <v>4.3</v>
      </c>
      <c r="DK12" s="22">
        <v>4.5999999999999996</v>
      </c>
    </row>
    <row r="13" spans="1:115" ht="14.15" customHeight="1" x14ac:dyDescent="0.25">
      <c r="A13" s="6" t="s">
        <v>22</v>
      </c>
      <c r="B13" s="6">
        <v>3106606</v>
      </c>
      <c r="C13" s="6" t="s">
        <v>54</v>
      </c>
      <c r="D13" s="6" t="str">
        <f>VLOOKUP(B13,Planilha1!$A:$B,2,0)</f>
        <v>Vale do Mucuri</v>
      </c>
      <c r="E13" s="7">
        <v>31239461</v>
      </c>
      <c r="F13" s="6" t="s">
        <v>32</v>
      </c>
      <c r="G13" s="6" t="s">
        <v>19</v>
      </c>
      <c r="H13" s="8" t="s">
        <v>38</v>
      </c>
      <c r="I13" s="8" t="s">
        <v>38</v>
      </c>
      <c r="J13" s="8" t="s">
        <v>38</v>
      </c>
      <c r="K13" s="8" t="s">
        <v>38</v>
      </c>
      <c r="L13" s="8" t="s">
        <v>38</v>
      </c>
      <c r="M13" s="9" t="s">
        <v>38</v>
      </c>
      <c r="N13" s="8">
        <v>79.599999999999994</v>
      </c>
      <c r="O13" s="8">
        <v>78.400000000000006</v>
      </c>
      <c r="P13" s="8">
        <v>68.099999999999994</v>
      </c>
      <c r="Q13" s="8">
        <v>85.9</v>
      </c>
      <c r="R13" s="8">
        <v>86.5</v>
      </c>
      <c r="S13" s="9">
        <v>0.78986599999999996</v>
      </c>
      <c r="T13" s="8">
        <v>85.4</v>
      </c>
      <c r="U13" s="8">
        <v>80.5</v>
      </c>
      <c r="V13" s="8">
        <v>88.9</v>
      </c>
      <c r="W13" s="8">
        <v>85</v>
      </c>
      <c r="X13" s="8">
        <v>87.8</v>
      </c>
      <c r="Y13" s="9">
        <v>0.85424100000000003</v>
      </c>
      <c r="Z13" s="8" t="s">
        <v>38</v>
      </c>
      <c r="AA13" s="8" t="s">
        <v>38</v>
      </c>
      <c r="AB13" s="8" t="s">
        <v>38</v>
      </c>
      <c r="AC13" s="8" t="s">
        <v>38</v>
      </c>
      <c r="AD13" s="8" t="s">
        <v>38</v>
      </c>
      <c r="AE13" s="9" t="s">
        <v>38</v>
      </c>
      <c r="AF13" s="8" t="s">
        <v>38</v>
      </c>
      <c r="AG13" s="8" t="s">
        <v>38</v>
      </c>
      <c r="AH13" s="8" t="s">
        <v>38</v>
      </c>
      <c r="AI13" s="8" t="s">
        <v>38</v>
      </c>
      <c r="AJ13" s="8" t="s">
        <v>38</v>
      </c>
      <c r="AK13" s="9" t="s">
        <v>38</v>
      </c>
      <c r="AL13" s="8" t="s">
        <v>38</v>
      </c>
      <c r="AM13" s="8" t="s">
        <v>38</v>
      </c>
      <c r="AN13" s="8" t="s">
        <v>38</v>
      </c>
      <c r="AO13" s="8" t="s">
        <v>38</v>
      </c>
      <c r="AP13" s="8" t="s">
        <v>38</v>
      </c>
      <c r="AQ13" s="9" t="s">
        <v>38</v>
      </c>
      <c r="AR13" s="8" t="s">
        <v>38</v>
      </c>
      <c r="AS13" s="8" t="s">
        <v>38</v>
      </c>
      <c r="AT13" s="8" t="s">
        <v>38</v>
      </c>
      <c r="AU13" s="8" t="s">
        <v>38</v>
      </c>
      <c r="AV13" s="8" t="s">
        <v>38</v>
      </c>
      <c r="AW13" s="9" t="s">
        <v>38</v>
      </c>
      <c r="AX13" s="8" t="s">
        <v>38</v>
      </c>
      <c r="AY13" s="8" t="s">
        <v>38</v>
      </c>
      <c r="AZ13" s="8" t="s">
        <v>38</v>
      </c>
      <c r="BA13" s="8" t="s">
        <v>38</v>
      </c>
      <c r="BB13" s="8" t="s">
        <v>38</v>
      </c>
      <c r="BC13" s="9" t="s">
        <v>38</v>
      </c>
      <c r="BD13" s="8" t="s">
        <v>38</v>
      </c>
      <c r="BE13" s="8" t="s">
        <v>38</v>
      </c>
      <c r="BF13" s="8" t="s">
        <v>38</v>
      </c>
      <c r="BG13" s="8" t="s">
        <v>38</v>
      </c>
      <c r="BH13" s="8" t="s">
        <v>38</v>
      </c>
      <c r="BI13" s="9" t="s">
        <v>38</v>
      </c>
      <c r="BJ13" s="8" t="s">
        <v>38</v>
      </c>
      <c r="BK13" s="8" t="s">
        <v>38</v>
      </c>
      <c r="BL13" s="8" t="s">
        <v>38</v>
      </c>
      <c r="BM13" s="8" t="s">
        <v>38</v>
      </c>
      <c r="BN13" s="8" t="s">
        <v>38</v>
      </c>
      <c r="BO13" s="9" t="s">
        <v>38</v>
      </c>
      <c r="BP13" s="9" t="s">
        <v>38</v>
      </c>
      <c r="BQ13" s="9" t="s">
        <v>38</v>
      </c>
      <c r="BR13" s="9" t="s">
        <v>38</v>
      </c>
      <c r="BS13" s="9">
        <v>276.27</v>
      </c>
      <c r="BT13" s="9">
        <v>251.56</v>
      </c>
      <c r="BU13" s="9">
        <v>5.4638330000000002</v>
      </c>
      <c r="BV13" s="9">
        <v>240.95</v>
      </c>
      <c r="BW13" s="9">
        <v>237.93</v>
      </c>
      <c r="BX13" s="9">
        <v>4.6479999999999997</v>
      </c>
      <c r="BY13" s="9" t="s">
        <v>38</v>
      </c>
      <c r="BZ13" s="9" t="s">
        <v>38</v>
      </c>
      <c r="CA13" s="9" t="s">
        <v>38</v>
      </c>
      <c r="CB13" s="9" t="s">
        <v>38</v>
      </c>
      <c r="CC13" s="9" t="s">
        <v>38</v>
      </c>
      <c r="CD13" s="9" t="s">
        <v>38</v>
      </c>
      <c r="CE13" s="9" t="s">
        <v>38</v>
      </c>
      <c r="CF13" s="9" t="s">
        <v>38</v>
      </c>
      <c r="CG13" s="9" t="s">
        <v>38</v>
      </c>
      <c r="CH13" s="9" t="s">
        <v>38</v>
      </c>
      <c r="CI13" s="9" t="s">
        <v>38</v>
      </c>
      <c r="CJ13" s="9" t="s">
        <v>38</v>
      </c>
      <c r="CK13" s="9" t="s">
        <v>38</v>
      </c>
      <c r="CL13" s="9" t="s">
        <v>38</v>
      </c>
      <c r="CM13" s="9" t="s">
        <v>38</v>
      </c>
      <c r="CN13" s="9" t="s">
        <v>38</v>
      </c>
      <c r="CO13" s="9" t="s">
        <v>38</v>
      </c>
      <c r="CP13" s="9" t="s">
        <v>38</v>
      </c>
      <c r="CQ13" s="9" t="s">
        <v>38</v>
      </c>
      <c r="CR13" s="9" t="s">
        <v>38</v>
      </c>
      <c r="CS13" s="9" t="s">
        <v>38</v>
      </c>
      <c r="CT13" s="8" t="s">
        <v>38</v>
      </c>
      <c r="CU13" s="8">
        <v>4.3</v>
      </c>
      <c r="CV13" s="8">
        <v>4</v>
      </c>
      <c r="CW13" s="8" t="s">
        <v>38</v>
      </c>
      <c r="CX13" s="8" t="s">
        <v>38</v>
      </c>
      <c r="CY13" s="8" t="s">
        <v>38</v>
      </c>
      <c r="CZ13" s="8" t="s">
        <v>38</v>
      </c>
      <c r="DA13" s="8" t="s">
        <v>38</v>
      </c>
      <c r="DB13" s="8" t="s">
        <v>38</v>
      </c>
      <c r="DC13" s="8" t="s">
        <v>38</v>
      </c>
      <c r="DD13" s="8" t="s">
        <v>38</v>
      </c>
      <c r="DE13" s="8">
        <v>4.4000000000000004</v>
      </c>
      <c r="DF13" s="8">
        <v>4.5999999999999996</v>
      </c>
      <c r="DG13" s="8">
        <v>4.9000000000000004</v>
      </c>
      <c r="DH13" s="8">
        <v>5.3</v>
      </c>
      <c r="DI13" s="8">
        <v>5.5</v>
      </c>
      <c r="DJ13" s="8">
        <v>5.7</v>
      </c>
      <c r="DK13" s="22">
        <v>6</v>
      </c>
    </row>
    <row r="14" spans="1:115" ht="14.15" customHeight="1" x14ac:dyDescent="0.25">
      <c r="A14" s="6" t="s">
        <v>22</v>
      </c>
      <c r="B14" s="6">
        <v>3113701</v>
      </c>
      <c r="C14" s="6" t="s">
        <v>55</v>
      </c>
      <c r="D14" s="6" t="str">
        <f>VLOOKUP(B14,Planilha1!$A:$B,2,0)</f>
        <v>Vale do Mucuri</v>
      </c>
      <c r="E14" s="7">
        <v>31146587</v>
      </c>
      <c r="F14" s="6" t="s">
        <v>227</v>
      </c>
      <c r="G14" s="6" t="s">
        <v>19</v>
      </c>
      <c r="H14" s="8">
        <v>77.2</v>
      </c>
      <c r="I14" s="8">
        <v>77.7</v>
      </c>
      <c r="J14" s="8">
        <v>77.2</v>
      </c>
      <c r="K14" s="8">
        <v>66.7</v>
      </c>
      <c r="L14" s="8">
        <v>97.1</v>
      </c>
      <c r="M14" s="9">
        <v>0.78255600000000003</v>
      </c>
      <c r="N14" s="8">
        <v>88.4</v>
      </c>
      <c r="O14" s="8">
        <v>85.7</v>
      </c>
      <c r="P14" s="8">
        <v>87.5</v>
      </c>
      <c r="Q14" s="8">
        <v>98.3</v>
      </c>
      <c r="R14" s="8">
        <v>82.6</v>
      </c>
      <c r="S14" s="9">
        <v>0.88151000000000002</v>
      </c>
      <c r="T14" s="8">
        <v>86.1</v>
      </c>
      <c r="U14" s="8">
        <v>74.400000000000006</v>
      </c>
      <c r="V14" s="8">
        <v>92.7</v>
      </c>
      <c r="W14" s="8">
        <v>97.8</v>
      </c>
      <c r="X14" s="8">
        <v>90</v>
      </c>
      <c r="Y14" s="9">
        <v>0.87787800000000005</v>
      </c>
      <c r="Z14" s="8">
        <v>93.6</v>
      </c>
      <c r="AA14" s="8">
        <v>92.9</v>
      </c>
      <c r="AB14" s="8">
        <v>90.6</v>
      </c>
      <c r="AC14" s="8">
        <v>95.6</v>
      </c>
      <c r="AD14" s="8">
        <v>97.1</v>
      </c>
      <c r="AE14" s="9">
        <v>0.93983399999999995</v>
      </c>
      <c r="AF14" s="8">
        <v>91.2</v>
      </c>
      <c r="AG14" s="8">
        <v>100</v>
      </c>
      <c r="AH14" s="8">
        <v>94.1</v>
      </c>
      <c r="AI14" s="8">
        <v>83.6</v>
      </c>
      <c r="AJ14" s="8">
        <v>92.7</v>
      </c>
      <c r="AK14" s="9">
        <v>0.92216500000000001</v>
      </c>
      <c r="AL14" s="8">
        <v>92.6</v>
      </c>
      <c r="AM14" s="8">
        <v>87.7</v>
      </c>
      <c r="AN14" s="8">
        <v>96.4</v>
      </c>
      <c r="AO14" s="8">
        <v>93.2</v>
      </c>
      <c r="AP14" s="8">
        <v>94.7</v>
      </c>
      <c r="AQ14" s="9">
        <v>0.92882399999999998</v>
      </c>
      <c r="AR14" s="8">
        <v>77.2</v>
      </c>
      <c r="AS14" s="8">
        <v>76.5</v>
      </c>
      <c r="AT14" s="8">
        <v>76.7</v>
      </c>
      <c r="AU14" s="8">
        <v>71.400000000000006</v>
      </c>
      <c r="AV14" s="8">
        <v>84.8</v>
      </c>
      <c r="AW14" s="9">
        <v>0.77059800000000001</v>
      </c>
      <c r="AX14" s="8">
        <v>84</v>
      </c>
      <c r="AY14" s="8">
        <v>71.900000000000006</v>
      </c>
      <c r="AZ14" s="8">
        <v>89.2</v>
      </c>
      <c r="BA14" s="8">
        <v>90.9</v>
      </c>
      <c r="BB14" s="8">
        <v>95.5</v>
      </c>
      <c r="BC14" s="9">
        <v>0.85853000000000002</v>
      </c>
      <c r="BD14" s="8">
        <v>93.6</v>
      </c>
      <c r="BE14" s="8">
        <v>88</v>
      </c>
      <c r="BF14" s="8">
        <v>92.9</v>
      </c>
      <c r="BG14" s="8">
        <v>95.2</v>
      </c>
      <c r="BH14" s="8">
        <v>98.2</v>
      </c>
      <c r="BI14" s="9">
        <v>0.93424300000000005</v>
      </c>
      <c r="BJ14" s="8">
        <v>86.7</v>
      </c>
      <c r="BK14" s="8">
        <v>76.5</v>
      </c>
      <c r="BL14" s="8">
        <v>93</v>
      </c>
      <c r="BM14" s="8">
        <v>87.9</v>
      </c>
      <c r="BN14" s="8">
        <v>94.1</v>
      </c>
      <c r="BO14" s="9">
        <v>0.87282599999999999</v>
      </c>
      <c r="BP14" s="9">
        <v>238.43</v>
      </c>
      <c r="BQ14" s="9">
        <v>221.78</v>
      </c>
      <c r="BR14" s="9">
        <v>4.3367820000000004</v>
      </c>
      <c r="BS14" s="9">
        <v>242.95</v>
      </c>
      <c r="BT14" s="9">
        <v>247.1</v>
      </c>
      <c r="BU14" s="9">
        <v>4.8341669999999999</v>
      </c>
      <c r="BV14" s="9">
        <v>251.44</v>
      </c>
      <c r="BW14" s="9">
        <v>248.82</v>
      </c>
      <c r="BX14" s="9">
        <v>5.0043329999999999</v>
      </c>
      <c r="BY14" s="9">
        <v>231.91</v>
      </c>
      <c r="BZ14" s="9">
        <v>227.24</v>
      </c>
      <c r="CA14" s="9">
        <v>4.3191670000000002</v>
      </c>
      <c r="CB14" s="9">
        <v>231.17</v>
      </c>
      <c r="CC14" s="9">
        <v>242.62</v>
      </c>
      <c r="CD14" s="9">
        <v>4.563167</v>
      </c>
      <c r="CE14" s="9" t="s">
        <v>195</v>
      </c>
      <c r="CF14" s="9" t="s">
        <v>194</v>
      </c>
      <c r="CG14" s="9">
        <v>4.7316669999999998</v>
      </c>
      <c r="CH14" s="9">
        <v>241.71</v>
      </c>
      <c r="CI14" s="9">
        <v>255.16</v>
      </c>
      <c r="CJ14" s="9">
        <v>4.9478330000000001</v>
      </c>
      <c r="CK14" s="29" t="s">
        <v>39</v>
      </c>
      <c r="CL14" s="29" t="s">
        <v>39</v>
      </c>
      <c r="CM14" s="9" t="s">
        <v>38</v>
      </c>
      <c r="CN14" s="29">
        <v>246.17</v>
      </c>
      <c r="CO14" s="29">
        <v>247.34</v>
      </c>
      <c r="CP14" s="9">
        <v>4.8918330000000001</v>
      </c>
      <c r="CQ14" s="29">
        <v>236.82</v>
      </c>
      <c r="CR14" s="29">
        <v>229.8</v>
      </c>
      <c r="CS14" s="9">
        <v>4.4436669999999996</v>
      </c>
      <c r="CT14" s="8">
        <v>3.4</v>
      </c>
      <c r="CU14" s="8">
        <v>4.3</v>
      </c>
      <c r="CV14" s="8">
        <v>4.4000000000000004</v>
      </c>
      <c r="CW14" s="8">
        <v>4.0999999999999996</v>
      </c>
      <c r="CX14" s="8">
        <v>4.2</v>
      </c>
      <c r="CY14" s="8">
        <v>4.4000000000000004</v>
      </c>
      <c r="CZ14" s="8">
        <v>3.8</v>
      </c>
      <c r="DA14" s="8" t="s">
        <v>38</v>
      </c>
      <c r="DB14" s="8">
        <v>4.5999999999999996</v>
      </c>
      <c r="DC14" s="8">
        <v>3.9</v>
      </c>
      <c r="DD14" s="8">
        <v>3.4</v>
      </c>
      <c r="DE14" s="8">
        <v>3.6</v>
      </c>
      <c r="DF14" s="8">
        <v>3.8</v>
      </c>
      <c r="DG14" s="8">
        <v>4.3</v>
      </c>
      <c r="DH14" s="8">
        <v>4.5999999999999996</v>
      </c>
      <c r="DI14" s="8">
        <v>4.9000000000000004</v>
      </c>
      <c r="DJ14" s="8">
        <v>5.0999999999999996</v>
      </c>
      <c r="DK14" s="22">
        <v>5.4</v>
      </c>
    </row>
    <row r="15" spans="1:115" ht="14.15" customHeight="1" x14ac:dyDescent="0.25">
      <c r="A15" s="6" t="s">
        <v>22</v>
      </c>
      <c r="B15" s="6">
        <v>3113701</v>
      </c>
      <c r="C15" s="6" t="s">
        <v>55</v>
      </c>
      <c r="D15" s="6" t="str">
        <f>VLOOKUP(B15,Planilha1!$A:$B,2,0)</f>
        <v>Vale do Mucuri</v>
      </c>
      <c r="E15" s="7">
        <v>31151025</v>
      </c>
      <c r="F15" s="6" t="s">
        <v>228</v>
      </c>
      <c r="G15" s="6" t="s">
        <v>19</v>
      </c>
      <c r="H15" s="8" t="s">
        <v>38</v>
      </c>
      <c r="I15" s="8" t="s">
        <v>38</v>
      </c>
      <c r="J15" s="8" t="s">
        <v>38</v>
      </c>
      <c r="K15" s="8" t="s">
        <v>38</v>
      </c>
      <c r="L15" s="8" t="s">
        <v>38</v>
      </c>
      <c r="M15" s="9" t="s">
        <v>38</v>
      </c>
      <c r="N15" s="8" t="s">
        <v>38</v>
      </c>
      <c r="O15" s="8" t="s">
        <v>38</v>
      </c>
      <c r="P15" s="8" t="s">
        <v>38</v>
      </c>
      <c r="Q15" s="8" t="s">
        <v>38</v>
      </c>
      <c r="R15" s="8" t="s">
        <v>38</v>
      </c>
      <c r="S15" s="9" t="s">
        <v>38</v>
      </c>
      <c r="T15" s="8">
        <v>94</v>
      </c>
      <c r="U15" s="8">
        <v>95.7</v>
      </c>
      <c r="V15" s="8">
        <v>96.7</v>
      </c>
      <c r="W15" s="8">
        <v>94.9</v>
      </c>
      <c r="X15" s="8">
        <v>90.5</v>
      </c>
      <c r="Y15" s="9">
        <v>0.94389199999999995</v>
      </c>
      <c r="Z15" s="8">
        <v>99.1</v>
      </c>
      <c r="AA15" s="8">
        <v>96.2</v>
      </c>
      <c r="AB15" s="8">
        <v>100</v>
      </c>
      <c r="AC15" s="8">
        <v>100</v>
      </c>
      <c r="AD15" s="8">
        <v>100</v>
      </c>
      <c r="AE15" s="9">
        <v>0.99022100000000002</v>
      </c>
      <c r="AF15" s="8">
        <v>91.9</v>
      </c>
      <c r="AG15" s="8">
        <v>92</v>
      </c>
      <c r="AH15" s="8">
        <v>83.3</v>
      </c>
      <c r="AI15" s="8">
        <v>95.2</v>
      </c>
      <c r="AJ15" s="8">
        <v>100</v>
      </c>
      <c r="AK15" s="9">
        <v>0.92211399999999999</v>
      </c>
      <c r="AL15" s="8">
        <v>98.7</v>
      </c>
      <c r="AM15" s="8">
        <v>100</v>
      </c>
      <c r="AN15" s="8">
        <v>100</v>
      </c>
      <c r="AO15" s="8">
        <v>100</v>
      </c>
      <c r="AP15" s="8">
        <v>94.7</v>
      </c>
      <c r="AQ15" s="9">
        <v>0.98620200000000002</v>
      </c>
      <c r="AR15" s="8">
        <v>95.7</v>
      </c>
      <c r="AS15" s="8">
        <v>94.4</v>
      </c>
      <c r="AT15" s="8">
        <v>100</v>
      </c>
      <c r="AU15" s="8">
        <v>87.5</v>
      </c>
      <c r="AV15" s="8">
        <v>100</v>
      </c>
      <c r="AW15" s="9">
        <v>0.95188700000000004</v>
      </c>
      <c r="AX15" s="8">
        <v>85.2</v>
      </c>
      <c r="AY15" s="8">
        <v>84.2</v>
      </c>
      <c r="AZ15" s="8">
        <v>83.3</v>
      </c>
      <c r="BA15" s="8">
        <v>79.2</v>
      </c>
      <c r="BB15" s="8">
        <v>95.2</v>
      </c>
      <c r="BC15" s="9">
        <v>0.85085100000000002</v>
      </c>
      <c r="BD15" s="8">
        <v>93.7</v>
      </c>
      <c r="BE15" s="8">
        <v>93.8</v>
      </c>
      <c r="BF15" s="8">
        <v>94.1</v>
      </c>
      <c r="BG15" s="8">
        <v>92.9</v>
      </c>
      <c r="BH15" s="8">
        <v>93.8</v>
      </c>
      <c r="BI15" s="9">
        <v>0.93647800000000003</v>
      </c>
      <c r="BJ15" s="8">
        <v>95.5</v>
      </c>
      <c r="BK15" s="8">
        <v>95.2</v>
      </c>
      <c r="BL15" s="8">
        <v>95.2</v>
      </c>
      <c r="BM15" s="8">
        <v>100</v>
      </c>
      <c r="BN15" s="8">
        <v>93.3</v>
      </c>
      <c r="BO15" s="9">
        <v>0.958623</v>
      </c>
      <c r="BP15" s="9" t="s">
        <v>38</v>
      </c>
      <c r="BQ15" s="9" t="s">
        <v>38</v>
      </c>
      <c r="BR15" s="9" t="s">
        <v>38</v>
      </c>
      <c r="BS15" s="9" t="s">
        <v>38</v>
      </c>
      <c r="BT15" s="9" t="s">
        <v>38</v>
      </c>
      <c r="BU15" s="9" t="s">
        <v>38</v>
      </c>
      <c r="BV15" s="9">
        <v>225.63</v>
      </c>
      <c r="BW15" s="9">
        <v>228.13</v>
      </c>
      <c r="BX15" s="9">
        <v>4.2293329999999996</v>
      </c>
      <c r="BY15" s="9">
        <v>255.88</v>
      </c>
      <c r="BZ15" s="9">
        <v>243.7</v>
      </c>
      <c r="CA15" s="9">
        <v>4.9930000000000003</v>
      </c>
      <c r="CB15" s="9" t="s">
        <v>38</v>
      </c>
      <c r="CC15" s="9" t="s">
        <v>38</v>
      </c>
      <c r="CD15" s="9" t="s">
        <v>38</v>
      </c>
      <c r="CE15" s="9" t="s">
        <v>209</v>
      </c>
      <c r="CF15" s="9" t="s">
        <v>210</v>
      </c>
      <c r="CG15" s="9">
        <v>5.3081670000000001</v>
      </c>
      <c r="CH15" s="9">
        <v>258.14</v>
      </c>
      <c r="CI15" s="9">
        <v>261.88</v>
      </c>
      <c r="CJ15" s="9">
        <v>5.3336670000000002</v>
      </c>
      <c r="CK15" s="29">
        <v>277.83</v>
      </c>
      <c r="CL15" s="29">
        <v>265.69</v>
      </c>
      <c r="CM15" s="9">
        <v>5.725333</v>
      </c>
      <c r="CN15" s="29">
        <v>236.77</v>
      </c>
      <c r="CO15" s="29">
        <v>231.43</v>
      </c>
      <c r="CP15" s="9">
        <v>4.47</v>
      </c>
      <c r="CQ15" s="29">
        <v>248.09</v>
      </c>
      <c r="CR15" s="29">
        <v>243.31</v>
      </c>
      <c r="CS15" s="9">
        <v>4.8566669999999998</v>
      </c>
      <c r="CT15" s="8" t="s">
        <v>38</v>
      </c>
      <c r="CU15" s="8" t="s">
        <v>38</v>
      </c>
      <c r="CV15" s="8">
        <v>4</v>
      </c>
      <c r="CW15" s="8">
        <v>4.9000000000000004</v>
      </c>
      <c r="CX15" s="8" t="s">
        <v>38</v>
      </c>
      <c r="CY15" s="8">
        <v>5.2</v>
      </c>
      <c r="CZ15" s="8">
        <v>5.0999999999999996</v>
      </c>
      <c r="DA15" s="8">
        <v>4.9000000000000004</v>
      </c>
      <c r="DB15" s="8">
        <v>4.2</v>
      </c>
      <c r="DC15" s="8">
        <v>4.7</v>
      </c>
      <c r="DD15" s="8" t="s">
        <v>38</v>
      </c>
      <c r="DE15" s="8" t="s">
        <v>38</v>
      </c>
      <c r="DF15" s="8">
        <v>4.0999999999999996</v>
      </c>
      <c r="DG15" s="8">
        <v>4.4000000000000004</v>
      </c>
      <c r="DH15" s="8">
        <v>4.7</v>
      </c>
      <c r="DI15" s="8">
        <v>5</v>
      </c>
      <c r="DJ15" s="8">
        <v>5.3</v>
      </c>
      <c r="DK15" s="22">
        <v>5.5</v>
      </c>
    </row>
    <row r="16" spans="1:115" ht="14.15" customHeight="1" x14ac:dyDescent="0.25">
      <c r="A16" s="6" t="s">
        <v>22</v>
      </c>
      <c r="B16" s="6">
        <v>3115458</v>
      </c>
      <c r="C16" s="6" t="s">
        <v>56</v>
      </c>
      <c r="D16" s="6" t="str">
        <f>VLOOKUP(B16,Planilha1!$A:$B,2,0)</f>
        <v>Vale do Mucuri</v>
      </c>
      <c r="E16" s="7">
        <v>31326771</v>
      </c>
      <c r="F16" s="6" t="s">
        <v>35</v>
      </c>
      <c r="G16" s="6" t="s">
        <v>19</v>
      </c>
      <c r="H16" s="8" t="s">
        <v>38</v>
      </c>
      <c r="I16" s="8" t="s">
        <v>38</v>
      </c>
      <c r="J16" s="8" t="s">
        <v>38</v>
      </c>
      <c r="K16" s="8" t="s">
        <v>38</v>
      </c>
      <c r="L16" s="8" t="s">
        <v>38</v>
      </c>
      <c r="M16" s="9" t="s">
        <v>38</v>
      </c>
      <c r="N16" s="8" t="s">
        <v>38</v>
      </c>
      <c r="O16" s="8" t="s">
        <v>38</v>
      </c>
      <c r="P16" s="8" t="s">
        <v>38</v>
      </c>
      <c r="Q16" s="8" t="s">
        <v>38</v>
      </c>
      <c r="R16" s="8" t="s">
        <v>38</v>
      </c>
      <c r="S16" s="9" t="s">
        <v>38</v>
      </c>
      <c r="T16" s="8">
        <v>52.5</v>
      </c>
      <c r="U16" s="8">
        <v>45.8</v>
      </c>
      <c r="V16" s="8">
        <v>33.299999999999997</v>
      </c>
      <c r="W16" s="8">
        <v>66.7</v>
      </c>
      <c r="X16" s="8">
        <v>62.5</v>
      </c>
      <c r="Y16" s="9">
        <v>0.48276200000000002</v>
      </c>
      <c r="Z16" s="8">
        <v>54.7</v>
      </c>
      <c r="AA16" s="8">
        <v>20</v>
      </c>
      <c r="AB16" s="8">
        <v>28.6</v>
      </c>
      <c r="AC16" s="8">
        <v>71.400000000000006</v>
      </c>
      <c r="AD16" s="8">
        <v>82.6</v>
      </c>
      <c r="AE16" s="9">
        <v>0.36010999999999999</v>
      </c>
      <c r="AF16" s="8" t="s">
        <v>38</v>
      </c>
      <c r="AG16" s="8" t="s">
        <v>38</v>
      </c>
      <c r="AH16" s="8" t="s">
        <v>38</v>
      </c>
      <c r="AI16" s="8" t="s">
        <v>38</v>
      </c>
      <c r="AJ16" s="8" t="s">
        <v>38</v>
      </c>
      <c r="AK16" s="9" t="s">
        <v>38</v>
      </c>
      <c r="AL16" s="8" t="s">
        <v>38</v>
      </c>
      <c r="AM16" s="8" t="s">
        <v>38</v>
      </c>
      <c r="AN16" s="8" t="s">
        <v>38</v>
      </c>
      <c r="AO16" s="8" t="s">
        <v>38</v>
      </c>
      <c r="AP16" s="8" t="s">
        <v>38</v>
      </c>
      <c r="AQ16" s="9" t="s">
        <v>38</v>
      </c>
      <c r="AR16" s="8" t="s">
        <v>38</v>
      </c>
      <c r="AS16" s="8" t="s">
        <v>38</v>
      </c>
      <c r="AT16" s="8" t="s">
        <v>38</v>
      </c>
      <c r="AU16" s="8" t="s">
        <v>38</v>
      </c>
      <c r="AV16" s="8" t="s">
        <v>38</v>
      </c>
      <c r="AW16" s="9" t="s">
        <v>38</v>
      </c>
      <c r="AX16" s="8" t="s">
        <v>38</v>
      </c>
      <c r="AY16" s="8" t="s">
        <v>38</v>
      </c>
      <c r="AZ16" s="8" t="s">
        <v>38</v>
      </c>
      <c r="BA16" s="8" t="s">
        <v>38</v>
      </c>
      <c r="BB16" s="8" t="s">
        <v>38</v>
      </c>
      <c r="BC16" s="9" t="s">
        <v>38</v>
      </c>
      <c r="BD16" s="8" t="s">
        <v>38</v>
      </c>
      <c r="BE16" s="8" t="s">
        <v>38</v>
      </c>
      <c r="BF16" s="8" t="s">
        <v>38</v>
      </c>
      <c r="BG16" s="8" t="s">
        <v>38</v>
      </c>
      <c r="BH16" s="8" t="s">
        <v>38</v>
      </c>
      <c r="BI16" s="9" t="s">
        <v>38</v>
      </c>
      <c r="BJ16" s="8" t="s">
        <v>38</v>
      </c>
      <c r="BK16" s="8" t="s">
        <v>38</v>
      </c>
      <c r="BL16" s="8" t="s">
        <v>38</v>
      </c>
      <c r="BM16" s="8" t="s">
        <v>38</v>
      </c>
      <c r="BN16" s="8" t="s">
        <v>38</v>
      </c>
      <c r="BO16" s="9" t="s">
        <v>38</v>
      </c>
      <c r="BP16" s="9" t="s">
        <v>38</v>
      </c>
      <c r="BQ16" s="9" t="s">
        <v>38</v>
      </c>
      <c r="BR16" s="9" t="s">
        <v>38</v>
      </c>
      <c r="BS16" s="9" t="s">
        <v>38</v>
      </c>
      <c r="BT16" s="9" t="s">
        <v>38</v>
      </c>
      <c r="BU16" s="9" t="s">
        <v>38</v>
      </c>
      <c r="BV16" s="9">
        <v>223.32</v>
      </c>
      <c r="BW16" s="9">
        <v>234.87</v>
      </c>
      <c r="BX16" s="9">
        <v>4.3031670000000002</v>
      </c>
      <c r="BY16" s="9">
        <v>236.65</v>
      </c>
      <c r="BZ16" s="9">
        <v>238.7</v>
      </c>
      <c r="CA16" s="9">
        <v>4.5891669999999998</v>
      </c>
      <c r="CB16" s="9" t="s">
        <v>38</v>
      </c>
      <c r="CC16" s="9" t="s">
        <v>38</v>
      </c>
      <c r="CD16" s="9" t="s">
        <v>38</v>
      </c>
      <c r="CE16" s="9" t="s">
        <v>38</v>
      </c>
      <c r="CF16" s="9" t="s">
        <v>38</v>
      </c>
      <c r="CG16" s="9" t="s">
        <v>38</v>
      </c>
      <c r="CH16" s="9" t="s">
        <v>38</v>
      </c>
      <c r="CI16" s="9" t="s">
        <v>38</v>
      </c>
      <c r="CJ16" s="9" t="s">
        <v>38</v>
      </c>
      <c r="CK16" s="9" t="s">
        <v>38</v>
      </c>
      <c r="CL16" s="9" t="s">
        <v>38</v>
      </c>
      <c r="CM16" s="9" t="s">
        <v>38</v>
      </c>
      <c r="CN16" s="9" t="s">
        <v>38</v>
      </c>
      <c r="CO16" s="9" t="s">
        <v>38</v>
      </c>
      <c r="CP16" s="9" t="s">
        <v>38</v>
      </c>
      <c r="CQ16" s="9" t="s">
        <v>38</v>
      </c>
      <c r="CR16" s="9" t="s">
        <v>38</v>
      </c>
      <c r="CS16" s="9" t="s">
        <v>38</v>
      </c>
      <c r="CT16" s="8" t="s">
        <v>38</v>
      </c>
      <c r="CU16" s="8" t="s">
        <v>38</v>
      </c>
      <c r="CV16" s="8">
        <v>2.1</v>
      </c>
      <c r="CW16" s="8">
        <v>1.7</v>
      </c>
      <c r="CX16" s="8" t="s">
        <v>38</v>
      </c>
      <c r="CY16" s="8" t="s">
        <v>38</v>
      </c>
      <c r="CZ16" s="8" t="s">
        <v>38</v>
      </c>
      <c r="DA16" s="8" t="s">
        <v>38</v>
      </c>
      <c r="DB16" s="8" t="s">
        <v>38</v>
      </c>
      <c r="DC16" s="8" t="s">
        <v>38</v>
      </c>
      <c r="DD16" s="8" t="s">
        <v>38</v>
      </c>
      <c r="DE16" s="8" t="s">
        <v>38</v>
      </c>
      <c r="DF16" s="8">
        <v>2.7</v>
      </c>
      <c r="DG16" s="8">
        <v>3.1</v>
      </c>
      <c r="DH16" s="8">
        <v>3.5</v>
      </c>
      <c r="DI16" s="8">
        <v>3.8</v>
      </c>
      <c r="DJ16" s="8">
        <v>4.0999999999999996</v>
      </c>
      <c r="DK16" s="22">
        <v>4.3</v>
      </c>
    </row>
    <row r="17" spans="1:115" ht="14.15" customHeight="1" x14ac:dyDescent="0.25">
      <c r="A17" s="6" t="s">
        <v>22</v>
      </c>
      <c r="B17" s="6">
        <v>3120151</v>
      </c>
      <c r="C17" s="6" t="s">
        <v>57</v>
      </c>
      <c r="D17" s="6" t="str">
        <f>VLOOKUP(B17,Planilha1!$A:$B,2,0)</f>
        <v>Vale do Mucuri</v>
      </c>
      <c r="E17" s="7">
        <v>31145971</v>
      </c>
      <c r="F17" s="6" t="s">
        <v>47</v>
      </c>
      <c r="G17" s="6" t="s">
        <v>19</v>
      </c>
      <c r="H17" s="8">
        <v>76.599999999999994</v>
      </c>
      <c r="I17" s="8">
        <v>68.900000000000006</v>
      </c>
      <c r="J17" s="8">
        <v>79.2</v>
      </c>
      <c r="K17" s="8">
        <v>76.2</v>
      </c>
      <c r="L17" s="8">
        <v>86.8</v>
      </c>
      <c r="M17" s="9">
        <v>0.77243700000000004</v>
      </c>
      <c r="N17" s="8">
        <v>86.4</v>
      </c>
      <c r="O17" s="8">
        <v>74.7</v>
      </c>
      <c r="P17" s="8">
        <v>88.9</v>
      </c>
      <c r="Q17" s="8">
        <v>93.2</v>
      </c>
      <c r="R17" s="8">
        <v>93.3</v>
      </c>
      <c r="S17" s="9">
        <v>0.86799499999999996</v>
      </c>
      <c r="T17" s="8">
        <v>74.2</v>
      </c>
      <c r="U17" s="8">
        <v>51.5</v>
      </c>
      <c r="V17" s="8">
        <v>87.5</v>
      </c>
      <c r="W17" s="8">
        <v>83.6</v>
      </c>
      <c r="X17" s="8">
        <v>79.7</v>
      </c>
      <c r="Y17" s="9">
        <v>0.722611</v>
      </c>
      <c r="Z17" s="8">
        <v>74.5</v>
      </c>
      <c r="AA17" s="8">
        <v>62.5</v>
      </c>
      <c r="AB17" s="8">
        <v>60.8</v>
      </c>
      <c r="AC17" s="8">
        <v>96.7</v>
      </c>
      <c r="AD17" s="8">
        <v>89.1</v>
      </c>
      <c r="AE17" s="9">
        <v>0.74057700000000004</v>
      </c>
      <c r="AF17" s="8">
        <v>86.4</v>
      </c>
      <c r="AG17" s="8">
        <v>70.400000000000006</v>
      </c>
      <c r="AH17" s="8">
        <v>94</v>
      </c>
      <c r="AI17" s="8">
        <v>96.3</v>
      </c>
      <c r="AJ17" s="8">
        <v>89.7</v>
      </c>
      <c r="AK17" s="9">
        <v>0.86252799999999996</v>
      </c>
      <c r="AL17" s="8">
        <v>87.9</v>
      </c>
      <c r="AM17" s="8">
        <v>77.2</v>
      </c>
      <c r="AN17" s="8">
        <v>80</v>
      </c>
      <c r="AO17" s="8">
        <v>97.4</v>
      </c>
      <c r="AP17" s="8">
        <v>95.9</v>
      </c>
      <c r="AQ17" s="9">
        <v>0.86677999999999999</v>
      </c>
      <c r="AR17" s="8">
        <v>95.3</v>
      </c>
      <c r="AS17" s="8">
        <v>100</v>
      </c>
      <c r="AT17" s="8">
        <v>94.7</v>
      </c>
      <c r="AU17" s="8">
        <v>100</v>
      </c>
      <c r="AV17" s="8">
        <v>88.9</v>
      </c>
      <c r="AW17" s="9">
        <v>0.95674899999999996</v>
      </c>
      <c r="AX17" s="8">
        <v>80</v>
      </c>
      <c r="AY17" s="8">
        <v>70</v>
      </c>
      <c r="AZ17" s="8">
        <v>76.900000000000006</v>
      </c>
      <c r="BA17" s="8">
        <v>91.7</v>
      </c>
      <c r="BB17" s="8">
        <v>83.8</v>
      </c>
      <c r="BC17" s="9">
        <v>0.79795899999999997</v>
      </c>
      <c r="BD17" s="8">
        <v>94.6</v>
      </c>
      <c r="BE17" s="8">
        <v>100</v>
      </c>
      <c r="BF17" s="8">
        <v>93.9</v>
      </c>
      <c r="BG17" s="8">
        <v>89.3</v>
      </c>
      <c r="BH17" s="8">
        <v>93.9</v>
      </c>
      <c r="BI17" s="9">
        <v>0.94123299999999999</v>
      </c>
      <c r="BJ17" s="8">
        <v>95.8</v>
      </c>
      <c r="BK17" s="8">
        <v>94.6</v>
      </c>
      <c r="BL17" s="8">
        <v>93.8</v>
      </c>
      <c r="BM17" s="8">
        <v>97.1</v>
      </c>
      <c r="BN17" s="8">
        <v>96.9</v>
      </c>
      <c r="BO17" s="9">
        <v>0.95578600000000002</v>
      </c>
      <c r="BP17" s="9">
        <v>215.2</v>
      </c>
      <c r="BQ17" s="9">
        <v>200.34</v>
      </c>
      <c r="BR17" s="9">
        <v>3.5924860000000001</v>
      </c>
      <c r="BS17" s="9">
        <v>215.71</v>
      </c>
      <c r="BT17" s="9">
        <v>208.74</v>
      </c>
      <c r="BU17" s="9">
        <v>3.7408329999999999</v>
      </c>
      <c r="BV17" s="9">
        <v>230.86</v>
      </c>
      <c r="BW17" s="9">
        <v>229.6</v>
      </c>
      <c r="BX17" s="9">
        <v>4.3410000000000002</v>
      </c>
      <c r="BY17" s="9">
        <v>231.16</v>
      </c>
      <c r="BZ17" s="9">
        <v>227.63</v>
      </c>
      <c r="CA17" s="9">
        <v>4.313167</v>
      </c>
      <c r="CB17" s="9">
        <v>237.26</v>
      </c>
      <c r="CC17" s="9">
        <v>237.12</v>
      </c>
      <c r="CD17" s="9">
        <v>4.5730000000000004</v>
      </c>
      <c r="CE17" s="9" t="s">
        <v>187</v>
      </c>
      <c r="CF17" s="9" t="s">
        <v>197</v>
      </c>
      <c r="CG17" s="9">
        <v>4.6021669999999997</v>
      </c>
      <c r="CH17" s="9">
        <v>228.82</v>
      </c>
      <c r="CI17" s="9">
        <v>240.07</v>
      </c>
      <c r="CJ17" s="9">
        <v>4.4814999999999996</v>
      </c>
      <c r="CK17" s="9">
        <v>232.96</v>
      </c>
      <c r="CL17" s="9">
        <v>226.05</v>
      </c>
      <c r="CM17" s="9">
        <v>4.3168329999999999</v>
      </c>
      <c r="CN17" s="9">
        <v>226.56</v>
      </c>
      <c r="CO17" s="9">
        <v>229.62</v>
      </c>
      <c r="CP17" s="9">
        <v>4.2696670000000001</v>
      </c>
      <c r="CQ17" s="9">
        <v>221.47</v>
      </c>
      <c r="CR17" s="9">
        <v>230.89</v>
      </c>
      <c r="CS17" s="9">
        <v>4.2060000000000004</v>
      </c>
      <c r="CT17" s="8">
        <v>2.8</v>
      </c>
      <c r="CU17" s="8">
        <v>3.2</v>
      </c>
      <c r="CV17" s="8">
        <v>3.1</v>
      </c>
      <c r="CW17" s="8">
        <v>3.2</v>
      </c>
      <c r="CX17" s="8">
        <v>3.9</v>
      </c>
      <c r="CY17" s="8">
        <v>4</v>
      </c>
      <c r="CZ17" s="8">
        <v>4.3</v>
      </c>
      <c r="DA17" s="8">
        <v>3.4</v>
      </c>
      <c r="DB17" s="8">
        <v>4</v>
      </c>
      <c r="DC17" s="8">
        <v>4</v>
      </c>
      <c r="DD17" s="8">
        <v>2.8</v>
      </c>
      <c r="DE17" s="8">
        <v>2.9</v>
      </c>
      <c r="DF17" s="8">
        <v>3.2</v>
      </c>
      <c r="DG17" s="8">
        <v>3.6</v>
      </c>
      <c r="DH17" s="8">
        <v>4</v>
      </c>
      <c r="DI17" s="8">
        <v>4.3</v>
      </c>
      <c r="DJ17" s="8">
        <v>4.5</v>
      </c>
      <c r="DK17" s="22">
        <v>4.8</v>
      </c>
    </row>
    <row r="18" spans="1:115" ht="14.15" customHeight="1" x14ac:dyDescent="0.25">
      <c r="A18" s="6" t="s">
        <v>22</v>
      </c>
      <c r="B18" s="6">
        <v>3120151</v>
      </c>
      <c r="C18" s="6" t="s">
        <v>57</v>
      </c>
      <c r="D18" s="6" t="str">
        <f>VLOOKUP(B18,Planilha1!$A:$B,2,0)</f>
        <v>Vale do Mucuri</v>
      </c>
      <c r="E18" s="7">
        <v>31349704</v>
      </c>
      <c r="F18" s="6" t="s">
        <v>243</v>
      </c>
      <c r="G18" s="6" t="s">
        <v>19</v>
      </c>
      <c r="H18" s="8" t="s">
        <v>38</v>
      </c>
      <c r="I18" s="8" t="s">
        <v>38</v>
      </c>
      <c r="J18" s="8" t="s">
        <v>38</v>
      </c>
      <c r="K18" s="8" t="s">
        <v>38</v>
      </c>
      <c r="L18" s="8" t="s">
        <v>38</v>
      </c>
      <c r="M18" s="9" t="s">
        <v>38</v>
      </c>
      <c r="N18" s="8" t="s">
        <v>38</v>
      </c>
      <c r="O18" s="8" t="s">
        <v>38</v>
      </c>
      <c r="P18" s="8" t="s">
        <v>38</v>
      </c>
      <c r="Q18" s="8" t="s">
        <v>38</v>
      </c>
      <c r="R18" s="8" t="s">
        <v>38</v>
      </c>
      <c r="S18" s="9" t="s">
        <v>38</v>
      </c>
      <c r="T18" s="8" t="s">
        <v>38</v>
      </c>
      <c r="U18" s="8" t="s">
        <v>38</v>
      </c>
      <c r="V18" s="8" t="s">
        <v>38</v>
      </c>
      <c r="W18" s="8" t="s">
        <v>38</v>
      </c>
      <c r="X18" s="8" t="s">
        <v>38</v>
      </c>
      <c r="Y18" s="9" t="s">
        <v>38</v>
      </c>
      <c r="Z18" s="8" t="s">
        <v>38</v>
      </c>
      <c r="AA18" s="8" t="s">
        <v>38</v>
      </c>
      <c r="AB18" s="8" t="s">
        <v>38</v>
      </c>
      <c r="AC18" s="8" t="s">
        <v>38</v>
      </c>
      <c r="AD18" s="8" t="s">
        <v>38</v>
      </c>
      <c r="AE18" s="9" t="s">
        <v>38</v>
      </c>
      <c r="AF18" s="8">
        <v>92.6</v>
      </c>
      <c r="AG18" s="8">
        <v>97.1</v>
      </c>
      <c r="AH18" s="8">
        <v>86.7</v>
      </c>
      <c r="AI18" s="8">
        <v>88</v>
      </c>
      <c r="AJ18" s="8">
        <v>95</v>
      </c>
      <c r="AK18" s="9">
        <v>0.91485799999999995</v>
      </c>
      <c r="AL18" s="8" t="s">
        <v>38</v>
      </c>
      <c r="AM18" s="8" t="s">
        <v>38</v>
      </c>
      <c r="AN18" s="8" t="s">
        <v>38</v>
      </c>
      <c r="AO18" s="8" t="s">
        <v>38</v>
      </c>
      <c r="AP18" s="8" t="s">
        <v>38</v>
      </c>
      <c r="AQ18" s="9" t="s">
        <v>38</v>
      </c>
      <c r="AR18" s="8" t="s">
        <v>38</v>
      </c>
      <c r="AS18" s="8" t="s">
        <v>38</v>
      </c>
      <c r="AT18" s="8" t="s">
        <v>38</v>
      </c>
      <c r="AU18" s="8" t="s">
        <v>38</v>
      </c>
      <c r="AV18" s="8" t="s">
        <v>38</v>
      </c>
      <c r="AW18" s="9" t="s">
        <v>38</v>
      </c>
      <c r="AX18" s="8" t="s">
        <v>38</v>
      </c>
      <c r="AY18" s="8" t="s">
        <v>38</v>
      </c>
      <c r="AZ18" s="8" t="s">
        <v>38</v>
      </c>
      <c r="BA18" s="8" t="s">
        <v>38</v>
      </c>
      <c r="BB18" s="8" t="s">
        <v>38</v>
      </c>
      <c r="BC18" s="9" t="s">
        <v>38</v>
      </c>
      <c r="BD18" s="8" t="s">
        <v>38</v>
      </c>
      <c r="BE18" s="8" t="s">
        <v>38</v>
      </c>
      <c r="BF18" s="8" t="s">
        <v>38</v>
      </c>
      <c r="BG18" s="8" t="s">
        <v>38</v>
      </c>
      <c r="BH18" s="8" t="s">
        <v>38</v>
      </c>
      <c r="BI18" s="9" t="s">
        <v>38</v>
      </c>
      <c r="BJ18" s="8" t="s">
        <v>38</v>
      </c>
      <c r="BK18" s="8" t="s">
        <v>38</v>
      </c>
      <c r="BL18" s="8" t="s">
        <v>38</v>
      </c>
      <c r="BM18" s="8" t="s">
        <v>38</v>
      </c>
      <c r="BN18" s="8" t="s">
        <v>38</v>
      </c>
      <c r="BO18" s="9" t="s">
        <v>38</v>
      </c>
      <c r="BP18" s="9" t="s">
        <v>38</v>
      </c>
      <c r="BQ18" s="9" t="s">
        <v>38</v>
      </c>
      <c r="BR18" s="9" t="s">
        <v>38</v>
      </c>
      <c r="BS18" s="9" t="s">
        <v>38</v>
      </c>
      <c r="BT18" s="9" t="s">
        <v>38</v>
      </c>
      <c r="BU18" s="9" t="s">
        <v>38</v>
      </c>
      <c r="BV18" s="9" t="s">
        <v>38</v>
      </c>
      <c r="BW18" s="9" t="s">
        <v>38</v>
      </c>
      <c r="BX18" s="9" t="s">
        <v>38</v>
      </c>
      <c r="BY18" s="9" t="s">
        <v>38</v>
      </c>
      <c r="BZ18" s="9" t="s">
        <v>38</v>
      </c>
      <c r="CA18" s="9" t="s">
        <v>38</v>
      </c>
      <c r="CB18" s="9">
        <v>230.61</v>
      </c>
      <c r="CC18" s="9">
        <v>233.18</v>
      </c>
      <c r="CD18" s="9">
        <v>4.3964999999999996</v>
      </c>
      <c r="CE18" s="9" t="s">
        <v>38</v>
      </c>
      <c r="CF18" s="9" t="s">
        <v>38</v>
      </c>
      <c r="CG18" s="9" t="s">
        <v>38</v>
      </c>
      <c r="CH18" s="9" t="s">
        <v>38</v>
      </c>
      <c r="CI18" s="9" t="s">
        <v>38</v>
      </c>
      <c r="CJ18" s="9" t="s">
        <v>38</v>
      </c>
      <c r="CK18" s="9" t="s">
        <v>38</v>
      </c>
      <c r="CL18" s="9" t="s">
        <v>38</v>
      </c>
      <c r="CM18" s="9" t="s">
        <v>38</v>
      </c>
      <c r="CN18" s="9" t="s">
        <v>38</v>
      </c>
      <c r="CO18" s="9" t="s">
        <v>38</v>
      </c>
      <c r="CP18" s="9" t="s">
        <v>38</v>
      </c>
      <c r="CQ18" s="9" t="s">
        <v>38</v>
      </c>
      <c r="CR18" s="9" t="s">
        <v>38</v>
      </c>
      <c r="CS18" s="9" t="s">
        <v>38</v>
      </c>
      <c r="CT18" s="8" t="s">
        <v>38</v>
      </c>
      <c r="CU18" s="8" t="s">
        <v>38</v>
      </c>
      <c r="CV18" s="8" t="s">
        <v>38</v>
      </c>
      <c r="CW18" s="8" t="s">
        <v>38</v>
      </c>
      <c r="CX18" s="8">
        <v>4</v>
      </c>
      <c r="CY18" s="8" t="s">
        <v>38</v>
      </c>
      <c r="CZ18" s="8" t="s">
        <v>38</v>
      </c>
      <c r="DA18" s="8" t="s">
        <v>38</v>
      </c>
      <c r="DB18" s="8" t="s">
        <v>38</v>
      </c>
      <c r="DC18" s="8" t="s">
        <v>38</v>
      </c>
      <c r="DD18" s="8" t="s">
        <v>38</v>
      </c>
      <c r="DE18" s="8" t="s">
        <v>38</v>
      </c>
      <c r="DF18" s="8" t="s">
        <v>38</v>
      </c>
      <c r="DG18" s="8" t="s">
        <v>38</v>
      </c>
      <c r="DH18" s="8">
        <v>4.3</v>
      </c>
      <c r="DI18" s="8">
        <v>4.5</v>
      </c>
      <c r="DJ18" s="8">
        <v>4.8</v>
      </c>
      <c r="DK18" s="22">
        <v>5</v>
      </c>
    </row>
    <row r="19" spans="1:115" ht="14.15" customHeight="1" x14ac:dyDescent="0.25">
      <c r="A19" s="6" t="s">
        <v>22</v>
      </c>
      <c r="B19" s="6">
        <v>3126752</v>
      </c>
      <c r="C19" s="6" t="s">
        <v>58</v>
      </c>
      <c r="D19" s="6" t="str">
        <f>VLOOKUP(B19,Planilha1!$A:$B,2,0)</f>
        <v>Vale do Mucuri</v>
      </c>
      <c r="E19" s="7">
        <v>31154253</v>
      </c>
      <c r="F19" s="6" t="s">
        <v>25</v>
      </c>
      <c r="G19" s="6" t="s">
        <v>19</v>
      </c>
      <c r="H19" s="8">
        <v>44.7</v>
      </c>
      <c r="I19" s="8">
        <v>37.5</v>
      </c>
      <c r="J19" s="8">
        <v>26.9</v>
      </c>
      <c r="K19" s="8">
        <v>58.6</v>
      </c>
      <c r="L19" s="8">
        <v>50</v>
      </c>
      <c r="M19" s="9">
        <v>0.39640799999999998</v>
      </c>
      <c r="N19" s="8">
        <v>46.2</v>
      </c>
      <c r="O19" s="8">
        <v>45.5</v>
      </c>
      <c r="P19" s="8">
        <v>46.2</v>
      </c>
      <c r="Q19" s="8">
        <v>20</v>
      </c>
      <c r="R19" s="8">
        <v>61.1</v>
      </c>
      <c r="S19" s="9">
        <v>0.36367100000000002</v>
      </c>
      <c r="T19" s="8">
        <v>71.900000000000006</v>
      </c>
      <c r="U19" s="8">
        <v>70</v>
      </c>
      <c r="V19" s="8" t="s">
        <v>38</v>
      </c>
      <c r="W19" s="8">
        <v>72.7</v>
      </c>
      <c r="X19" s="8" t="s">
        <v>38</v>
      </c>
      <c r="Y19" s="9">
        <v>0.71324500000000002</v>
      </c>
      <c r="Z19" s="8" t="s">
        <v>38</v>
      </c>
      <c r="AA19" s="8" t="s">
        <v>38</v>
      </c>
      <c r="AB19" s="8" t="s">
        <v>38</v>
      </c>
      <c r="AC19" s="8" t="s">
        <v>38</v>
      </c>
      <c r="AD19" s="8" t="s">
        <v>38</v>
      </c>
      <c r="AE19" s="9" t="s">
        <v>38</v>
      </c>
      <c r="AF19" s="8" t="s">
        <v>38</v>
      </c>
      <c r="AG19" s="8" t="s">
        <v>38</v>
      </c>
      <c r="AH19" s="8" t="s">
        <v>38</v>
      </c>
      <c r="AI19" s="8" t="s">
        <v>38</v>
      </c>
      <c r="AJ19" s="8" t="s">
        <v>38</v>
      </c>
      <c r="AK19" s="9" t="s">
        <v>38</v>
      </c>
      <c r="AL19" s="8" t="s">
        <v>38</v>
      </c>
      <c r="AM19" s="8" t="s">
        <v>38</v>
      </c>
      <c r="AN19" s="8" t="s">
        <v>38</v>
      </c>
      <c r="AO19" s="8" t="s">
        <v>38</v>
      </c>
      <c r="AP19" s="8" t="s">
        <v>38</v>
      </c>
      <c r="AQ19" s="9" t="s">
        <v>38</v>
      </c>
      <c r="AR19" s="8" t="s">
        <v>38</v>
      </c>
      <c r="AS19" s="8" t="s">
        <v>38</v>
      </c>
      <c r="AT19" s="8" t="s">
        <v>38</v>
      </c>
      <c r="AU19" s="8" t="s">
        <v>38</v>
      </c>
      <c r="AV19" s="8" t="s">
        <v>38</v>
      </c>
      <c r="AW19" s="9" t="s">
        <v>38</v>
      </c>
      <c r="AX19" s="8" t="s">
        <v>38</v>
      </c>
      <c r="AY19" s="8" t="s">
        <v>38</v>
      </c>
      <c r="AZ19" s="8" t="s">
        <v>38</v>
      </c>
      <c r="BA19" s="8" t="s">
        <v>38</v>
      </c>
      <c r="BB19" s="8" t="s">
        <v>38</v>
      </c>
      <c r="BC19" s="9" t="s">
        <v>38</v>
      </c>
      <c r="BD19" s="8" t="s">
        <v>38</v>
      </c>
      <c r="BE19" s="8" t="s">
        <v>38</v>
      </c>
      <c r="BF19" s="8" t="s">
        <v>38</v>
      </c>
      <c r="BG19" s="8" t="s">
        <v>38</v>
      </c>
      <c r="BH19" s="8" t="s">
        <v>38</v>
      </c>
      <c r="BI19" s="9" t="s">
        <v>38</v>
      </c>
      <c r="BJ19" s="8" t="s">
        <v>38</v>
      </c>
      <c r="BK19" s="8" t="s">
        <v>38</v>
      </c>
      <c r="BL19" s="8" t="s">
        <v>38</v>
      </c>
      <c r="BM19" s="8" t="s">
        <v>38</v>
      </c>
      <c r="BN19" s="8" t="s">
        <v>38</v>
      </c>
      <c r="BO19" s="9" t="s">
        <v>38</v>
      </c>
      <c r="BP19" s="9">
        <v>218.64</v>
      </c>
      <c r="BQ19" s="9">
        <v>193.7</v>
      </c>
      <c r="BR19" s="9">
        <v>3.538929</v>
      </c>
      <c r="BS19" s="9">
        <v>251.32</v>
      </c>
      <c r="BT19" s="9">
        <v>242.04</v>
      </c>
      <c r="BU19" s="9">
        <v>4.8893329999999997</v>
      </c>
      <c r="BV19" s="9" t="s">
        <v>38</v>
      </c>
      <c r="BW19" s="9" t="s">
        <v>38</v>
      </c>
      <c r="BX19" s="9" t="s">
        <v>38</v>
      </c>
      <c r="BY19" s="9" t="s">
        <v>38</v>
      </c>
      <c r="BZ19" s="9" t="s">
        <v>38</v>
      </c>
      <c r="CA19" s="9" t="s">
        <v>38</v>
      </c>
      <c r="CB19" s="9" t="s">
        <v>38</v>
      </c>
      <c r="CC19" s="9" t="s">
        <v>38</v>
      </c>
      <c r="CD19" s="9" t="s">
        <v>38</v>
      </c>
      <c r="CE19" s="9" t="s">
        <v>38</v>
      </c>
      <c r="CF19" s="9" t="s">
        <v>38</v>
      </c>
      <c r="CG19" s="9" t="s">
        <v>38</v>
      </c>
      <c r="CH19" s="9" t="s">
        <v>38</v>
      </c>
      <c r="CI19" s="9" t="s">
        <v>38</v>
      </c>
      <c r="CJ19" s="9" t="s">
        <v>38</v>
      </c>
      <c r="CK19" s="29" t="s">
        <v>38</v>
      </c>
      <c r="CL19" s="29" t="s">
        <v>38</v>
      </c>
      <c r="CM19" s="9" t="s">
        <v>38</v>
      </c>
      <c r="CN19" s="29" t="s">
        <v>38</v>
      </c>
      <c r="CO19" s="29" t="s">
        <v>38</v>
      </c>
      <c r="CP19" s="9" t="s">
        <v>38</v>
      </c>
      <c r="CQ19" s="29" t="s">
        <v>38</v>
      </c>
      <c r="CR19" s="29" t="s">
        <v>38</v>
      </c>
      <c r="CS19" s="9" t="s">
        <v>38</v>
      </c>
      <c r="CT19" s="8">
        <v>1.4</v>
      </c>
      <c r="CU19" s="8">
        <v>1.8</v>
      </c>
      <c r="CV19" s="8" t="s">
        <v>38</v>
      </c>
      <c r="CW19" s="8" t="s">
        <v>38</v>
      </c>
      <c r="CX19" s="8" t="s">
        <v>38</v>
      </c>
      <c r="CY19" s="8" t="s">
        <v>38</v>
      </c>
      <c r="CZ19" s="8" t="s">
        <v>38</v>
      </c>
      <c r="DA19" s="8" t="s">
        <v>38</v>
      </c>
      <c r="DB19" s="8" t="s">
        <v>38</v>
      </c>
      <c r="DC19" s="8" t="s">
        <v>38</v>
      </c>
      <c r="DD19" s="8">
        <v>1.5</v>
      </c>
      <c r="DE19" s="8">
        <v>1.9</v>
      </c>
      <c r="DF19" s="8">
        <v>2.4</v>
      </c>
      <c r="DG19" s="8">
        <v>3</v>
      </c>
      <c r="DH19" s="8">
        <v>3.5</v>
      </c>
      <c r="DI19" s="8">
        <v>3.7</v>
      </c>
      <c r="DJ19" s="8">
        <v>4</v>
      </c>
      <c r="DK19" s="22">
        <v>4.3</v>
      </c>
    </row>
    <row r="20" spans="1:115" ht="14.15" customHeight="1" x14ac:dyDescent="0.25">
      <c r="A20" s="6" t="s">
        <v>22</v>
      </c>
      <c r="B20" s="6">
        <v>3126802</v>
      </c>
      <c r="C20" s="6" t="s">
        <v>59</v>
      </c>
      <c r="D20" s="6" t="str">
        <f>VLOOKUP(B20,Planilha1!$A:$B,2,0)</f>
        <v>Vale do Mucuri</v>
      </c>
      <c r="E20" s="7">
        <v>31151556</v>
      </c>
      <c r="F20" s="6" t="s">
        <v>72</v>
      </c>
      <c r="G20" s="6" t="s">
        <v>19</v>
      </c>
      <c r="H20" s="8" t="s">
        <v>38</v>
      </c>
      <c r="I20" s="8" t="s">
        <v>38</v>
      </c>
      <c r="J20" s="8" t="s">
        <v>38</v>
      </c>
      <c r="K20" s="8" t="s">
        <v>38</v>
      </c>
      <c r="L20" s="8" t="s">
        <v>38</v>
      </c>
      <c r="M20" s="9" t="s">
        <v>38</v>
      </c>
      <c r="N20" s="8" t="s">
        <v>38</v>
      </c>
      <c r="O20" s="8" t="s">
        <v>38</v>
      </c>
      <c r="P20" s="8" t="s">
        <v>38</v>
      </c>
      <c r="Q20" s="8" t="s">
        <v>38</v>
      </c>
      <c r="R20" s="8" t="s">
        <v>38</v>
      </c>
      <c r="S20" s="9" t="s">
        <v>38</v>
      </c>
      <c r="T20" s="8" t="s">
        <v>38</v>
      </c>
      <c r="U20" s="8" t="s">
        <v>38</v>
      </c>
      <c r="V20" s="8" t="s">
        <v>38</v>
      </c>
      <c r="W20" s="8" t="s">
        <v>38</v>
      </c>
      <c r="X20" s="8" t="s">
        <v>38</v>
      </c>
      <c r="Y20" s="9" t="s">
        <v>38</v>
      </c>
      <c r="Z20" s="8" t="s">
        <v>38</v>
      </c>
      <c r="AA20" s="8" t="s">
        <v>38</v>
      </c>
      <c r="AB20" s="8" t="s">
        <v>38</v>
      </c>
      <c r="AC20" s="8" t="s">
        <v>38</v>
      </c>
      <c r="AD20" s="8" t="s">
        <v>38</v>
      </c>
      <c r="AE20" s="9" t="s">
        <v>38</v>
      </c>
      <c r="AF20" s="8" t="s">
        <v>38</v>
      </c>
      <c r="AG20" s="8" t="s">
        <v>38</v>
      </c>
      <c r="AH20" s="8" t="s">
        <v>38</v>
      </c>
      <c r="AI20" s="8" t="s">
        <v>38</v>
      </c>
      <c r="AJ20" s="8" t="s">
        <v>38</v>
      </c>
      <c r="AK20" s="9" t="s">
        <v>38</v>
      </c>
      <c r="AL20" s="8" t="s">
        <v>38</v>
      </c>
      <c r="AM20" s="8" t="s">
        <v>38</v>
      </c>
      <c r="AN20" s="8" t="s">
        <v>38</v>
      </c>
      <c r="AO20" s="8" t="s">
        <v>38</v>
      </c>
      <c r="AP20" s="8" t="s">
        <v>38</v>
      </c>
      <c r="AQ20" s="9" t="s">
        <v>38</v>
      </c>
      <c r="AR20" s="8">
        <v>88.2</v>
      </c>
      <c r="AS20" s="8">
        <v>70</v>
      </c>
      <c r="AT20" s="8">
        <v>92.3</v>
      </c>
      <c r="AU20" s="8">
        <v>86.7</v>
      </c>
      <c r="AV20" s="8">
        <v>100</v>
      </c>
      <c r="AW20" s="9">
        <v>0.85737600000000003</v>
      </c>
      <c r="AX20" s="8">
        <v>91.5</v>
      </c>
      <c r="AY20" s="8">
        <v>83.3</v>
      </c>
      <c r="AZ20" s="8">
        <v>95.8</v>
      </c>
      <c r="BA20" s="8">
        <v>90</v>
      </c>
      <c r="BB20" s="8">
        <v>92.3</v>
      </c>
      <c r="BC20" s="9">
        <v>0.90113299999999996</v>
      </c>
      <c r="BD20" s="8" t="s">
        <v>38</v>
      </c>
      <c r="BE20" s="8" t="s">
        <v>38</v>
      </c>
      <c r="BF20" s="8" t="s">
        <v>38</v>
      </c>
      <c r="BG20" s="8" t="s">
        <v>38</v>
      </c>
      <c r="BH20" s="8" t="s">
        <v>38</v>
      </c>
      <c r="BI20" s="9" t="s">
        <v>38</v>
      </c>
      <c r="BJ20" s="8">
        <v>84.7</v>
      </c>
      <c r="BK20" s="8">
        <v>71.400000000000006</v>
      </c>
      <c r="BL20" s="8">
        <v>88.2</v>
      </c>
      <c r="BM20" s="8">
        <v>82.4</v>
      </c>
      <c r="BN20" s="8">
        <v>100</v>
      </c>
      <c r="BO20" s="9">
        <v>0.84247099999999997</v>
      </c>
      <c r="BP20" s="9" t="s">
        <v>38</v>
      </c>
      <c r="BQ20" s="9" t="s">
        <v>38</v>
      </c>
      <c r="BR20" s="9" t="s">
        <v>38</v>
      </c>
      <c r="BS20" s="9" t="s">
        <v>38</v>
      </c>
      <c r="BT20" s="9" t="s">
        <v>38</v>
      </c>
      <c r="BU20" s="9" t="s">
        <v>38</v>
      </c>
      <c r="BV20" s="9" t="s">
        <v>38</v>
      </c>
      <c r="BW20" s="9" t="s">
        <v>38</v>
      </c>
      <c r="BX20" s="9" t="s">
        <v>38</v>
      </c>
      <c r="BY20" s="9" t="s">
        <v>38</v>
      </c>
      <c r="BZ20" s="9" t="s">
        <v>38</v>
      </c>
      <c r="CA20" s="9" t="s">
        <v>38</v>
      </c>
      <c r="CB20" s="9" t="s">
        <v>38</v>
      </c>
      <c r="CC20" s="9" t="s">
        <v>38</v>
      </c>
      <c r="CD20" s="9" t="s">
        <v>38</v>
      </c>
      <c r="CE20" s="9" t="s">
        <v>38</v>
      </c>
      <c r="CF20" s="9" t="s">
        <v>38</v>
      </c>
      <c r="CG20" s="9" t="s">
        <v>38</v>
      </c>
      <c r="CH20" s="9">
        <v>257</v>
      </c>
      <c r="CI20" s="9">
        <v>253.13</v>
      </c>
      <c r="CJ20" s="9">
        <v>5.1688330000000002</v>
      </c>
      <c r="CK20" s="9">
        <v>220.23</v>
      </c>
      <c r="CL20" s="9">
        <v>231.86</v>
      </c>
      <c r="CM20" s="9">
        <v>4.2015000000000002</v>
      </c>
      <c r="CN20" s="9" t="s">
        <v>38</v>
      </c>
      <c r="CO20" s="9" t="s">
        <v>38</v>
      </c>
      <c r="CP20" s="9" t="s">
        <v>38</v>
      </c>
      <c r="CQ20" s="9">
        <v>251.4</v>
      </c>
      <c r="CR20" s="9">
        <v>248.77</v>
      </c>
      <c r="CS20" s="9">
        <v>5.0028329999999999</v>
      </c>
      <c r="CT20" s="8" t="s">
        <v>38</v>
      </c>
      <c r="CU20" s="8" t="s">
        <v>38</v>
      </c>
      <c r="CV20" s="8" t="s">
        <v>38</v>
      </c>
      <c r="CW20" s="8" t="s">
        <v>38</v>
      </c>
      <c r="CX20" s="8" t="s">
        <v>38</v>
      </c>
      <c r="CY20" s="8" t="s">
        <v>38</v>
      </c>
      <c r="CZ20" s="8">
        <v>4.4000000000000004</v>
      </c>
      <c r="DA20" s="8">
        <v>3.8</v>
      </c>
      <c r="DB20" s="8" t="s">
        <v>38</v>
      </c>
      <c r="DC20" s="8">
        <v>4.2</v>
      </c>
      <c r="DD20" s="8" t="s">
        <v>38</v>
      </c>
      <c r="DE20" s="8" t="s">
        <v>38</v>
      </c>
      <c r="DF20" s="8" t="s">
        <v>38</v>
      </c>
      <c r="DG20" s="8" t="s">
        <v>38</v>
      </c>
      <c r="DH20" s="8" t="s">
        <v>38</v>
      </c>
      <c r="DI20" s="8" t="s">
        <v>38</v>
      </c>
      <c r="DJ20" s="8">
        <v>4.7</v>
      </c>
      <c r="DK20" s="22">
        <v>4.9000000000000004</v>
      </c>
    </row>
    <row r="21" spans="1:115" ht="14.15" customHeight="1" x14ac:dyDescent="0.25">
      <c r="A21" s="6" t="s">
        <v>22</v>
      </c>
      <c r="B21" s="6">
        <v>3126802</v>
      </c>
      <c r="C21" s="6" t="s">
        <v>59</v>
      </c>
      <c r="D21" s="6" t="str">
        <f>VLOOKUP(B21,Planilha1!$A:$B,2,0)</f>
        <v>Vale do Mucuri</v>
      </c>
      <c r="E21" s="7">
        <v>31151599</v>
      </c>
      <c r="F21" s="6" t="s">
        <v>23</v>
      </c>
      <c r="G21" s="6" t="s">
        <v>19</v>
      </c>
      <c r="H21" s="8" t="s">
        <v>38</v>
      </c>
      <c r="I21" s="8" t="s">
        <v>38</v>
      </c>
      <c r="J21" s="8" t="s">
        <v>38</v>
      </c>
      <c r="K21" s="8" t="s">
        <v>38</v>
      </c>
      <c r="L21" s="8" t="s">
        <v>38</v>
      </c>
      <c r="M21" s="9" t="s">
        <v>38</v>
      </c>
      <c r="N21" s="8" t="s">
        <v>38</v>
      </c>
      <c r="O21" s="8" t="s">
        <v>38</v>
      </c>
      <c r="P21" s="8" t="s">
        <v>38</v>
      </c>
      <c r="Q21" s="8" t="s">
        <v>38</v>
      </c>
      <c r="R21" s="8" t="s">
        <v>38</v>
      </c>
      <c r="S21" s="9" t="s">
        <v>38</v>
      </c>
      <c r="T21" s="8">
        <v>67.3</v>
      </c>
      <c r="U21" s="8">
        <v>49.2</v>
      </c>
      <c r="V21" s="8">
        <v>64.3</v>
      </c>
      <c r="W21" s="8">
        <v>92.9</v>
      </c>
      <c r="X21" s="8">
        <v>85.7</v>
      </c>
      <c r="Y21" s="9">
        <v>0.68598700000000001</v>
      </c>
      <c r="Z21" s="8">
        <v>80.3</v>
      </c>
      <c r="AA21" s="8">
        <v>71.2</v>
      </c>
      <c r="AB21" s="8">
        <v>75.599999999999994</v>
      </c>
      <c r="AC21" s="8">
        <v>95.6</v>
      </c>
      <c r="AD21" s="8">
        <v>86.2</v>
      </c>
      <c r="AE21" s="9">
        <v>0.81080600000000003</v>
      </c>
      <c r="AF21" s="8">
        <v>96.4</v>
      </c>
      <c r="AG21" s="8">
        <v>93.6</v>
      </c>
      <c r="AH21" s="8">
        <v>95.5</v>
      </c>
      <c r="AI21" s="8">
        <v>100</v>
      </c>
      <c r="AJ21" s="8">
        <v>100</v>
      </c>
      <c r="AK21" s="9">
        <v>0.97193600000000002</v>
      </c>
      <c r="AL21" s="8">
        <v>91.1</v>
      </c>
      <c r="AM21" s="8">
        <v>73.3</v>
      </c>
      <c r="AN21" s="8">
        <v>92.3</v>
      </c>
      <c r="AO21" s="8">
        <v>91.8</v>
      </c>
      <c r="AP21" s="8">
        <v>100</v>
      </c>
      <c r="AQ21" s="9">
        <v>0.88163899999999995</v>
      </c>
      <c r="AR21" s="8">
        <v>78.8</v>
      </c>
      <c r="AS21" s="8">
        <v>69.099999999999994</v>
      </c>
      <c r="AT21" s="8">
        <v>74.400000000000006</v>
      </c>
      <c r="AU21" s="8">
        <v>84.4</v>
      </c>
      <c r="AV21" s="8">
        <v>100</v>
      </c>
      <c r="AW21" s="9">
        <v>0.80384299999999997</v>
      </c>
      <c r="AX21" s="8">
        <v>68.8</v>
      </c>
      <c r="AY21" s="8">
        <v>58.8</v>
      </c>
      <c r="AZ21" s="8">
        <v>68.400000000000006</v>
      </c>
      <c r="BA21" s="8">
        <v>76.5</v>
      </c>
      <c r="BB21" s="8">
        <v>81</v>
      </c>
      <c r="BC21" s="9">
        <v>0.70121</v>
      </c>
      <c r="BD21" s="8">
        <v>96.2</v>
      </c>
      <c r="BE21" s="8">
        <v>96.2</v>
      </c>
      <c r="BF21" s="8">
        <v>94.9</v>
      </c>
      <c r="BG21" s="8">
        <v>96.6</v>
      </c>
      <c r="BH21" s="8">
        <v>96.9</v>
      </c>
      <c r="BI21" s="9">
        <v>0.96143900000000004</v>
      </c>
      <c r="BJ21" s="8">
        <v>80.2</v>
      </c>
      <c r="BK21" s="8">
        <v>84.2</v>
      </c>
      <c r="BL21" s="8">
        <v>77.099999999999994</v>
      </c>
      <c r="BM21" s="8">
        <v>68.8</v>
      </c>
      <c r="BN21" s="8">
        <v>87.1</v>
      </c>
      <c r="BO21" s="9">
        <v>0.78643300000000005</v>
      </c>
      <c r="BP21" s="9" t="s">
        <v>38</v>
      </c>
      <c r="BQ21" s="9" t="s">
        <v>38</v>
      </c>
      <c r="BR21" s="9" t="s">
        <v>38</v>
      </c>
      <c r="BS21" s="9" t="s">
        <v>38</v>
      </c>
      <c r="BT21" s="9" t="s">
        <v>38</v>
      </c>
      <c r="BU21" s="9" t="s">
        <v>38</v>
      </c>
      <c r="BV21" s="9">
        <v>232.72</v>
      </c>
      <c r="BW21" s="9">
        <v>236.04</v>
      </c>
      <c r="BX21" s="9">
        <v>4.4793329999999996</v>
      </c>
      <c r="BY21" s="9">
        <v>237.02</v>
      </c>
      <c r="BZ21" s="9">
        <v>238.33</v>
      </c>
      <c r="CA21" s="9">
        <v>4.5891669999999998</v>
      </c>
      <c r="CB21" s="9">
        <v>225.85</v>
      </c>
      <c r="CC21" s="9">
        <v>223.96</v>
      </c>
      <c r="CD21" s="9">
        <v>4.1635</v>
      </c>
      <c r="CE21" s="9" t="s">
        <v>198</v>
      </c>
      <c r="CF21" s="9" t="s">
        <v>207</v>
      </c>
      <c r="CG21" s="9">
        <v>4.4066669999999997</v>
      </c>
      <c r="CH21" s="9" t="s">
        <v>39</v>
      </c>
      <c r="CI21" s="9" t="s">
        <v>39</v>
      </c>
      <c r="CJ21" s="9" t="s">
        <v>38</v>
      </c>
      <c r="CK21" s="9" t="s">
        <v>39</v>
      </c>
      <c r="CL21" s="9" t="s">
        <v>39</v>
      </c>
      <c r="CM21" s="9" t="s">
        <v>38</v>
      </c>
      <c r="CN21" s="9" t="s">
        <v>39</v>
      </c>
      <c r="CO21" s="9" t="s">
        <v>39</v>
      </c>
      <c r="CP21" s="9" t="s">
        <v>38</v>
      </c>
      <c r="CQ21" s="9">
        <v>220.35</v>
      </c>
      <c r="CR21" s="9">
        <v>224.38</v>
      </c>
      <c r="CS21" s="9">
        <v>4.0788330000000004</v>
      </c>
      <c r="CT21" s="8" t="s">
        <v>38</v>
      </c>
      <c r="CU21" s="8" t="s">
        <v>38</v>
      </c>
      <c r="CV21" s="8">
        <v>3.1</v>
      </c>
      <c r="CW21" s="8">
        <v>3.7</v>
      </c>
      <c r="CX21" s="8">
        <v>4</v>
      </c>
      <c r="CY21" s="8">
        <v>3.9</v>
      </c>
      <c r="CZ21" s="8" t="s">
        <v>38</v>
      </c>
      <c r="DA21" s="8" t="s">
        <v>38</v>
      </c>
      <c r="DB21" s="8" t="s">
        <v>38</v>
      </c>
      <c r="DC21" s="8">
        <v>3.2</v>
      </c>
      <c r="DD21" s="8" t="s">
        <v>38</v>
      </c>
      <c r="DE21" s="8" t="s">
        <v>38</v>
      </c>
      <c r="DF21" s="8">
        <v>3.2</v>
      </c>
      <c r="DG21" s="8">
        <v>3.5</v>
      </c>
      <c r="DH21" s="8">
        <v>3.8</v>
      </c>
      <c r="DI21" s="8">
        <v>4.0999999999999996</v>
      </c>
      <c r="DJ21" s="8">
        <v>4.4000000000000004</v>
      </c>
      <c r="DK21" s="22">
        <v>4.5999999999999996</v>
      </c>
    </row>
    <row r="22" spans="1:115" ht="14.15" customHeight="1" x14ac:dyDescent="0.25">
      <c r="A22" s="6" t="s">
        <v>22</v>
      </c>
      <c r="B22" s="6">
        <v>3127057</v>
      </c>
      <c r="C22" s="6" t="s">
        <v>60</v>
      </c>
      <c r="D22" s="6" t="str">
        <f>VLOOKUP(B22,Planilha1!$A:$B,2,0)</f>
        <v>Vale do Mucuri</v>
      </c>
      <c r="E22" s="7">
        <v>31146722</v>
      </c>
      <c r="F22" s="6" t="s">
        <v>244</v>
      </c>
      <c r="G22" s="6" t="s">
        <v>19</v>
      </c>
      <c r="H22" s="8" t="s">
        <v>38</v>
      </c>
      <c r="I22" s="8" t="s">
        <v>38</v>
      </c>
      <c r="J22" s="8" t="s">
        <v>38</v>
      </c>
      <c r="K22" s="8" t="s">
        <v>38</v>
      </c>
      <c r="L22" s="8" t="s">
        <v>38</v>
      </c>
      <c r="M22" s="9" t="s">
        <v>38</v>
      </c>
      <c r="N22" s="8" t="s">
        <v>38</v>
      </c>
      <c r="O22" s="8" t="s">
        <v>38</v>
      </c>
      <c r="P22" s="8" t="s">
        <v>38</v>
      </c>
      <c r="Q22" s="8" t="s">
        <v>38</v>
      </c>
      <c r="R22" s="8" t="s">
        <v>38</v>
      </c>
      <c r="S22" s="9" t="s">
        <v>38</v>
      </c>
      <c r="T22" s="8">
        <v>72.2</v>
      </c>
      <c r="U22" s="8">
        <v>57.5</v>
      </c>
      <c r="V22" s="8">
        <v>82.8</v>
      </c>
      <c r="W22" s="8">
        <v>94.1</v>
      </c>
      <c r="X22" s="8">
        <v>69</v>
      </c>
      <c r="Y22" s="9">
        <v>0.73275699999999999</v>
      </c>
      <c r="Z22" s="8">
        <v>69.099999999999994</v>
      </c>
      <c r="AA22" s="8">
        <v>45.7</v>
      </c>
      <c r="AB22" s="8">
        <v>60.9</v>
      </c>
      <c r="AC22" s="8">
        <v>100</v>
      </c>
      <c r="AD22" s="8">
        <v>95</v>
      </c>
      <c r="AE22" s="9">
        <v>0.67994200000000005</v>
      </c>
      <c r="AF22" s="8">
        <v>86.7</v>
      </c>
      <c r="AG22" s="8">
        <v>66.7</v>
      </c>
      <c r="AH22" s="8">
        <v>95.8</v>
      </c>
      <c r="AI22" s="8">
        <v>100</v>
      </c>
      <c r="AJ22" s="8">
        <v>100</v>
      </c>
      <c r="AK22" s="9">
        <v>0.88045799999999996</v>
      </c>
      <c r="AL22" s="8" t="s">
        <v>38</v>
      </c>
      <c r="AM22" s="8" t="s">
        <v>38</v>
      </c>
      <c r="AN22" s="8" t="s">
        <v>38</v>
      </c>
      <c r="AO22" s="8" t="s">
        <v>38</v>
      </c>
      <c r="AP22" s="8" t="s">
        <v>38</v>
      </c>
      <c r="AQ22" s="9" t="s">
        <v>38</v>
      </c>
      <c r="AR22" s="8">
        <v>94.7</v>
      </c>
      <c r="AS22" s="8">
        <v>96.2</v>
      </c>
      <c r="AT22" s="8">
        <v>88.9</v>
      </c>
      <c r="AU22" s="8">
        <v>100</v>
      </c>
      <c r="AV22" s="8">
        <v>94.1</v>
      </c>
      <c r="AW22" s="9">
        <v>0.94628400000000001</v>
      </c>
      <c r="AX22" s="8">
        <v>84</v>
      </c>
      <c r="AY22" s="8">
        <v>79.2</v>
      </c>
      <c r="AZ22" s="8">
        <v>80</v>
      </c>
      <c r="BA22" s="8">
        <v>89.7</v>
      </c>
      <c r="BB22" s="8">
        <v>85.7</v>
      </c>
      <c r="BC22" s="9">
        <v>0.83432200000000001</v>
      </c>
      <c r="BD22" s="8" t="s">
        <v>38</v>
      </c>
      <c r="BE22" s="8" t="s">
        <v>38</v>
      </c>
      <c r="BF22" s="8" t="s">
        <v>38</v>
      </c>
      <c r="BG22" s="8" t="s">
        <v>38</v>
      </c>
      <c r="BH22" s="8" t="s">
        <v>38</v>
      </c>
      <c r="BI22" s="9" t="s">
        <v>38</v>
      </c>
      <c r="BJ22" s="8">
        <v>100</v>
      </c>
      <c r="BK22" s="8">
        <v>100</v>
      </c>
      <c r="BL22" s="8">
        <v>100</v>
      </c>
      <c r="BM22" s="8">
        <v>100</v>
      </c>
      <c r="BN22" s="8">
        <v>100</v>
      </c>
      <c r="BO22" s="9">
        <v>1</v>
      </c>
      <c r="BP22" s="9" t="s">
        <v>38</v>
      </c>
      <c r="BQ22" s="9" t="s">
        <v>38</v>
      </c>
      <c r="BR22" s="9" t="s">
        <v>38</v>
      </c>
      <c r="BS22" s="9" t="s">
        <v>38</v>
      </c>
      <c r="BT22" s="9" t="s">
        <v>38</v>
      </c>
      <c r="BU22" s="9" t="s">
        <v>38</v>
      </c>
      <c r="BV22" s="9">
        <v>214.23</v>
      </c>
      <c r="BW22" s="9">
        <v>213.85</v>
      </c>
      <c r="BX22" s="9">
        <v>3.8013330000000001</v>
      </c>
      <c r="BY22" s="9">
        <v>248.07</v>
      </c>
      <c r="BZ22" s="9">
        <v>242.67</v>
      </c>
      <c r="CA22" s="9">
        <v>4.8456669999999997</v>
      </c>
      <c r="CB22" s="9" t="s">
        <v>38</v>
      </c>
      <c r="CC22" s="9" t="s">
        <v>38</v>
      </c>
      <c r="CD22" s="9" t="s">
        <v>38</v>
      </c>
      <c r="CE22" s="9" t="s">
        <v>38</v>
      </c>
      <c r="CF22" s="9" t="s">
        <v>38</v>
      </c>
      <c r="CG22" s="9" t="s">
        <v>38</v>
      </c>
      <c r="CH22" s="9" t="s">
        <v>39</v>
      </c>
      <c r="CI22" s="9" t="s">
        <v>39</v>
      </c>
      <c r="CJ22" s="9" t="s">
        <v>38</v>
      </c>
      <c r="CK22" s="9" t="s">
        <v>39</v>
      </c>
      <c r="CL22" s="9" t="s">
        <v>39</v>
      </c>
      <c r="CM22" s="9" t="s">
        <v>38</v>
      </c>
      <c r="CN22" s="9" t="s">
        <v>38</v>
      </c>
      <c r="CO22" s="9" t="s">
        <v>38</v>
      </c>
      <c r="CP22" s="9" t="s">
        <v>38</v>
      </c>
      <c r="CQ22" s="9">
        <v>213.35</v>
      </c>
      <c r="CR22" s="9">
        <v>207.76</v>
      </c>
      <c r="CS22" s="9">
        <v>3.6851669999999999</v>
      </c>
      <c r="CT22" s="8" t="s">
        <v>38</v>
      </c>
      <c r="CU22" s="8" t="s">
        <v>38</v>
      </c>
      <c r="CV22" s="8">
        <v>2.8</v>
      </c>
      <c r="CW22" s="8">
        <v>3.3</v>
      </c>
      <c r="CX22" s="8" t="s">
        <v>38</v>
      </c>
      <c r="CY22" s="8" t="s">
        <v>38</v>
      </c>
      <c r="CZ22" s="8" t="s">
        <v>38</v>
      </c>
      <c r="DA22" s="8" t="s">
        <v>38</v>
      </c>
      <c r="DB22" s="8" t="s">
        <v>38</v>
      </c>
      <c r="DC22" s="8">
        <v>3.7</v>
      </c>
      <c r="DD22" s="8" t="s">
        <v>38</v>
      </c>
      <c r="DE22" s="8" t="s">
        <v>38</v>
      </c>
      <c r="DF22" s="8">
        <v>2.9</v>
      </c>
      <c r="DG22" s="8">
        <v>3.2</v>
      </c>
      <c r="DH22" s="8">
        <v>3.5</v>
      </c>
      <c r="DI22" s="8">
        <v>3.8</v>
      </c>
      <c r="DJ22" s="8">
        <v>4.0999999999999996</v>
      </c>
      <c r="DK22" s="22">
        <v>4.3</v>
      </c>
    </row>
    <row r="23" spans="1:115" ht="14.15" customHeight="1" x14ac:dyDescent="0.25">
      <c r="A23" s="6" t="s">
        <v>22</v>
      </c>
      <c r="B23" s="6">
        <v>3132305</v>
      </c>
      <c r="C23" s="6" t="s">
        <v>61</v>
      </c>
      <c r="D23" s="6" t="str">
        <f>VLOOKUP(B23,Planilha1!$A:$B,2,0)</f>
        <v>Vale do Mucuri</v>
      </c>
      <c r="E23" s="7">
        <v>31338478</v>
      </c>
      <c r="F23" s="6" t="s">
        <v>36</v>
      </c>
      <c r="G23" s="6" t="s">
        <v>19</v>
      </c>
      <c r="H23" s="8" t="s">
        <v>38</v>
      </c>
      <c r="I23" s="8" t="s">
        <v>38</v>
      </c>
      <c r="J23" s="8" t="s">
        <v>38</v>
      </c>
      <c r="K23" s="8" t="s">
        <v>38</v>
      </c>
      <c r="L23" s="8" t="s">
        <v>38</v>
      </c>
      <c r="M23" s="9" t="s">
        <v>38</v>
      </c>
      <c r="N23" s="8" t="s">
        <v>38</v>
      </c>
      <c r="O23" s="8" t="s">
        <v>38</v>
      </c>
      <c r="P23" s="8" t="s">
        <v>38</v>
      </c>
      <c r="Q23" s="8" t="s">
        <v>38</v>
      </c>
      <c r="R23" s="8" t="s">
        <v>38</v>
      </c>
      <c r="S23" s="9" t="s">
        <v>38</v>
      </c>
      <c r="T23" s="8" t="s">
        <v>38</v>
      </c>
      <c r="U23" s="8" t="s">
        <v>38</v>
      </c>
      <c r="V23" s="8" t="s">
        <v>38</v>
      </c>
      <c r="W23" s="8" t="s">
        <v>38</v>
      </c>
      <c r="X23" s="8" t="s">
        <v>38</v>
      </c>
      <c r="Y23" s="9" t="s">
        <v>38</v>
      </c>
      <c r="Z23" s="8">
        <v>73.2</v>
      </c>
      <c r="AA23" s="8">
        <v>61</v>
      </c>
      <c r="AB23" s="8">
        <v>80</v>
      </c>
      <c r="AC23" s="8">
        <v>88</v>
      </c>
      <c r="AD23" s="8">
        <v>76.8</v>
      </c>
      <c r="AE23" s="9">
        <v>0.75078</v>
      </c>
      <c r="AF23" s="8">
        <v>87.8</v>
      </c>
      <c r="AG23" s="8">
        <v>82.6</v>
      </c>
      <c r="AH23" s="8">
        <v>89.7</v>
      </c>
      <c r="AI23" s="8">
        <v>93.4</v>
      </c>
      <c r="AJ23" s="8">
        <v>89.4</v>
      </c>
      <c r="AK23" s="9">
        <v>0.885992</v>
      </c>
      <c r="AL23" s="8">
        <v>73.599999999999994</v>
      </c>
      <c r="AM23" s="8">
        <v>61.8</v>
      </c>
      <c r="AN23" s="8">
        <v>80.8</v>
      </c>
      <c r="AO23" s="8">
        <v>84.3</v>
      </c>
      <c r="AP23" s="8">
        <v>87</v>
      </c>
      <c r="AQ23" s="9">
        <v>0.77050300000000005</v>
      </c>
      <c r="AR23" s="8">
        <v>61.8</v>
      </c>
      <c r="AS23" s="8">
        <v>44.3</v>
      </c>
      <c r="AT23" s="8">
        <v>64.7</v>
      </c>
      <c r="AU23" s="8">
        <v>79.400000000000006</v>
      </c>
      <c r="AV23" s="8">
        <v>86.4</v>
      </c>
      <c r="AW23" s="9">
        <v>0.64310900000000004</v>
      </c>
      <c r="AX23" s="8">
        <v>44.8</v>
      </c>
      <c r="AY23" s="8">
        <v>35.1</v>
      </c>
      <c r="AZ23" s="8">
        <v>38.299999999999997</v>
      </c>
      <c r="BA23" s="8">
        <v>56.9</v>
      </c>
      <c r="BB23" s="8">
        <v>74.5</v>
      </c>
      <c r="BC23" s="9">
        <v>0.46730500000000003</v>
      </c>
      <c r="BD23" s="8">
        <v>99.3</v>
      </c>
      <c r="BE23" s="8">
        <v>98.9</v>
      </c>
      <c r="BF23" s="8">
        <v>100</v>
      </c>
      <c r="BG23" s="8">
        <v>98.9</v>
      </c>
      <c r="BH23" s="8">
        <v>98.1</v>
      </c>
      <c r="BI23" s="9">
        <v>0.98970400000000003</v>
      </c>
      <c r="BJ23" s="8">
        <v>62.6</v>
      </c>
      <c r="BK23" s="8">
        <v>58.8</v>
      </c>
      <c r="BL23" s="8">
        <v>62.3</v>
      </c>
      <c r="BM23" s="8">
        <v>54.1</v>
      </c>
      <c r="BN23" s="8">
        <v>81.900000000000006</v>
      </c>
      <c r="BO23" s="9">
        <v>0.62742699999999996</v>
      </c>
      <c r="BP23" s="9" t="s">
        <v>38</v>
      </c>
      <c r="BQ23" s="9" t="s">
        <v>38</v>
      </c>
      <c r="BR23" s="9" t="s">
        <v>38</v>
      </c>
      <c r="BS23" s="9" t="s">
        <v>38</v>
      </c>
      <c r="BT23" s="9" t="s">
        <v>38</v>
      </c>
      <c r="BU23" s="9" t="s">
        <v>38</v>
      </c>
      <c r="BV23" s="9" t="s">
        <v>38</v>
      </c>
      <c r="BW23" s="9" t="s">
        <v>38</v>
      </c>
      <c r="BX23" s="9" t="s">
        <v>38</v>
      </c>
      <c r="BY23" s="9">
        <v>239.32</v>
      </c>
      <c r="BZ23" s="9">
        <v>241.52</v>
      </c>
      <c r="CA23" s="9">
        <v>4.6806669999999997</v>
      </c>
      <c r="CB23" s="9">
        <v>258.49</v>
      </c>
      <c r="CC23" s="9">
        <v>241.54</v>
      </c>
      <c r="CD23" s="9">
        <v>5.0004999999999997</v>
      </c>
      <c r="CE23" s="9" t="s">
        <v>39</v>
      </c>
      <c r="CF23" s="9" t="s">
        <v>39</v>
      </c>
      <c r="CG23" s="9" t="s">
        <v>38</v>
      </c>
      <c r="CH23" s="9">
        <v>253.71</v>
      </c>
      <c r="CI23" s="9">
        <v>254.01</v>
      </c>
      <c r="CJ23" s="9">
        <v>5.1286670000000001</v>
      </c>
      <c r="CK23" s="9">
        <v>230.96</v>
      </c>
      <c r="CL23" s="9">
        <v>249.7</v>
      </c>
      <c r="CM23" s="9">
        <v>4.6776669999999996</v>
      </c>
      <c r="CN23" s="9" t="s">
        <v>39</v>
      </c>
      <c r="CO23" s="9" t="s">
        <v>39</v>
      </c>
      <c r="CP23" s="9" t="s">
        <v>38</v>
      </c>
      <c r="CQ23" s="9">
        <v>227.73</v>
      </c>
      <c r="CR23" s="9">
        <v>226.19</v>
      </c>
      <c r="CS23" s="9">
        <v>4.2320000000000002</v>
      </c>
      <c r="CT23" s="8" t="s">
        <v>38</v>
      </c>
      <c r="CU23" s="8" t="s">
        <v>38</v>
      </c>
      <c r="CV23" s="8" t="s">
        <v>38</v>
      </c>
      <c r="CW23" s="8">
        <v>3.5</v>
      </c>
      <c r="CX23" s="8">
        <v>4.4000000000000004</v>
      </c>
      <c r="CY23" s="8" t="s">
        <v>38</v>
      </c>
      <c r="CZ23" s="8">
        <v>3.3</v>
      </c>
      <c r="DA23" s="8">
        <v>2.2000000000000002</v>
      </c>
      <c r="DB23" s="8" t="s">
        <v>38</v>
      </c>
      <c r="DC23" s="8">
        <v>2.7</v>
      </c>
      <c r="DD23" s="8" t="s">
        <v>38</v>
      </c>
      <c r="DE23" s="8" t="s">
        <v>38</v>
      </c>
      <c r="DF23" s="8" t="s">
        <v>38</v>
      </c>
      <c r="DG23" s="8">
        <v>3.7</v>
      </c>
      <c r="DH23" s="8">
        <v>4</v>
      </c>
      <c r="DI23" s="8">
        <v>4.3</v>
      </c>
      <c r="DJ23" s="8">
        <v>4.5</v>
      </c>
      <c r="DK23" s="22">
        <v>4.8</v>
      </c>
    </row>
    <row r="24" spans="1:115" ht="14.15" customHeight="1" x14ac:dyDescent="0.25">
      <c r="A24" s="6" t="s">
        <v>22</v>
      </c>
      <c r="B24" s="6">
        <v>3137007</v>
      </c>
      <c r="C24" s="6" t="s">
        <v>62</v>
      </c>
      <c r="D24" s="6" t="str">
        <f>VLOOKUP(B24,Planilha1!$A:$B,2,0)</f>
        <v>Vale do Mucuri</v>
      </c>
      <c r="E24" s="7">
        <v>31153711</v>
      </c>
      <c r="F24" s="6" t="s">
        <v>24</v>
      </c>
      <c r="G24" s="6" t="s">
        <v>19</v>
      </c>
      <c r="H24" s="8" t="s">
        <v>38</v>
      </c>
      <c r="I24" s="8" t="s">
        <v>38</v>
      </c>
      <c r="J24" s="8" t="s">
        <v>38</v>
      </c>
      <c r="K24" s="8" t="s">
        <v>38</v>
      </c>
      <c r="L24" s="8" t="s">
        <v>38</v>
      </c>
      <c r="M24" s="9" t="s">
        <v>38</v>
      </c>
      <c r="N24" s="8" t="s">
        <v>38</v>
      </c>
      <c r="O24" s="8" t="s">
        <v>38</v>
      </c>
      <c r="P24" s="8" t="s">
        <v>38</v>
      </c>
      <c r="Q24" s="8" t="s">
        <v>38</v>
      </c>
      <c r="R24" s="8" t="s">
        <v>38</v>
      </c>
      <c r="S24" s="9" t="s">
        <v>38</v>
      </c>
      <c r="T24" s="8">
        <v>60.7</v>
      </c>
      <c r="U24" s="8">
        <v>54.3</v>
      </c>
      <c r="V24" s="8">
        <v>55</v>
      </c>
      <c r="W24" s="8">
        <v>63.6</v>
      </c>
      <c r="X24" s="8">
        <v>69.099999999999994</v>
      </c>
      <c r="Y24" s="9">
        <v>0.59886399999999995</v>
      </c>
      <c r="Z24" s="8">
        <v>66.2</v>
      </c>
      <c r="AA24" s="8">
        <v>67.5</v>
      </c>
      <c r="AB24" s="8">
        <v>81.3</v>
      </c>
      <c r="AC24" s="8">
        <v>58.7</v>
      </c>
      <c r="AD24" s="8">
        <v>60</v>
      </c>
      <c r="AE24" s="9">
        <v>0.65770700000000004</v>
      </c>
      <c r="AF24" s="8">
        <v>96.9</v>
      </c>
      <c r="AG24" s="8">
        <v>97</v>
      </c>
      <c r="AH24" s="8">
        <v>100</v>
      </c>
      <c r="AI24" s="8">
        <v>93.8</v>
      </c>
      <c r="AJ24" s="8">
        <v>94.7</v>
      </c>
      <c r="AK24" s="9">
        <v>0.96316100000000004</v>
      </c>
      <c r="AL24" s="8">
        <v>92.6</v>
      </c>
      <c r="AM24" s="8">
        <v>87.8</v>
      </c>
      <c r="AN24" s="8">
        <v>95.3</v>
      </c>
      <c r="AO24" s="8">
        <v>83.7</v>
      </c>
      <c r="AP24" s="8">
        <v>100</v>
      </c>
      <c r="AQ24" s="9">
        <v>0.91261400000000004</v>
      </c>
      <c r="AR24" s="8">
        <v>62.5</v>
      </c>
      <c r="AS24" s="8">
        <v>52</v>
      </c>
      <c r="AT24" s="8">
        <v>59.6</v>
      </c>
      <c r="AU24" s="8">
        <v>55.6</v>
      </c>
      <c r="AV24" s="8">
        <v>87.3</v>
      </c>
      <c r="AW24" s="9">
        <v>0.61115699999999995</v>
      </c>
      <c r="AX24" s="8">
        <v>70.7</v>
      </c>
      <c r="AY24" s="8">
        <v>51.5</v>
      </c>
      <c r="AZ24" s="8">
        <v>77</v>
      </c>
      <c r="BA24" s="8">
        <v>78.599999999999994</v>
      </c>
      <c r="BB24" s="8">
        <v>89.7</v>
      </c>
      <c r="BC24" s="9">
        <v>0.71079000000000003</v>
      </c>
      <c r="BD24" s="8">
        <v>95.5</v>
      </c>
      <c r="BE24" s="8">
        <v>100</v>
      </c>
      <c r="BF24" s="8">
        <v>90.2</v>
      </c>
      <c r="BG24" s="8">
        <v>95</v>
      </c>
      <c r="BH24" s="8">
        <v>98.3</v>
      </c>
      <c r="BI24" s="9">
        <v>0.95726500000000003</v>
      </c>
      <c r="BJ24" s="8">
        <v>75.2</v>
      </c>
      <c r="BK24" s="8">
        <v>59.3</v>
      </c>
      <c r="BL24" s="8">
        <v>84.2</v>
      </c>
      <c r="BM24" s="8">
        <v>69.7</v>
      </c>
      <c r="BN24" s="8">
        <v>89.5</v>
      </c>
      <c r="BO24" s="9">
        <v>0.73718799999999995</v>
      </c>
      <c r="BP24" s="9" t="s">
        <v>38</v>
      </c>
      <c r="BQ24" s="9" t="s">
        <v>38</v>
      </c>
      <c r="BR24" s="9" t="s">
        <v>38</v>
      </c>
      <c r="BS24" s="9" t="s">
        <v>38</v>
      </c>
      <c r="BT24" s="9" t="s">
        <v>38</v>
      </c>
      <c r="BU24" s="9" t="s">
        <v>38</v>
      </c>
      <c r="BV24" s="9">
        <v>216.93</v>
      </c>
      <c r="BW24" s="9">
        <v>214.13</v>
      </c>
      <c r="BX24" s="9">
        <v>3.851</v>
      </c>
      <c r="BY24" s="9">
        <v>220.38</v>
      </c>
      <c r="BZ24" s="9">
        <v>224.15</v>
      </c>
      <c r="CA24" s="9">
        <v>4.0754999999999999</v>
      </c>
      <c r="CB24" s="9">
        <v>231.65</v>
      </c>
      <c r="CC24" s="9">
        <v>225.92</v>
      </c>
      <c r="CD24" s="9">
        <v>4.2928329999999999</v>
      </c>
      <c r="CE24" s="9" t="s">
        <v>202</v>
      </c>
      <c r="CF24" s="9" t="s">
        <v>186</v>
      </c>
      <c r="CG24" s="9">
        <v>4.3698329999999999</v>
      </c>
      <c r="CH24" s="9">
        <v>235.95</v>
      </c>
      <c r="CI24" s="9">
        <v>243.45</v>
      </c>
      <c r="CJ24" s="9">
        <v>4.6566669999999997</v>
      </c>
      <c r="CK24" s="29">
        <v>226.78</v>
      </c>
      <c r="CL24" s="29">
        <v>218.63</v>
      </c>
      <c r="CM24" s="9">
        <v>4.0901670000000001</v>
      </c>
      <c r="CN24" s="29" t="s">
        <v>39</v>
      </c>
      <c r="CO24" s="29" t="s">
        <v>39</v>
      </c>
      <c r="CP24" s="9" t="s">
        <v>38</v>
      </c>
      <c r="CQ24" s="29" t="s">
        <v>39</v>
      </c>
      <c r="CR24" s="29" t="s">
        <v>39</v>
      </c>
      <c r="CS24" s="9" t="s">
        <v>38</v>
      </c>
      <c r="CT24" s="8" t="s">
        <v>38</v>
      </c>
      <c r="CU24" s="8" t="s">
        <v>38</v>
      </c>
      <c r="CV24" s="8">
        <v>2.2999999999999998</v>
      </c>
      <c r="CW24" s="8">
        <v>2.7</v>
      </c>
      <c r="CX24" s="8">
        <v>4.0999999999999996</v>
      </c>
      <c r="CY24" s="8">
        <v>4</v>
      </c>
      <c r="CZ24" s="8">
        <v>2.8</v>
      </c>
      <c r="DA24" s="8">
        <v>2.9</v>
      </c>
      <c r="DB24" s="8" t="s">
        <v>38</v>
      </c>
      <c r="DC24" s="8" t="s">
        <v>38</v>
      </c>
      <c r="DD24" s="8" t="s">
        <v>38</v>
      </c>
      <c r="DE24" s="8" t="s">
        <v>38</v>
      </c>
      <c r="DF24" s="8">
        <v>2.6</v>
      </c>
      <c r="DG24" s="8">
        <v>2.9</v>
      </c>
      <c r="DH24" s="8">
        <v>3.2</v>
      </c>
      <c r="DI24" s="8">
        <v>3.5</v>
      </c>
      <c r="DJ24" s="8">
        <v>3.7</v>
      </c>
      <c r="DK24" s="22">
        <v>4</v>
      </c>
    </row>
    <row r="25" spans="1:115" ht="14.15" customHeight="1" x14ac:dyDescent="0.25">
      <c r="A25" s="6" t="s">
        <v>22</v>
      </c>
      <c r="B25" s="6">
        <v>3139201</v>
      </c>
      <c r="C25" s="6" t="s">
        <v>63</v>
      </c>
      <c r="D25" s="6" t="str">
        <f>VLOOKUP(B25,Planilha1!$A:$B,2,0)</f>
        <v>Vale do Mucuri</v>
      </c>
      <c r="E25" s="7">
        <v>31154059</v>
      </c>
      <c r="F25" s="6" t="s">
        <v>73</v>
      </c>
      <c r="G25" s="6" t="s">
        <v>19</v>
      </c>
      <c r="H25" s="8" t="s">
        <v>38</v>
      </c>
      <c r="I25" s="8" t="s">
        <v>38</v>
      </c>
      <c r="J25" s="8" t="s">
        <v>38</v>
      </c>
      <c r="K25" s="8" t="s">
        <v>38</v>
      </c>
      <c r="L25" s="8" t="s">
        <v>38</v>
      </c>
      <c r="M25" s="9" t="s">
        <v>38</v>
      </c>
      <c r="N25" s="8" t="s">
        <v>38</v>
      </c>
      <c r="O25" s="8" t="s">
        <v>38</v>
      </c>
      <c r="P25" s="8" t="s">
        <v>38</v>
      </c>
      <c r="Q25" s="8" t="s">
        <v>38</v>
      </c>
      <c r="R25" s="8" t="s">
        <v>38</v>
      </c>
      <c r="S25" s="9" t="s">
        <v>38</v>
      </c>
      <c r="T25" s="8" t="s">
        <v>38</v>
      </c>
      <c r="U25" s="8" t="s">
        <v>38</v>
      </c>
      <c r="V25" s="8" t="s">
        <v>38</v>
      </c>
      <c r="W25" s="8" t="s">
        <v>38</v>
      </c>
      <c r="X25" s="8" t="s">
        <v>38</v>
      </c>
      <c r="Y25" s="9" t="s">
        <v>38</v>
      </c>
      <c r="Z25" s="8" t="s">
        <v>38</v>
      </c>
      <c r="AA25" s="8" t="s">
        <v>38</v>
      </c>
      <c r="AB25" s="8" t="s">
        <v>38</v>
      </c>
      <c r="AC25" s="8" t="s">
        <v>38</v>
      </c>
      <c r="AD25" s="8" t="s">
        <v>38</v>
      </c>
      <c r="AE25" s="9" t="s">
        <v>38</v>
      </c>
      <c r="AF25" s="8" t="s">
        <v>38</v>
      </c>
      <c r="AG25" s="8" t="s">
        <v>38</v>
      </c>
      <c r="AH25" s="8" t="s">
        <v>38</v>
      </c>
      <c r="AI25" s="8" t="s">
        <v>38</v>
      </c>
      <c r="AJ25" s="8" t="s">
        <v>38</v>
      </c>
      <c r="AK25" s="9" t="s">
        <v>38</v>
      </c>
      <c r="AL25" s="8" t="s">
        <v>38</v>
      </c>
      <c r="AM25" s="8" t="s">
        <v>38</v>
      </c>
      <c r="AN25" s="8" t="s">
        <v>38</v>
      </c>
      <c r="AO25" s="8" t="s">
        <v>38</v>
      </c>
      <c r="AP25" s="8" t="s">
        <v>38</v>
      </c>
      <c r="AQ25" s="9" t="s">
        <v>38</v>
      </c>
      <c r="AR25" s="8">
        <v>87.5</v>
      </c>
      <c r="AS25" s="8">
        <v>100</v>
      </c>
      <c r="AT25" s="8">
        <v>78.900000000000006</v>
      </c>
      <c r="AU25" s="8">
        <v>85.7</v>
      </c>
      <c r="AV25" s="8">
        <v>84.2</v>
      </c>
      <c r="AW25" s="9">
        <v>0.86543800000000004</v>
      </c>
      <c r="AX25" s="8">
        <v>79.2</v>
      </c>
      <c r="AY25" s="8">
        <v>85</v>
      </c>
      <c r="AZ25" s="8">
        <v>52.6</v>
      </c>
      <c r="BA25" s="8">
        <v>85</v>
      </c>
      <c r="BB25" s="8">
        <v>100</v>
      </c>
      <c r="BC25" s="9">
        <v>0.76131300000000002</v>
      </c>
      <c r="BD25" s="8" t="s">
        <v>38</v>
      </c>
      <c r="BE25" s="8" t="s">
        <v>38</v>
      </c>
      <c r="BF25" s="8" t="s">
        <v>38</v>
      </c>
      <c r="BG25" s="8" t="s">
        <v>38</v>
      </c>
      <c r="BH25" s="8" t="s">
        <v>38</v>
      </c>
      <c r="BI25" s="9" t="s">
        <v>38</v>
      </c>
      <c r="BJ25" s="8" t="s">
        <v>38</v>
      </c>
      <c r="BK25" s="8" t="s">
        <v>38</v>
      </c>
      <c r="BL25" s="8" t="s">
        <v>38</v>
      </c>
      <c r="BM25" s="8" t="s">
        <v>38</v>
      </c>
      <c r="BN25" s="8" t="s">
        <v>38</v>
      </c>
      <c r="BO25" s="9" t="s">
        <v>38</v>
      </c>
      <c r="BP25" s="9" t="s">
        <v>38</v>
      </c>
      <c r="BQ25" s="9" t="s">
        <v>38</v>
      </c>
      <c r="BR25" s="9" t="s">
        <v>38</v>
      </c>
      <c r="BS25" s="9" t="s">
        <v>38</v>
      </c>
      <c r="BT25" s="9" t="s">
        <v>38</v>
      </c>
      <c r="BU25" s="9" t="s">
        <v>38</v>
      </c>
      <c r="BV25" s="9" t="s">
        <v>38</v>
      </c>
      <c r="BW25" s="9" t="s">
        <v>38</v>
      </c>
      <c r="BX25" s="9" t="s">
        <v>38</v>
      </c>
      <c r="BY25" s="9" t="s">
        <v>38</v>
      </c>
      <c r="BZ25" s="9" t="s">
        <v>38</v>
      </c>
      <c r="CA25" s="9" t="s">
        <v>38</v>
      </c>
      <c r="CB25" s="9" t="s">
        <v>38</v>
      </c>
      <c r="CC25" s="9" t="s">
        <v>38</v>
      </c>
      <c r="CD25" s="9" t="s">
        <v>38</v>
      </c>
      <c r="CE25" s="9" t="s">
        <v>38</v>
      </c>
      <c r="CF25" s="9" t="s">
        <v>38</v>
      </c>
      <c r="CG25" s="9" t="s">
        <v>38</v>
      </c>
      <c r="CH25" s="9">
        <v>250.52</v>
      </c>
      <c r="CI25" s="9">
        <v>235.66</v>
      </c>
      <c r="CJ25" s="9">
        <v>4.7696670000000001</v>
      </c>
      <c r="CK25" s="9">
        <v>251.72</v>
      </c>
      <c r="CL25" s="9">
        <v>246.23</v>
      </c>
      <c r="CM25" s="9">
        <v>4.9658329999999999</v>
      </c>
      <c r="CN25" s="9" t="s">
        <v>38</v>
      </c>
      <c r="CO25" s="9" t="s">
        <v>38</v>
      </c>
      <c r="CP25" s="9" t="s">
        <v>38</v>
      </c>
      <c r="CQ25" s="9" t="s">
        <v>38</v>
      </c>
      <c r="CR25" s="9" t="s">
        <v>38</v>
      </c>
      <c r="CS25" s="9" t="s">
        <v>38</v>
      </c>
      <c r="CT25" s="8" t="s">
        <v>38</v>
      </c>
      <c r="CU25" s="8" t="s">
        <v>38</v>
      </c>
      <c r="CV25" s="8" t="s">
        <v>38</v>
      </c>
      <c r="CW25" s="8" t="s">
        <v>38</v>
      </c>
      <c r="CX25" s="8" t="s">
        <v>38</v>
      </c>
      <c r="CY25" s="8" t="s">
        <v>38</v>
      </c>
      <c r="CZ25" s="8">
        <v>4.0999999999999996</v>
      </c>
      <c r="DA25" s="8">
        <v>3.8</v>
      </c>
      <c r="DB25" s="8" t="s">
        <v>38</v>
      </c>
      <c r="DC25" s="8" t="s">
        <v>38</v>
      </c>
      <c r="DD25" s="8" t="s">
        <v>38</v>
      </c>
      <c r="DE25" s="8" t="s">
        <v>38</v>
      </c>
      <c r="DF25" s="8" t="s">
        <v>38</v>
      </c>
      <c r="DG25" s="8" t="s">
        <v>38</v>
      </c>
      <c r="DH25" s="8" t="s">
        <v>38</v>
      </c>
      <c r="DI25" s="8" t="s">
        <v>38</v>
      </c>
      <c r="DJ25" s="8">
        <v>4.4000000000000004</v>
      </c>
      <c r="DK25" s="22">
        <v>4.5999999999999996</v>
      </c>
    </row>
    <row r="26" spans="1:115" ht="14.15" customHeight="1" x14ac:dyDescent="0.25">
      <c r="A26" s="6" t="s">
        <v>22</v>
      </c>
      <c r="B26" s="6">
        <v>3139201</v>
      </c>
      <c r="C26" s="6" t="s">
        <v>63</v>
      </c>
      <c r="D26" s="6" t="str">
        <f>VLOOKUP(B26,Planilha1!$A:$B,2,0)</f>
        <v>Vale do Mucuri</v>
      </c>
      <c r="E26" s="7">
        <v>31222151</v>
      </c>
      <c r="F26" s="6" t="s">
        <v>30</v>
      </c>
      <c r="G26" s="6" t="s">
        <v>19</v>
      </c>
      <c r="H26" s="8" t="s">
        <v>38</v>
      </c>
      <c r="I26" s="8" t="s">
        <v>38</v>
      </c>
      <c r="J26" s="8" t="s">
        <v>38</v>
      </c>
      <c r="K26" s="8" t="s">
        <v>38</v>
      </c>
      <c r="L26" s="8" t="s">
        <v>38</v>
      </c>
      <c r="M26" s="9" t="s">
        <v>38</v>
      </c>
      <c r="N26" s="8" t="s">
        <v>38</v>
      </c>
      <c r="O26" s="8" t="s">
        <v>38</v>
      </c>
      <c r="P26" s="8" t="s">
        <v>38</v>
      </c>
      <c r="Q26" s="8" t="s">
        <v>38</v>
      </c>
      <c r="R26" s="8" t="s">
        <v>38</v>
      </c>
      <c r="S26" s="9" t="s">
        <v>38</v>
      </c>
      <c r="T26" s="8" t="s">
        <v>38</v>
      </c>
      <c r="U26" s="8" t="s">
        <v>38</v>
      </c>
      <c r="V26" s="8" t="s">
        <v>38</v>
      </c>
      <c r="W26" s="8" t="s">
        <v>38</v>
      </c>
      <c r="X26" s="8" t="s">
        <v>38</v>
      </c>
      <c r="Y26" s="9" t="s">
        <v>38</v>
      </c>
      <c r="Z26" s="8">
        <v>90.3</v>
      </c>
      <c r="AA26" s="8">
        <v>91.7</v>
      </c>
      <c r="AB26" s="8">
        <v>80</v>
      </c>
      <c r="AC26" s="8">
        <v>100</v>
      </c>
      <c r="AD26" s="8">
        <v>94.4</v>
      </c>
      <c r="AE26" s="9">
        <v>0.90912499999999996</v>
      </c>
      <c r="AF26" s="8">
        <v>96.2</v>
      </c>
      <c r="AG26" s="8">
        <v>95.2</v>
      </c>
      <c r="AH26" s="8">
        <v>100</v>
      </c>
      <c r="AI26" s="8">
        <v>92.3</v>
      </c>
      <c r="AJ26" s="8">
        <v>94.1</v>
      </c>
      <c r="AK26" s="9">
        <v>0.95316500000000004</v>
      </c>
      <c r="AL26" s="8">
        <v>98.9</v>
      </c>
      <c r="AM26" s="8">
        <v>100</v>
      </c>
      <c r="AN26" s="8">
        <v>100</v>
      </c>
      <c r="AO26" s="8">
        <v>100</v>
      </c>
      <c r="AP26" s="8">
        <v>96.3</v>
      </c>
      <c r="AQ26" s="9">
        <v>0.99048599999999998</v>
      </c>
      <c r="AR26" s="8">
        <v>85.3</v>
      </c>
      <c r="AS26" s="8">
        <v>89.5</v>
      </c>
      <c r="AT26" s="8">
        <v>73.7</v>
      </c>
      <c r="AU26" s="8">
        <v>77.8</v>
      </c>
      <c r="AV26" s="8">
        <v>100</v>
      </c>
      <c r="AW26" s="9">
        <v>0.84042099999999997</v>
      </c>
      <c r="AX26" s="8">
        <v>98.2</v>
      </c>
      <c r="AY26" s="8">
        <v>100</v>
      </c>
      <c r="AZ26" s="8">
        <v>100</v>
      </c>
      <c r="BA26" s="8">
        <v>100</v>
      </c>
      <c r="BB26" s="8">
        <v>93.8</v>
      </c>
      <c r="BC26" s="9">
        <v>0.98374399999999995</v>
      </c>
      <c r="BD26" s="8">
        <v>98.1</v>
      </c>
      <c r="BE26" s="8">
        <v>100</v>
      </c>
      <c r="BF26" s="8">
        <v>100</v>
      </c>
      <c r="BG26" s="8">
        <v>100</v>
      </c>
      <c r="BH26" s="8">
        <v>93.3</v>
      </c>
      <c r="BI26" s="9">
        <v>0.98236400000000001</v>
      </c>
      <c r="BJ26" s="8">
        <v>95.2</v>
      </c>
      <c r="BK26" s="8">
        <v>100</v>
      </c>
      <c r="BL26" s="8">
        <v>100</v>
      </c>
      <c r="BM26" s="8">
        <v>93.8</v>
      </c>
      <c r="BN26" s="8">
        <v>90</v>
      </c>
      <c r="BO26" s="9">
        <v>0.95757700000000001</v>
      </c>
      <c r="BP26" s="9" t="s">
        <v>38</v>
      </c>
      <c r="BQ26" s="9" t="s">
        <v>38</v>
      </c>
      <c r="BR26" s="9" t="s">
        <v>38</v>
      </c>
      <c r="BS26" s="9" t="s">
        <v>38</v>
      </c>
      <c r="BT26" s="9" t="s">
        <v>38</v>
      </c>
      <c r="BU26" s="9" t="s">
        <v>38</v>
      </c>
      <c r="BV26" s="9" t="s">
        <v>38</v>
      </c>
      <c r="BW26" s="9" t="s">
        <v>38</v>
      </c>
      <c r="BX26" s="9" t="s">
        <v>38</v>
      </c>
      <c r="BY26" s="9">
        <v>237.42</v>
      </c>
      <c r="BZ26" s="9">
        <v>225.26</v>
      </c>
      <c r="CA26" s="9">
        <v>4.3780000000000001</v>
      </c>
      <c r="CB26" s="9" t="s">
        <v>38</v>
      </c>
      <c r="CC26" s="9" t="s">
        <v>38</v>
      </c>
      <c r="CD26" s="9" t="s">
        <v>38</v>
      </c>
      <c r="CE26" s="9" t="s">
        <v>190</v>
      </c>
      <c r="CF26" s="9" t="s">
        <v>189</v>
      </c>
      <c r="CG26" s="9">
        <v>4.6695000000000002</v>
      </c>
      <c r="CH26" s="9">
        <v>246.61</v>
      </c>
      <c r="CI26" s="9">
        <v>239.02</v>
      </c>
      <c r="CJ26" s="9">
        <v>4.7605000000000004</v>
      </c>
      <c r="CK26" s="29">
        <v>239.72</v>
      </c>
      <c r="CL26" s="29">
        <v>226.62</v>
      </c>
      <c r="CM26" s="9">
        <v>4.4390000000000001</v>
      </c>
      <c r="CN26" s="29">
        <v>244.45</v>
      </c>
      <c r="CO26" s="29">
        <v>232.18</v>
      </c>
      <c r="CP26" s="9">
        <v>4.6105</v>
      </c>
      <c r="CQ26" s="29">
        <v>228.72</v>
      </c>
      <c r="CR26" s="29">
        <v>221.13</v>
      </c>
      <c r="CS26" s="9">
        <v>4.164167</v>
      </c>
      <c r="CT26" s="8" t="s">
        <v>38</v>
      </c>
      <c r="CU26" s="8" t="s">
        <v>38</v>
      </c>
      <c r="CV26" s="8" t="s">
        <v>38</v>
      </c>
      <c r="CW26" s="8">
        <v>4</v>
      </c>
      <c r="CX26" s="8" t="s">
        <v>38</v>
      </c>
      <c r="CY26" s="8">
        <v>4.5999999999999996</v>
      </c>
      <c r="CZ26" s="8">
        <v>4</v>
      </c>
      <c r="DA26" s="8">
        <v>4.4000000000000004</v>
      </c>
      <c r="DB26" s="8">
        <v>4.5</v>
      </c>
      <c r="DC26" s="8">
        <v>4</v>
      </c>
      <c r="DD26" s="8" t="s">
        <v>38</v>
      </c>
      <c r="DE26" s="8" t="s">
        <v>38</v>
      </c>
      <c r="DF26" s="8" t="s">
        <v>38</v>
      </c>
      <c r="DG26" s="8">
        <v>4.2</v>
      </c>
      <c r="DH26" s="8">
        <v>4.5</v>
      </c>
      <c r="DI26" s="8">
        <v>4.7</v>
      </c>
      <c r="DJ26" s="8">
        <v>5</v>
      </c>
      <c r="DK26" s="22">
        <v>5.2</v>
      </c>
    </row>
    <row r="27" spans="1:115" ht="14.15" customHeight="1" x14ac:dyDescent="0.25">
      <c r="A27" s="6" t="s">
        <v>22</v>
      </c>
      <c r="B27" s="6">
        <v>3139201</v>
      </c>
      <c r="C27" s="6" t="s">
        <v>63</v>
      </c>
      <c r="D27" s="6" t="str">
        <f>VLOOKUP(B27,Planilha1!$A:$B,2,0)</f>
        <v>Vale do Mucuri</v>
      </c>
      <c r="E27" s="7">
        <v>31299103</v>
      </c>
      <c r="F27" s="6" t="s">
        <v>33</v>
      </c>
      <c r="G27" s="6" t="s">
        <v>19</v>
      </c>
      <c r="H27" s="8">
        <v>38.5</v>
      </c>
      <c r="I27" s="8">
        <v>32.4</v>
      </c>
      <c r="J27" s="8">
        <v>32.6</v>
      </c>
      <c r="K27" s="8">
        <v>38.299999999999997</v>
      </c>
      <c r="L27" s="8">
        <v>44</v>
      </c>
      <c r="M27" s="9">
        <v>0.362398</v>
      </c>
      <c r="N27" s="8">
        <v>46.9</v>
      </c>
      <c r="O27" s="8">
        <v>22.2</v>
      </c>
      <c r="P27" s="8">
        <v>56.1</v>
      </c>
      <c r="Q27" s="8">
        <v>34.1</v>
      </c>
      <c r="R27" s="8">
        <v>57.9</v>
      </c>
      <c r="S27" s="9">
        <v>0.36540699999999998</v>
      </c>
      <c r="T27" s="8">
        <v>49.4</v>
      </c>
      <c r="U27" s="8">
        <v>35.299999999999997</v>
      </c>
      <c r="V27" s="8">
        <v>50</v>
      </c>
      <c r="W27" s="8">
        <v>23.8</v>
      </c>
      <c r="X27" s="8">
        <v>75.900000000000006</v>
      </c>
      <c r="Y27" s="9">
        <v>0.38639600000000002</v>
      </c>
      <c r="Z27" s="8" t="s">
        <v>38</v>
      </c>
      <c r="AA27" s="8" t="s">
        <v>38</v>
      </c>
      <c r="AB27" s="8" t="s">
        <v>38</v>
      </c>
      <c r="AC27" s="8" t="s">
        <v>38</v>
      </c>
      <c r="AD27" s="8" t="s">
        <v>38</v>
      </c>
      <c r="AE27" s="9" t="s">
        <v>38</v>
      </c>
      <c r="AF27" s="8" t="s">
        <v>38</v>
      </c>
      <c r="AG27" s="8" t="s">
        <v>38</v>
      </c>
      <c r="AH27" s="8" t="s">
        <v>38</v>
      </c>
      <c r="AI27" s="8" t="s">
        <v>38</v>
      </c>
      <c r="AJ27" s="8" t="s">
        <v>38</v>
      </c>
      <c r="AK27" s="9" t="s">
        <v>38</v>
      </c>
      <c r="AL27" s="8" t="s">
        <v>38</v>
      </c>
      <c r="AM27" s="8" t="s">
        <v>38</v>
      </c>
      <c r="AN27" s="8" t="s">
        <v>38</v>
      </c>
      <c r="AO27" s="8" t="s">
        <v>38</v>
      </c>
      <c r="AP27" s="8" t="s">
        <v>38</v>
      </c>
      <c r="AQ27" s="9" t="s">
        <v>38</v>
      </c>
      <c r="AR27" s="8" t="s">
        <v>38</v>
      </c>
      <c r="AS27" s="8" t="s">
        <v>38</v>
      </c>
      <c r="AT27" s="8" t="s">
        <v>38</v>
      </c>
      <c r="AU27" s="8" t="s">
        <v>38</v>
      </c>
      <c r="AV27" s="8" t="s">
        <v>38</v>
      </c>
      <c r="AW27" s="9" t="s">
        <v>38</v>
      </c>
      <c r="AX27" s="8" t="s">
        <v>38</v>
      </c>
      <c r="AY27" s="8" t="s">
        <v>38</v>
      </c>
      <c r="AZ27" s="8" t="s">
        <v>38</v>
      </c>
      <c r="BA27" s="8" t="s">
        <v>38</v>
      </c>
      <c r="BB27" s="8" t="s">
        <v>38</v>
      </c>
      <c r="BC27" s="9" t="s">
        <v>38</v>
      </c>
      <c r="BD27" s="8" t="s">
        <v>38</v>
      </c>
      <c r="BE27" s="8" t="s">
        <v>38</v>
      </c>
      <c r="BF27" s="8" t="s">
        <v>38</v>
      </c>
      <c r="BG27" s="8" t="s">
        <v>38</v>
      </c>
      <c r="BH27" s="8" t="s">
        <v>38</v>
      </c>
      <c r="BI27" s="9" t="s">
        <v>38</v>
      </c>
      <c r="BJ27" s="8" t="s">
        <v>38</v>
      </c>
      <c r="BK27" s="8" t="s">
        <v>38</v>
      </c>
      <c r="BL27" s="8" t="s">
        <v>38</v>
      </c>
      <c r="BM27" s="8" t="s">
        <v>38</v>
      </c>
      <c r="BN27" s="8" t="s">
        <v>38</v>
      </c>
      <c r="BO27" s="9" t="s">
        <v>38</v>
      </c>
      <c r="BP27" s="9">
        <v>225.9</v>
      </c>
      <c r="BQ27" s="9">
        <v>201.62</v>
      </c>
      <c r="BR27" s="9">
        <v>3.7919890000000001</v>
      </c>
      <c r="BS27" s="9">
        <v>237.74</v>
      </c>
      <c r="BT27" s="9">
        <v>226.36</v>
      </c>
      <c r="BU27" s="9">
        <v>4.4016669999999998</v>
      </c>
      <c r="BV27" s="9">
        <v>230.85</v>
      </c>
      <c r="BW27" s="9">
        <v>218.3</v>
      </c>
      <c r="BX27" s="9">
        <v>4.1524999999999999</v>
      </c>
      <c r="BY27" s="9" t="s">
        <v>38</v>
      </c>
      <c r="BZ27" s="9" t="s">
        <v>38</v>
      </c>
      <c r="CA27" s="9" t="s">
        <v>38</v>
      </c>
      <c r="CB27" s="9" t="s">
        <v>38</v>
      </c>
      <c r="CC27" s="9" t="s">
        <v>38</v>
      </c>
      <c r="CD27" s="9" t="s">
        <v>38</v>
      </c>
      <c r="CE27" s="9" t="s">
        <v>38</v>
      </c>
      <c r="CF27" s="9" t="s">
        <v>38</v>
      </c>
      <c r="CG27" s="9" t="s">
        <v>38</v>
      </c>
      <c r="CH27" s="9" t="s">
        <v>38</v>
      </c>
      <c r="CI27" s="9" t="s">
        <v>38</v>
      </c>
      <c r="CJ27" s="9" t="s">
        <v>38</v>
      </c>
      <c r="CK27" s="9" t="s">
        <v>38</v>
      </c>
      <c r="CL27" s="9" t="s">
        <v>38</v>
      </c>
      <c r="CM27" s="9" t="s">
        <v>38</v>
      </c>
      <c r="CN27" s="9" t="s">
        <v>38</v>
      </c>
      <c r="CO27" s="9" t="s">
        <v>38</v>
      </c>
      <c r="CP27" s="9" t="s">
        <v>38</v>
      </c>
      <c r="CQ27" s="9" t="s">
        <v>38</v>
      </c>
      <c r="CR27" s="9" t="s">
        <v>38</v>
      </c>
      <c r="CS27" s="9" t="s">
        <v>38</v>
      </c>
      <c r="CT27" s="8">
        <v>1.4</v>
      </c>
      <c r="CU27" s="8">
        <v>1.6</v>
      </c>
      <c r="CV27" s="8">
        <v>1.6</v>
      </c>
      <c r="CW27" s="8" t="s">
        <v>38</v>
      </c>
      <c r="CX27" s="8" t="s">
        <v>38</v>
      </c>
      <c r="CY27" s="8" t="s">
        <v>38</v>
      </c>
      <c r="CZ27" s="8" t="s">
        <v>38</v>
      </c>
      <c r="DA27" s="8" t="s">
        <v>38</v>
      </c>
      <c r="DB27" s="8" t="s">
        <v>38</v>
      </c>
      <c r="DC27" s="8" t="s">
        <v>38</v>
      </c>
      <c r="DD27" s="8">
        <v>1.5</v>
      </c>
      <c r="DE27" s="8">
        <v>1.9</v>
      </c>
      <c r="DF27" s="8">
        <v>2.5</v>
      </c>
      <c r="DG27" s="8">
        <v>3.1</v>
      </c>
      <c r="DH27" s="8">
        <v>3.6</v>
      </c>
      <c r="DI27" s="8">
        <v>3.9</v>
      </c>
      <c r="DJ27" s="8">
        <v>4.2</v>
      </c>
      <c r="DK27" s="22">
        <v>4.5</v>
      </c>
    </row>
    <row r="28" spans="1:115" ht="14.15" customHeight="1" x14ac:dyDescent="0.25">
      <c r="A28" s="6" t="s">
        <v>22</v>
      </c>
      <c r="B28" s="6">
        <v>3144300</v>
      </c>
      <c r="C28" s="6" t="s">
        <v>64</v>
      </c>
      <c r="D28" s="6" t="str">
        <f>VLOOKUP(B28,Planilha1!$A:$B,2,0)</f>
        <v>Vale do Mucuri</v>
      </c>
      <c r="E28" s="7">
        <v>31154717</v>
      </c>
      <c r="F28" s="6" t="s">
        <v>26</v>
      </c>
      <c r="G28" s="6" t="s">
        <v>19</v>
      </c>
      <c r="H28" s="8">
        <v>69.8</v>
      </c>
      <c r="I28" s="8">
        <v>63.2</v>
      </c>
      <c r="J28" s="8">
        <v>74.400000000000006</v>
      </c>
      <c r="K28" s="8">
        <v>71.599999999999994</v>
      </c>
      <c r="L28" s="8">
        <v>78.2</v>
      </c>
      <c r="M28" s="9">
        <v>0.71405799999999997</v>
      </c>
      <c r="N28" s="8">
        <v>69.7</v>
      </c>
      <c r="O28" s="8">
        <v>63.9</v>
      </c>
      <c r="P28" s="8">
        <v>62.8</v>
      </c>
      <c r="Q28" s="8">
        <v>70.7</v>
      </c>
      <c r="R28" s="8">
        <v>90.8</v>
      </c>
      <c r="S28" s="9">
        <v>0.70508800000000005</v>
      </c>
      <c r="T28" s="8">
        <v>70.5</v>
      </c>
      <c r="U28" s="8">
        <v>57.1</v>
      </c>
      <c r="V28" s="8">
        <v>81</v>
      </c>
      <c r="W28" s="8">
        <v>77.8</v>
      </c>
      <c r="X28" s="8">
        <v>80.3</v>
      </c>
      <c r="Y28" s="9">
        <v>0.72509000000000001</v>
      </c>
      <c r="Z28" s="8">
        <v>67.5</v>
      </c>
      <c r="AA28" s="8">
        <v>48.7</v>
      </c>
      <c r="AB28" s="8">
        <v>71.400000000000006</v>
      </c>
      <c r="AC28" s="8">
        <v>79.2</v>
      </c>
      <c r="AD28" s="8">
        <v>92.9</v>
      </c>
      <c r="AE28" s="9">
        <v>0.69048799999999999</v>
      </c>
      <c r="AF28" s="8">
        <v>88.6</v>
      </c>
      <c r="AG28" s="8">
        <v>87.1</v>
      </c>
      <c r="AH28" s="8">
        <v>89.6</v>
      </c>
      <c r="AI28" s="8">
        <v>82.1</v>
      </c>
      <c r="AJ28" s="8">
        <v>100</v>
      </c>
      <c r="AK28" s="9">
        <v>0.89241800000000004</v>
      </c>
      <c r="AL28" s="8">
        <v>83.1</v>
      </c>
      <c r="AM28" s="8">
        <v>76.900000000000006</v>
      </c>
      <c r="AN28" s="8">
        <v>83.3</v>
      </c>
      <c r="AO28" s="8">
        <v>84.9</v>
      </c>
      <c r="AP28" s="8">
        <v>92.5</v>
      </c>
      <c r="AQ28" s="9">
        <v>0.84036999999999995</v>
      </c>
      <c r="AR28" s="8">
        <v>74.7</v>
      </c>
      <c r="AS28" s="8">
        <v>54.7</v>
      </c>
      <c r="AT28" s="8">
        <v>70.7</v>
      </c>
      <c r="AU28" s="8">
        <v>96.6</v>
      </c>
      <c r="AV28" s="8">
        <v>89.7</v>
      </c>
      <c r="AW28" s="9">
        <v>0.741757</v>
      </c>
      <c r="AX28" s="8">
        <v>69.5</v>
      </c>
      <c r="AY28" s="8">
        <v>60</v>
      </c>
      <c r="AZ28" s="8">
        <v>77.8</v>
      </c>
      <c r="BA28" s="8">
        <v>82.1</v>
      </c>
      <c r="BB28" s="8">
        <v>68.2</v>
      </c>
      <c r="BC28" s="9">
        <v>0.70968299999999995</v>
      </c>
      <c r="BD28" s="8">
        <v>90.7</v>
      </c>
      <c r="BE28" s="8">
        <v>93.2</v>
      </c>
      <c r="BF28" s="8">
        <v>86.1</v>
      </c>
      <c r="BG28" s="8">
        <v>94.1</v>
      </c>
      <c r="BH28" s="8">
        <v>88.5</v>
      </c>
      <c r="BI28" s="9">
        <v>0.90353700000000003</v>
      </c>
      <c r="BJ28" s="8">
        <v>92.9</v>
      </c>
      <c r="BK28" s="8">
        <v>87.9</v>
      </c>
      <c r="BL28" s="8">
        <v>91.7</v>
      </c>
      <c r="BM28" s="8">
        <v>96.3</v>
      </c>
      <c r="BN28" s="8">
        <v>100</v>
      </c>
      <c r="BO28" s="9">
        <v>0.93751700000000004</v>
      </c>
      <c r="BP28" s="9">
        <v>234.01</v>
      </c>
      <c r="BQ28" s="9">
        <v>215.54</v>
      </c>
      <c r="BR28" s="9">
        <v>4.1591050000000003</v>
      </c>
      <c r="BS28" s="9">
        <v>233.65</v>
      </c>
      <c r="BT28" s="9">
        <v>223.42</v>
      </c>
      <c r="BU28" s="9">
        <v>4.2845000000000004</v>
      </c>
      <c r="BV28" s="9">
        <v>237.38</v>
      </c>
      <c r="BW28" s="9">
        <v>230.73</v>
      </c>
      <c r="BX28" s="9">
        <v>4.4684999999999997</v>
      </c>
      <c r="BY28" s="9">
        <v>235.36</v>
      </c>
      <c r="BZ28" s="9">
        <v>237.48</v>
      </c>
      <c r="CA28" s="9">
        <v>4.5473330000000001</v>
      </c>
      <c r="CB28" s="9">
        <v>216.23</v>
      </c>
      <c r="CC28" s="9">
        <v>227.05</v>
      </c>
      <c r="CD28" s="9">
        <v>4.0546670000000002</v>
      </c>
      <c r="CE28" s="9" t="s">
        <v>200</v>
      </c>
      <c r="CF28" s="9" t="s">
        <v>203</v>
      </c>
      <c r="CG28" s="9">
        <v>4.7298330000000002</v>
      </c>
      <c r="CH28" s="9">
        <v>242.5</v>
      </c>
      <c r="CI28" s="9">
        <v>251.18</v>
      </c>
      <c r="CJ28" s="9">
        <v>4.8946670000000001</v>
      </c>
      <c r="CK28" s="9" t="s">
        <v>39</v>
      </c>
      <c r="CL28" s="9" t="s">
        <v>39</v>
      </c>
      <c r="CM28" s="9" t="s">
        <v>38</v>
      </c>
      <c r="CN28" s="9">
        <v>234.7</v>
      </c>
      <c r="CO28" s="9">
        <v>239.5</v>
      </c>
      <c r="CP28" s="9">
        <v>4.57</v>
      </c>
      <c r="CQ28" s="9">
        <v>218.89</v>
      </c>
      <c r="CR28" s="9">
        <v>230.11</v>
      </c>
      <c r="CS28" s="9">
        <v>4.1500000000000004</v>
      </c>
      <c r="CT28" s="8">
        <v>3</v>
      </c>
      <c r="CU28" s="8">
        <v>3</v>
      </c>
      <c r="CV28" s="8">
        <v>3.2</v>
      </c>
      <c r="CW28" s="8">
        <v>3.1</v>
      </c>
      <c r="CX28" s="8">
        <v>3.6</v>
      </c>
      <c r="CY28" s="8">
        <v>4</v>
      </c>
      <c r="CZ28" s="8">
        <v>3.6</v>
      </c>
      <c r="DA28" s="8" t="s">
        <v>38</v>
      </c>
      <c r="DB28" s="8">
        <v>4.0999999999999996</v>
      </c>
      <c r="DC28" s="8">
        <v>3.9</v>
      </c>
      <c r="DD28" s="8">
        <v>3</v>
      </c>
      <c r="DE28" s="8">
        <v>3.1</v>
      </c>
      <c r="DF28" s="8">
        <v>3.4</v>
      </c>
      <c r="DG28" s="8">
        <v>3.8</v>
      </c>
      <c r="DH28" s="8">
        <v>4.2</v>
      </c>
      <c r="DI28" s="8">
        <v>4.5</v>
      </c>
      <c r="DJ28" s="8">
        <v>4.7</v>
      </c>
      <c r="DK28" s="22">
        <v>5</v>
      </c>
    </row>
    <row r="29" spans="1:115" ht="14.15" customHeight="1" x14ac:dyDescent="0.25">
      <c r="A29" s="6" t="s">
        <v>22</v>
      </c>
      <c r="B29" s="6">
        <v>3144300</v>
      </c>
      <c r="C29" s="6" t="s">
        <v>64</v>
      </c>
      <c r="D29" s="6" t="str">
        <f>VLOOKUP(B29,Planilha1!$A:$B,2,0)</f>
        <v>Vale do Mucuri</v>
      </c>
      <c r="E29" s="7">
        <v>31154733</v>
      </c>
      <c r="F29" s="6" t="s">
        <v>65</v>
      </c>
      <c r="G29" s="6" t="s">
        <v>19</v>
      </c>
      <c r="H29" s="8" t="s">
        <v>38</v>
      </c>
      <c r="I29" s="8" t="s">
        <v>38</v>
      </c>
      <c r="J29" s="8" t="s">
        <v>38</v>
      </c>
      <c r="K29" s="8" t="s">
        <v>38</v>
      </c>
      <c r="L29" s="8" t="s">
        <v>38</v>
      </c>
      <c r="M29" s="9" t="s">
        <v>38</v>
      </c>
      <c r="N29" s="8" t="s">
        <v>38</v>
      </c>
      <c r="O29" s="8" t="s">
        <v>38</v>
      </c>
      <c r="P29" s="8" t="s">
        <v>38</v>
      </c>
      <c r="Q29" s="8" t="s">
        <v>38</v>
      </c>
      <c r="R29" s="8" t="s">
        <v>38</v>
      </c>
      <c r="S29" s="9" t="s">
        <v>38</v>
      </c>
      <c r="T29" s="8">
        <v>91.2</v>
      </c>
      <c r="U29" s="8">
        <v>96.6</v>
      </c>
      <c r="V29" s="8">
        <v>91.1</v>
      </c>
      <c r="W29" s="8">
        <v>86.7</v>
      </c>
      <c r="X29" s="8">
        <v>90.9</v>
      </c>
      <c r="Y29" s="9">
        <v>0.91190899999999997</v>
      </c>
      <c r="Z29" s="8">
        <v>91.8</v>
      </c>
      <c r="AA29" s="8">
        <v>93.3</v>
      </c>
      <c r="AB29" s="8">
        <v>90.5</v>
      </c>
      <c r="AC29" s="8">
        <v>87</v>
      </c>
      <c r="AD29" s="8">
        <v>95.7</v>
      </c>
      <c r="AE29" s="9">
        <v>0.91509300000000005</v>
      </c>
      <c r="AF29" s="8">
        <v>92</v>
      </c>
      <c r="AG29" s="8">
        <v>84</v>
      </c>
      <c r="AH29" s="8">
        <v>96.8</v>
      </c>
      <c r="AI29" s="8">
        <v>92.6</v>
      </c>
      <c r="AJ29" s="8">
        <v>94.1</v>
      </c>
      <c r="AK29" s="9">
        <v>0.91613999999999995</v>
      </c>
      <c r="AL29" s="8">
        <v>94.7</v>
      </c>
      <c r="AM29" s="8">
        <v>94.3</v>
      </c>
      <c r="AN29" s="8">
        <v>93.1</v>
      </c>
      <c r="AO29" s="8">
        <v>95</v>
      </c>
      <c r="AP29" s="8">
        <v>96.6</v>
      </c>
      <c r="AQ29" s="9">
        <v>0.94733100000000003</v>
      </c>
      <c r="AR29" s="8">
        <v>90.7</v>
      </c>
      <c r="AS29" s="8">
        <v>95.5</v>
      </c>
      <c r="AT29" s="8">
        <v>85.7</v>
      </c>
      <c r="AU29" s="8">
        <v>88.9</v>
      </c>
      <c r="AV29" s="8">
        <v>96</v>
      </c>
      <c r="AW29" s="9">
        <v>0.91313599999999995</v>
      </c>
      <c r="AX29" s="8">
        <v>96</v>
      </c>
      <c r="AY29" s="8">
        <v>93.3</v>
      </c>
      <c r="AZ29" s="8">
        <v>100</v>
      </c>
      <c r="BA29" s="8">
        <v>90</v>
      </c>
      <c r="BB29" s="8">
        <v>96.4</v>
      </c>
      <c r="BC29" s="9">
        <v>0.94780699999999996</v>
      </c>
      <c r="BD29" s="8" t="s">
        <v>38</v>
      </c>
      <c r="BE29" s="8" t="s">
        <v>38</v>
      </c>
      <c r="BF29" s="8" t="s">
        <v>38</v>
      </c>
      <c r="BG29" s="8" t="s">
        <v>38</v>
      </c>
      <c r="BH29" s="8" t="s">
        <v>38</v>
      </c>
      <c r="BI29" s="9" t="s">
        <v>38</v>
      </c>
      <c r="BJ29" s="8" t="s">
        <v>38</v>
      </c>
      <c r="BK29" s="8" t="s">
        <v>38</v>
      </c>
      <c r="BL29" s="8" t="s">
        <v>38</v>
      </c>
      <c r="BM29" s="8" t="s">
        <v>38</v>
      </c>
      <c r="BN29" s="8" t="s">
        <v>38</v>
      </c>
      <c r="BO29" s="9" t="s">
        <v>38</v>
      </c>
      <c r="BP29" s="9" t="s">
        <v>38</v>
      </c>
      <c r="BQ29" s="9" t="s">
        <v>38</v>
      </c>
      <c r="BR29" s="9" t="s">
        <v>38</v>
      </c>
      <c r="BS29" s="9" t="s">
        <v>38</v>
      </c>
      <c r="BT29" s="9" t="s">
        <v>38</v>
      </c>
      <c r="BU29" s="9" t="s">
        <v>38</v>
      </c>
      <c r="BV29" s="9">
        <v>242.13</v>
      </c>
      <c r="BW29" s="9">
        <v>245.62</v>
      </c>
      <c r="BX29" s="9">
        <v>4.795833</v>
      </c>
      <c r="BY29" s="9">
        <v>239.47</v>
      </c>
      <c r="BZ29" s="9">
        <v>236.46</v>
      </c>
      <c r="CA29" s="9">
        <v>4.5988329999999999</v>
      </c>
      <c r="CB29" s="9" t="s">
        <v>38</v>
      </c>
      <c r="CC29" s="9" t="s">
        <v>38</v>
      </c>
      <c r="CD29" s="9" t="s">
        <v>38</v>
      </c>
      <c r="CE29" s="9" t="s">
        <v>201</v>
      </c>
      <c r="CF29" s="9" t="s">
        <v>206</v>
      </c>
      <c r="CG29" s="9">
        <v>4.5243330000000004</v>
      </c>
      <c r="CH29" s="9">
        <v>249</v>
      </c>
      <c r="CI29" s="9">
        <v>246.95</v>
      </c>
      <c r="CJ29" s="9">
        <v>4.9325000000000001</v>
      </c>
      <c r="CK29" s="29">
        <v>234.34</v>
      </c>
      <c r="CL29" s="29">
        <v>232.9</v>
      </c>
      <c r="CM29" s="9">
        <v>4.4539999999999997</v>
      </c>
      <c r="CN29" s="29" t="s">
        <v>38</v>
      </c>
      <c r="CO29" s="29" t="s">
        <v>38</v>
      </c>
      <c r="CP29" s="9" t="s">
        <v>38</v>
      </c>
      <c r="CQ29" s="29" t="s">
        <v>38</v>
      </c>
      <c r="CR29" s="29" t="s">
        <v>38</v>
      </c>
      <c r="CS29" s="9" t="s">
        <v>38</v>
      </c>
      <c r="CT29" s="8" t="s">
        <v>38</v>
      </c>
      <c r="CU29" s="8" t="s">
        <v>38</v>
      </c>
      <c r="CV29" s="8">
        <v>4.4000000000000004</v>
      </c>
      <c r="CW29" s="8">
        <v>4.2</v>
      </c>
      <c r="CX29" s="8" t="s">
        <v>38</v>
      </c>
      <c r="CY29" s="8">
        <v>4.3</v>
      </c>
      <c r="CZ29" s="8">
        <v>4.5</v>
      </c>
      <c r="DA29" s="8">
        <v>4.2</v>
      </c>
      <c r="DB29" s="8" t="s">
        <v>38</v>
      </c>
      <c r="DC29" s="8" t="s">
        <v>38</v>
      </c>
      <c r="DD29" s="8" t="s">
        <v>38</v>
      </c>
      <c r="DE29" s="8" t="s">
        <v>38</v>
      </c>
      <c r="DF29" s="8">
        <v>4.5</v>
      </c>
      <c r="DG29" s="8">
        <v>4.8</v>
      </c>
      <c r="DH29" s="8">
        <v>5.0999999999999996</v>
      </c>
      <c r="DI29" s="8">
        <v>5.4</v>
      </c>
      <c r="DJ29" s="8">
        <v>5.6</v>
      </c>
      <c r="DK29" s="22">
        <v>5.9</v>
      </c>
    </row>
    <row r="30" spans="1:115" ht="14.15" customHeight="1" x14ac:dyDescent="0.25">
      <c r="A30" s="6" t="s">
        <v>22</v>
      </c>
      <c r="B30" s="6">
        <v>3144300</v>
      </c>
      <c r="C30" s="6" t="s">
        <v>64</v>
      </c>
      <c r="D30" s="6" t="str">
        <f>VLOOKUP(B30,Planilha1!$A:$B,2,0)</f>
        <v>Vale do Mucuri</v>
      </c>
      <c r="E30" s="7">
        <v>31347795</v>
      </c>
      <c r="F30" s="6" t="s">
        <v>37</v>
      </c>
      <c r="G30" s="6" t="s">
        <v>19</v>
      </c>
      <c r="H30" s="8" t="s">
        <v>38</v>
      </c>
      <c r="I30" s="8" t="s">
        <v>38</v>
      </c>
      <c r="J30" s="8" t="s">
        <v>38</v>
      </c>
      <c r="K30" s="8" t="s">
        <v>38</v>
      </c>
      <c r="L30" s="8" t="s">
        <v>38</v>
      </c>
      <c r="M30" s="9" t="s">
        <v>38</v>
      </c>
      <c r="N30" s="8" t="s">
        <v>38</v>
      </c>
      <c r="O30" s="8" t="s">
        <v>38</v>
      </c>
      <c r="P30" s="8" t="s">
        <v>38</v>
      </c>
      <c r="Q30" s="8" t="s">
        <v>38</v>
      </c>
      <c r="R30" s="8" t="s">
        <v>38</v>
      </c>
      <c r="S30" s="9" t="s">
        <v>38</v>
      </c>
      <c r="T30" s="8" t="s">
        <v>38</v>
      </c>
      <c r="U30" s="8" t="s">
        <v>38</v>
      </c>
      <c r="V30" s="8" t="s">
        <v>38</v>
      </c>
      <c r="W30" s="8" t="s">
        <v>38</v>
      </c>
      <c r="X30" s="8" t="s">
        <v>38</v>
      </c>
      <c r="Y30" s="9" t="s">
        <v>38</v>
      </c>
      <c r="Z30" s="8">
        <v>78.7</v>
      </c>
      <c r="AA30" s="8">
        <v>78.099999999999994</v>
      </c>
      <c r="AB30" s="8">
        <v>76.2</v>
      </c>
      <c r="AC30" s="8">
        <v>86.4</v>
      </c>
      <c r="AD30" s="8">
        <v>73.7</v>
      </c>
      <c r="AE30" s="9">
        <v>0.78323799999999999</v>
      </c>
      <c r="AF30" s="8">
        <v>85.6</v>
      </c>
      <c r="AG30" s="8">
        <v>86.4</v>
      </c>
      <c r="AH30" s="8">
        <v>93.2</v>
      </c>
      <c r="AI30" s="8">
        <v>78.8</v>
      </c>
      <c r="AJ30" s="8">
        <v>85</v>
      </c>
      <c r="AK30" s="9">
        <v>0.85545499999999997</v>
      </c>
      <c r="AL30" s="8">
        <v>83.5</v>
      </c>
      <c r="AM30" s="8">
        <v>90</v>
      </c>
      <c r="AN30" s="8">
        <v>92.1</v>
      </c>
      <c r="AO30" s="8">
        <v>75</v>
      </c>
      <c r="AP30" s="8">
        <v>73.7</v>
      </c>
      <c r="AQ30" s="9">
        <v>0.81848600000000005</v>
      </c>
      <c r="AR30" s="8">
        <v>64.7</v>
      </c>
      <c r="AS30" s="8">
        <v>58.5</v>
      </c>
      <c r="AT30" s="8">
        <v>68.400000000000006</v>
      </c>
      <c r="AU30" s="8">
        <v>63.8</v>
      </c>
      <c r="AV30" s="8">
        <v>82.4</v>
      </c>
      <c r="AW30" s="9">
        <v>0.67200000000000004</v>
      </c>
      <c r="AX30" s="8">
        <v>70.900000000000006</v>
      </c>
      <c r="AY30" s="8">
        <v>67.5</v>
      </c>
      <c r="AZ30" s="8">
        <v>67.2</v>
      </c>
      <c r="BA30" s="8">
        <v>74.5</v>
      </c>
      <c r="BB30" s="8">
        <v>82.1</v>
      </c>
      <c r="BC30" s="9">
        <v>0.72334200000000004</v>
      </c>
      <c r="BD30" s="8">
        <v>89.4</v>
      </c>
      <c r="BE30" s="8">
        <v>91.9</v>
      </c>
      <c r="BF30" s="8">
        <v>82</v>
      </c>
      <c r="BG30" s="8">
        <v>93.3</v>
      </c>
      <c r="BH30" s="8">
        <v>91.5</v>
      </c>
      <c r="BI30" s="9">
        <v>0.89438300000000004</v>
      </c>
      <c r="BJ30" s="8">
        <v>78.599999999999994</v>
      </c>
      <c r="BK30" s="8">
        <v>85.3</v>
      </c>
      <c r="BL30" s="8">
        <v>73.900000000000006</v>
      </c>
      <c r="BM30" s="8">
        <v>76.7</v>
      </c>
      <c r="BN30" s="8">
        <v>76.7</v>
      </c>
      <c r="BO30" s="9">
        <v>0.77925999999999995</v>
      </c>
      <c r="BP30" s="9" t="s">
        <v>38</v>
      </c>
      <c r="BQ30" s="9" t="s">
        <v>38</v>
      </c>
      <c r="BR30" s="9" t="s">
        <v>38</v>
      </c>
      <c r="BS30" s="9" t="s">
        <v>38</v>
      </c>
      <c r="BT30" s="9" t="s">
        <v>38</v>
      </c>
      <c r="BU30" s="9" t="s">
        <v>38</v>
      </c>
      <c r="BV30" s="9" t="s">
        <v>38</v>
      </c>
      <c r="BW30" s="9" t="s">
        <v>38</v>
      </c>
      <c r="BX30" s="9" t="s">
        <v>38</v>
      </c>
      <c r="BY30" s="9">
        <v>237.75</v>
      </c>
      <c r="BZ30" s="9">
        <v>228.71</v>
      </c>
      <c r="CA30" s="9">
        <v>4.4409999999999998</v>
      </c>
      <c r="CB30" s="9">
        <v>233.48</v>
      </c>
      <c r="CC30" s="9">
        <v>235.59</v>
      </c>
      <c r="CD30" s="9">
        <v>4.4844999999999997</v>
      </c>
      <c r="CE30" s="9" t="s">
        <v>188</v>
      </c>
      <c r="CF30" s="9" t="s">
        <v>214</v>
      </c>
      <c r="CG30" s="9">
        <v>5.0274999999999999</v>
      </c>
      <c r="CH30" s="9">
        <v>231.4</v>
      </c>
      <c r="CI30" s="9">
        <v>258.48</v>
      </c>
      <c r="CJ30" s="9">
        <v>4.8313329999999999</v>
      </c>
      <c r="CK30" s="9" t="s">
        <v>39</v>
      </c>
      <c r="CL30" s="9" t="s">
        <v>39</v>
      </c>
      <c r="CM30" s="9" t="s">
        <v>38</v>
      </c>
      <c r="CN30" s="9" t="s">
        <v>39</v>
      </c>
      <c r="CO30" s="9" t="s">
        <v>39</v>
      </c>
      <c r="CP30" s="9" t="s">
        <v>38</v>
      </c>
      <c r="CQ30" s="9" t="s">
        <v>39</v>
      </c>
      <c r="CR30" s="9" t="s">
        <v>39</v>
      </c>
      <c r="CS30" s="9" t="s">
        <v>38</v>
      </c>
      <c r="CT30" s="8" t="s">
        <v>38</v>
      </c>
      <c r="CU30" s="8" t="s">
        <v>38</v>
      </c>
      <c r="CV30" s="8" t="s">
        <v>38</v>
      </c>
      <c r="CW30" s="8">
        <v>3.5</v>
      </c>
      <c r="CX30" s="8">
        <v>3.8</v>
      </c>
      <c r="CY30" s="8">
        <v>4.0999999999999996</v>
      </c>
      <c r="CZ30" s="8">
        <v>3.2</v>
      </c>
      <c r="DA30" s="8" t="s">
        <v>38</v>
      </c>
      <c r="DB30" s="8" t="s">
        <v>38</v>
      </c>
      <c r="DC30" s="8" t="s">
        <v>38</v>
      </c>
      <c r="DD30" s="8" t="s">
        <v>38</v>
      </c>
      <c r="DE30" s="8" t="s">
        <v>38</v>
      </c>
      <c r="DF30" s="8" t="s">
        <v>38</v>
      </c>
      <c r="DG30" s="8">
        <v>3.7</v>
      </c>
      <c r="DH30" s="8">
        <v>4</v>
      </c>
      <c r="DI30" s="8">
        <v>4.2</v>
      </c>
      <c r="DJ30" s="8">
        <v>4.5</v>
      </c>
      <c r="DK30" s="22">
        <v>4.8</v>
      </c>
    </row>
    <row r="31" spans="1:115" ht="14.15" customHeight="1" x14ac:dyDescent="0.25">
      <c r="A31" s="6" t="s">
        <v>22</v>
      </c>
      <c r="B31" s="6">
        <v>3145356</v>
      </c>
      <c r="C31" s="6" t="s">
        <v>66</v>
      </c>
      <c r="D31" s="6" t="str">
        <f>VLOOKUP(B31,Planilha1!$A:$B,2,0)</f>
        <v>Vale do Mucuri</v>
      </c>
      <c r="E31" s="7">
        <v>31156892</v>
      </c>
      <c r="F31" s="6" t="s">
        <v>75</v>
      </c>
      <c r="G31" s="6" t="s">
        <v>19</v>
      </c>
      <c r="H31" s="8" t="s">
        <v>38</v>
      </c>
      <c r="I31" s="8" t="s">
        <v>38</v>
      </c>
      <c r="J31" s="8" t="s">
        <v>38</v>
      </c>
      <c r="K31" s="8" t="s">
        <v>38</v>
      </c>
      <c r="L31" s="8" t="s">
        <v>38</v>
      </c>
      <c r="M31" s="9" t="s">
        <v>38</v>
      </c>
      <c r="N31" s="8" t="s">
        <v>38</v>
      </c>
      <c r="O31" s="8" t="s">
        <v>38</v>
      </c>
      <c r="P31" s="8" t="s">
        <v>38</v>
      </c>
      <c r="Q31" s="8" t="s">
        <v>38</v>
      </c>
      <c r="R31" s="8" t="s">
        <v>38</v>
      </c>
      <c r="S31" s="9" t="s">
        <v>38</v>
      </c>
      <c r="T31" s="8" t="s">
        <v>38</v>
      </c>
      <c r="U31" s="8" t="s">
        <v>38</v>
      </c>
      <c r="V31" s="8" t="s">
        <v>38</v>
      </c>
      <c r="W31" s="8" t="s">
        <v>38</v>
      </c>
      <c r="X31" s="8" t="s">
        <v>38</v>
      </c>
      <c r="Y31" s="9" t="s">
        <v>38</v>
      </c>
      <c r="Z31" s="8" t="s">
        <v>38</v>
      </c>
      <c r="AA31" s="8" t="s">
        <v>38</v>
      </c>
      <c r="AB31" s="8" t="s">
        <v>38</v>
      </c>
      <c r="AC31" s="8" t="s">
        <v>38</v>
      </c>
      <c r="AD31" s="8" t="s">
        <v>38</v>
      </c>
      <c r="AE31" s="9" t="s">
        <v>38</v>
      </c>
      <c r="AF31" s="8" t="s">
        <v>38</v>
      </c>
      <c r="AG31" s="8" t="s">
        <v>38</v>
      </c>
      <c r="AH31" s="8" t="s">
        <v>38</v>
      </c>
      <c r="AI31" s="8" t="s">
        <v>38</v>
      </c>
      <c r="AJ31" s="8" t="s">
        <v>38</v>
      </c>
      <c r="AK31" s="9" t="s">
        <v>38</v>
      </c>
      <c r="AL31" s="8" t="s">
        <v>38</v>
      </c>
      <c r="AM31" s="8" t="s">
        <v>38</v>
      </c>
      <c r="AN31" s="8" t="s">
        <v>38</v>
      </c>
      <c r="AO31" s="8" t="s">
        <v>38</v>
      </c>
      <c r="AP31" s="8" t="s">
        <v>38</v>
      </c>
      <c r="AQ31" s="9" t="s">
        <v>38</v>
      </c>
      <c r="AR31" s="8">
        <v>100</v>
      </c>
      <c r="AS31" s="8">
        <v>100</v>
      </c>
      <c r="AT31" s="8">
        <v>100</v>
      </c>
      <c r="AU31" s="8">
        <v>100</v>
      </c>
      <c r="AV31" s="8">
        <v>100</v>
      </c>
      <c r="AW31" s="9">
        <v>1</v>
      </c>
      <c r="AX31" s="8" t="s">
        <v>38</v>
      </c>
      <c r="AY31" s="8" t="s">
        <v>38</v>
      </c>
      <c r="AZ31" s="8" t="s">
        <v>38</v>
      </c>
      <c r="BA31" s="8" t="s">
        <v>38</v>
      </c>
      <c r="BB31" s="8" t="s">
        <v>38</v>
      </c>
      <c r="BC31" s="9" t="s">
        <v>38</v>
      </c>
      <c r="BD31" s="8" t="s">
        <v>38</v>
      </c>
      <c r="BE31" s="8" t="s">
        <v>38</v>
      </c>
      <c r="BF31" s="8" t="s">
        <v>38</v>
      </c>
      <c r="BG31" s="8" t="s">
        <v>38</v>
      </c>
      <c r="BH31" s="8" t="s">
        <v>38</v>
      </c>
      <c r="BI31" s="9" t="s">
        <v>38</v>
      </c>
      <c r="BJ31" s="8">
        <v>100</v>
      </c>
      <c r="BK31" s="8">
        <v>100</v>
      </c>
      <c r="BL31" s="8">
        <v>100</v>
      </c>
      <c r="BM31" s="8">
        <v>100</v>
      </c>
      <c r="BN31" s="8">
        <v>100</v>
      </c>
      <c r="BO31" s="9">
        <v>1</v>
      </c>
      <c r="BP31" s="9" t="s">
        <v>38</v>
      </c>
      <c r="BQ31" s="9" t="s">
        <v>38</v>
      </c>
      <c r="BR31" s="9" t="s">
        <v>38</v>
      </c>
      <c r="BS31" s="9" t="s">
        <v>38</v>
      </c>
      <c r="BT31" s="9" t="s">
        <v>38</v>
      </c>
      <c r="BU31" s="9" t="s">
        <v>38</v>
      </c>
      <c r="BV31" s="9" t="s">
        <v>38</v>
      </c>
      <c r="BW31" s="9" t="s">
        <v>38</v>
      </c>
      <c r="BX31" s="9" t="s">
        <v>38</v>
      </c>
      <c r="BY31" s="9" t="s">
        <v>38</v>
      </c>
      <c r="BZ31" s="9" t="s">
        <v>38</v>
      </c>
      <c r="CA31" s="9" t="s">
        <v>38</v>
      </c>
      <c r="CB31" s="9" t="s">
        <v>38</v>
      </c>
      <c r="CC31" s="9" t="s">
        <v>38</v>
      </c>
      <c r="CD31" s="9" t="s">
        <v>38</v>
      </c>
      <c r="CE31" s="9" t="s">
        <v>38</v>
      </c>
      <c r="CF31" s="9" t="s">
        <v>38</v>
      </c>
      <c r="CG31" s="9" t="s">
        <v>38</v>
      </c>
      <c r="CH31" s="9">
        <v>228.72</v>
      </c>
      <c r="CI31" s="9">
        <v>240.18</v>
      </c>
      <c r="CJ31" s="9">
        <v>4.4816669999999998</v>
      </c>
      <c r="CK31" s="9" t="s">
        <v>38</v>
      </c>
      <c r="CL31" s="9" t="s">
        <v>38</v>
      </c>
      <c r="CM31" s="9" t="s">
        <v>38</v>
      </c>
      <c r="CN31" s="9" t="s">
        <v>38</v>
      </c>
      <c r="CO31" s="9" t="s">
        <v>38</v>
      </c>
      <c r="CP31" s="9" t="s">
        <v>38</v>
      </c>
      <c r="CQ31" s="9">
        <v>212.63</v>
      </c>
      <c r="CR31" s="9">
        <v>207.76</v>
      </c>
      <c r="CS31" s="9">
        <v>3.6731669999999998</v>
      </c>
      <c r="CT31" s="8" t="s">
        <v>38</v>
      </c>
      <c r="CU31" s="8" t="s">
        <v>38</v>
      </c>
      <c r="CV31" s="8" t="s">
        <v>38</v>
      </c>
      <c r="CW31" s="8" t="s">
        <v>38</v>
      </c>
      <c r="CX31" s="8" t="s">
        <v>38</v>
      </c>
      <c r="CY31" s="8" t="s">
        <v>38</v>
      </c>
      <c r="CZ31" s="8">
        <v>4.5</v>
      </c>
      <c r="DA31" s="8" t="s">
        <v>38</v>
      </c>
      <c r="DB31" s="8" t="s">
        <v>38</v>
      </c>
      <c r="DC31" s="8">
        <v>3.7</v>
      </c>
      <c r="DD31" s="8" t="s">
        <v>38</v>
      </c>
      <c r="DE31" s="8" t="s">
        <v>38</v>
      </c>
      <c r="DF31" s="8" t="s">
        <v>38</v>
      </c>
      <c r="DG31" s="8" t="s">
        <v>38</v>
      </c>
      <c r="DH31" s="8" t="s">
        <v>38</v>
      </c>
      <c r="DI31" s="8" t="s">
        <v>38</v>
      </c>
      <c r="DJ31" s="8">
        <v>4.7</v>
      </c>
      <c r="DK31" s="22">
        <v>5</v>
      </c>
    </row>
    <row r="32" spans="1:115" ht="14.15" customHeight="1" x14ac:dyDescent="0.25">
      <c r="A32" s="6" t="s">
        <v>22</v>
      </c>
      <c r="B32" s="6">
        <v>3145356</v>
      </c>
      <c r="C32" s="6" t="s">
        <v>66</v>
      </c>
      <c r="D32" s="6" t="str">
        <f>VLOOKUP(B32,Planilha1!$A:$B,2,0)</f>
        <v>Vale do Mucuri</v>
      </c>
      <c r="E32" s="7">
        <v>31157210</v>
      </c>
      <c r="F32" s="6" t="s">
        <v>28</v>
      </c>
      <c r="G32" s="6" t="s">
        <v>19</v>
      </c>
      <c r="H32" s="8" t="s">
        <v>38</v>
      </c>
      <c r="I32" s="8" t="s">
        <v>38</v>
      </c>
      <c r="J32" s="8" t="s">
        <v>38</v>
      </c>
      <c r="K32" s="8" t="s">
        <v>38</v>
      </c>
      <c r="L32" s="8" t="s">
        <v>38</v>
      </c>
      <c r="M32" s="9" t="s">
        <v>38</v>
      </c>
      <c r="N32" s="8" t="s">
        <v>38</v>
      </c>
      <c r="O32" s="8" t="s">
        <v>38</v>
      </c>
      <c r="P32" s="8" t="s">
        <v>38</v>
      </c>
      <c r="Q32" s="8" t="s">
        <v>38</v>
      </c>
      <c r="R32" s="8" t="s">
        <v>38</v>
      </c>
      <c r="S32" s="9" t="s">
        <v>38</v>
      </c>
      <c r="T32" s="8">
        <v>80.3</v>
      </c>
      <c r="U32" s="8">
        <v>79.599999999999994</v>
      </c>
      <c r="V32" s="8">
        <v>83.9</v>
      </c>
      <c r="W32" s="8">
        <v>78.8</v>
      </c>
      <c r="X32" s="8">
        <v>77.099999999999994</v>
      </c>
      <c r="Y32" s="9">
        <v>0.79773000000000005</v>
      </c>
      <c r="Z32" s="8" t="s">
        <v>38</v>
      </c>
      <c r="AA32" s="8" t="s">
        <v>38</v>
      </c>
      <c r="AB32" s="8" t="s">
        <v>38</v>
      </c>
      <c r="AC32" s="8" t="s">
        <v>38</v>
      </c>
      <c r="AD32" s="8" t="s">
        <v>38</v>
      </c>
      <c r="AE32" s="9" t="s">
        <v>38</v>
      </c>
      <c r="AF32" s="8" t="s">
        <v>38</v>
      </c>
      <c r="AG32" s="8" t="s">
        <v>38</v>
      </c>
      <c r="AH32" s="8" t="s">
        <v>38</v>
      </c>
      <c r="AI32" s="8" t="s">
        <v>38</v>
      </c>
      <c r="AJ32" s="8" t="s">
        <v>38</v>
      </c>
      <c r="AK32" s="9" t="s">
        <v>38</v>
      </c>
      <c r="AL32" s="8" t="s">
        <v>38</v>
      </c>
      <c r="AM32" s="8" t="s">
        <v>38</v>
      </c>
      <c r="AN32" s="8" t="s">
        <v>38</v>
      </c>
      <c r="AO32" s="8" t="s">
        <v>38</v>
      </c>
      <c r="AP32" s="8" t="s">
        <v>38</v>
      </c>
      <c r="AQ32" s="9" t="s">
        <v>38</v>
      </c>
      <c r="AR32" s="8" t="s">
        <v>38</v>
      </c>
      <c r="AS32" s="8" t="s">
        <v>38</v>
      </c>
      <c r="AT32" s="8" t="s">
        <v>38</v>
      </c>
      <c r="AU32" s="8" t="s">
        <v>38</v>
      </c>
      <c r="AV32" s="8" t="s">
        <v>38</v>
      </c>
      <c r="AW32" s="9" t="s">
        <v>38</v>
      </c>
      <c r="AX32" s="8" t="s">
        <v>38</v>
      </c>
      <c r="AY32" s="8" t="s">
        <v>38</v>
      </c>
      <c r="AZ32" s="8" t="s">
        <v>38</v>
      </c>
      <c r="BA32" s="8" t="s">
        <v>38</v>
      </c>
      <c r="BB32" s="8" t="s">
        <v>38</v>
      </c>
      <c r="BC32" s="9" t="s">
        <v>38</v>
      </c>
      <c r="BD32" s="8" t="s">
        <v>38</v>
      </c>
      <c r="BE32" s="8" t="s">
        <v>38</v>
      </c>
      <c r="BF32" s="8" t="s">
        <v>38</v>
      </c>
      <c r="BG32" s="8" t="s">
        <v>38</v>
      </c>
      <c r="BH32" s="8" t="s">
        <v>38</v>
      </c>
      <c r="BI32" s="9" t="s">
        <v>38</v>
      </c>
      <c r="BJ32" s="8" t="s">
        <v>38</v>
      </c>
      <c r="BK32" s="8" t="s">
        <v>38</v>
      </c>
      <c r="BL32" s="8" t="s">
        <v>38</v>
      </c>
      <c r="BM32" s="8" t="s">
        <v>38</v>
      </c>
      <c r="BN32" s="8" t="s">
        <v>38</v>
      </c>
      <c r="BO32" s="9" t="s">
        <v>38</v>
      </c>
      <c r="BP32" s="9" t="s">
        <v>38</v>
      </c>
      <c r="BQ32" s="9" t="s">
        <v>38</v>
      </c>
      <c r="BR32" s="9" t="s">
        <v>38</v>
      </c>
      <c r="BS32" s="9" t="s">
        <v>38</v>
      </c>
      <c r="BT32" s="9" t="s">
        <v>38</v>
      </c>
      <c r="BU32" s="9" t="s">
        <v>38</v>
      </c>
      <c r="BV32" s="9">
        <v>227.12</v>
      </c>
      <c r="BW32" s="9">
        <v>222.07</v>
      </c>
      <c r="BX32" s="9">
        <v>4.1531669999999998</v>
      </c>
      <c r="BY32" s="9" t="s">
        <v>38</v>
      </c>
      <c r="BZ32" s="9" t="s">
        <v>38</v>
      </c>
      <c r="CA32" s="9" t="s">
        <v>38</v>
      </c>
      <c r="CB32" s="9" t="s">
        <v>38</v>
      </c>
      <c r="CC32" s="9" t="s">
        <v>38</v>
      </c>
      <c r="CD32" s="9" t="s">
        <v>38</v>
      </c>
      <c r="CE32" s="29" t="s">
        <v>38</v>
      </c>
      <c r="CF32" s="29" t="s">
        <v>38</v>
      </c>
      <c r="CG32" s="9" t="s">
        <v>38</v>
      </c>
      <c r="CH32" s="9" t="s">
        <v>38</v>
      </c>
      <c r="CI32" s="9" t="s">
        <v>38</v>
      </c>
      <c r="CJ32" s="9" t="s">
        <v>38</v>
      </c>
      <c r="CK32" s="29" t="s">
        <v>38</v>
      </c>
      <c r="CL32" s="29" t="s">
        <v>38</v>
      </c>
      <c r="CM32" s="9" t="s">
        <v>38</v>
      </c>
      <c r="CN32" s="29" t="s">
        <v>38</v>
      </c>
      <c r="CO32" s="29" t="s">
        <v>38</v>
      </c>
      <c r="CP32" s="9" t="s">
        <v>38</v>
      </c>
      <c r="CQ32" s="29" t="s">
        <v>38</v>
      </c>
      <c r="CR32" s="29" t="s">
        <v>38</v>
      </c>
      <c r="CS32" s="9" t="s">
        <v>38</v>
      </c>
      <c r="CT32" s="8" t="s">
        <v>38</v>
      </c>
      <c r="CU32" s="8" t="s">
        <v>38</v>
      </c>
      <c r="CV32" s="8">
        <v>3.3</v>
      </c>
      <c r="CW32" s="8" t="s">
        <v>38</v>
      </c>
      <c r="CX32" s="8" t="s">
        <v>38</v>
      </c>
      <c r="CY32" s="8" t="s">
        <v>38</v>
      </c>
      <c r="CZ32" s="8" t="s">
        <v>38</v>
      </c>
      <c r="DA32" s="8" t="s">
        <v>38</v>
      </c>
      <c r="DB32" s="8" t="s">
        <v>38</v>
      </c>
      <c r="DC32" s="8" t="s">
        <v>38</v>
      </c>
      <c r="DD32" s="8" t="s">
        <v>38</v>
      </c>
      <c r="DE32" s="8" t="s">
        <v>38</v>
      </c>
      <c r="DF32" s="8">
        <v>3.5</v>
      </c>
      <c r="DG32" s="8">
        <v>3.7</v>
      </c>
      <c r="DH32" s="8">
        <v>4.0999999999999996</v>
      </c>
      <c r="DI32" s="8">
        <v>4.3</v>
      </c>
      <c r="DJ32" s="8">
        <v>4.5999999999999996</v>
      </c>
      <c r="DK32" s="22">
        <v>4.9000000000000004</v>
      </c>
    </row>
    <row r="33" spans="1:115" ht="14.15" customHeight="1" x14ac:dyDescent="0.25">
      <c r="A33" s="6" t="s">
        <v>22</v>
      </c>
      <c r="B33" s="6">
        <v>3145356</v>
      </c>
      <c r="C33" s="6" t="s">
        <v>66</v>
      </c>
      <c r="D33" s="6" t="str">
        <f>VLOOKUP(B33,Planilha1!$A:$B,2,0)</f>
        <v>Vale do Mucuri</v>
      </c>
      <c r="E33" s="7">
        <v>31157279</v>
      </c>
      <c r="F33" s="6" t="s">
        <v>76</v>
      </c>
      <c r="G33" s="6" t="s">
        <v>19</v>
      </c>
      <c r="H33" s="8" t="s">
        <v>38</v>
      </c>
      <c r="I33" s="8" t="s">
        <v>38</v>
      </c>
      <c r="J33" s="8" t="s">
        <v>38</v>
      </c>
      <c r="K33" s="8" t="s">
        <v>38</v>
      </c>
      <c r="L33" s="8" t="s">
        <v>38</v>
      </c>
      <c r="M33" s="9" t="s">
        <v>38</v>
      </c>
      <c r="N33" s="8" t="s">
        <v>38</v>
      </c>
      <c r="O33" s="8" t="s">
        <v>38</v>
      </c>
      <c r="P33" s="8" t="s">
        <v>38</v>
      </c>
      <c r="Q33" s="8" t="s">
        <v>38</v>
      </c>
      <c r="R33" s="8" t="s">
        <v>38</v>
      </c>
      <c r="S33" s="9" t="s">
        <v>38</v>
      </c>
      <c r="T33" s="8" t="s">
        <v>38</v>
      </c>
      <c r="U33" s="8" t="s">
        <v>38</v>
      </c>
      <c r="V33" s="8" t="s">
        <v>38</v>
      </c>
      <c r="W33" s="8" t="s">
        <v>38</v>
      </c>
      <c r="X33" s="8" t="s">
        <v>38</v>
      </c>
      <c r="Y33" s="9" t="s">
        <v>38</v>
      </c>
      <c r="Z33" s="8" t="s">
        <v>38</v>
      </c>
      <c r="AA33" s="8" t="s">
        <v>38</v>
      </c>
      <c r="AB33" s="8" t="s">
        <v>38</v>
      </c>
      <c r="AC33" s="8" t="s">
        <v>38</v>
      </c>
      <c r="AD33" s="8" t="s">
        <v>38</v>
      </c>
      <c r="AE33" s="9" t="s">
        <v>38</v>
      </c>
      <c r="AF33" s="8" t="s">
        <v>38</v>
      </c>
      <c r="AG33" s="8" t="s">
        <v>38</v>
      </c>
      <c r="AH33" s="8" t="s">
        <v>38</v>
      </c>
      <c r="AI33" s="8" t="s">
        <v>38</v>
      </c>
      <c r="AJ33" s="8" t="s">
        <v>38</v>
      </c>
      <c r="AK33" s="9" t="s">
        <v>38</v>
      </c>
      <c r="AL33" s="8" t="s">
        <v>38</v>
      </c>
      <c r="AM33" s="8" t="s">
        <v>38</v>
      </c>
      <c r="AN33" s="8" t="s">
        <v>38</v>
      </c>
      <c r="AO33" s="8" t="s">
        <v>38</v>
      </c>
      <c r="AP33" s="8" t="s">
        <v>38</v>
      </c>
      <c r="AQ33" s="9" t="s">
        <v>38</v>
      </c>
      <c r="AR33" s="8">
        <v>96.2</v>
      </c>
      <c r="AS33" s="8">
        <v>100</v>
      </c>
      <c r="AT33" s="8">
        <v>100</v>
      </c>
      <c r="AU33" s="8">
        <v>100</v>
      </c>
      <c r="AV33" s="8">
        <v>87.5</v>
      </c>
      <c r="AW33" s="9">
        <v>0.96551699999999996</v>
      </c>
      <c r="AX33" s="8" t="s">
        <v>38</v>
      </c>
      <c r="AY33" s="8" t="s">
        <v>38</v>
      </c>
      <c r="AZ33" s="8" t="s">
        <v>38</v>
      </c>
      <c r="BA33" s="8" t="s">
        <v>38</v>
      </c>
      <c r="BB33" s="8" t="s">
        <v>38</v>
      </c>
      <c r="BC33" s="9" t="s">
        <v>38</v>
      </c>
      <c r="BD33" s="8" t="s">
        <v>38</v>
      </c>
      <c r="BE33" s="8" t="s">
        <v>38</v>
      </c>
      <c r="BF33" s="8" t="s">
        <v>38</v>
      </c>
      <c r="BG33" s="8" t="s">
        <v>38</v>
      </c>
      <c r="BH33" s="8" t="s">
        <v>38</v>
      </c>
      <c r="BI33" s="9" t="s">
        <v>38</v>
      </c>
      <c r="BJ33" s="8" t="s">
        <v>38</v>
      </c>
      <c r="BK33" s="8" t="s">
        <v>38</v>
      </c>
      <c r="BL33" s="8" t="s">
        <v>38</v>
      </c>
      <c r="BM33" s="8" t="s">
        <v>38</v>
      </c>
      <c r="BN33" s="8" t="s">
        <v>38</v>
      </c>
      <c r="BO33" s="9" t="s">
        <v>38</v>
      </c>
      <c r="BP33" s="9" t="s">
        <v>38</v>
      </c>
      <c r="BQ33" s="9" t="s">
        <v>38</v>
      </c>
      <c r="BR33" s="9" t="s">
        <v>38</v>
      </c>
      <c r="BS33" s="9" t="s">
        <v>38</v>
      </c>
      <c r="BT33" s="9" t="s">
        <v>38</v>
      </c>
      <c r="BU33" s="9" t="s">
        <v>38</v>
      </c>
      <c r="BV33" s="9" t="s">
        <v>38</v>
      </c>
      <c r="BW33" s="9" t="s">
        <v>38</v>
      </c>
      <c r="BX33" s="9" t="s">
        <v>38</v>
      </c>
      <c r="BY33" s="9" t="s">
        <v>38</v>
      </c>
      <c r="BZ33" s="9" t="s">
        <v>38</v>
      </c>
      <c r="CA33" s="9" t="s">
        <v>38</v>
      </c>
      <c r="CB33" s="9" t="s">
        <v>38</v>
      </c>
      <c r="CC33" s="9" t="s">
        <v>38</v>
      </c>
      <c r="CD33" s="9" t="s">
        <v>38</v>
      </c>
      <c r="CE33" s="9" t="s">
        <v>38</v>
      </c>
      <c r="CF33" s="9" t="s">
        <v>38</v>
      </c>
      <c r="CG33" s="9" t="s">
        <v>38</v>
      </c>
      <c r="CH33" s="9">
        <v>220.63</v>
      </c>
      <c r="CI33" s="9">
        <v>214.47</v>
      </c>
      <c r="CJ33" s="9">
        <v>3.9183330000000001</v>
      </c>
      <c r="CK33" s="29" t="s">
        <v>38</v>
      </c>
      <c r="CL33" s="29" t="s">
        <v>38</v>
      </c>
      <c r="CM33" s="9" t="s">
        <v>38</v>
      </c>
      <c r="CN33" s="29" t="s">
        <v>38</v>
      </c>
      <c r="CO33" s="29" t="s">
        <v>38</v>
      </c>
      <c r="CP33" s="9" t="s">
        <v>38</v>
      </c>
      <c r="CQ33" s="29" t="s">
        <v>38</v>
      </c>
      <c r="CR33" s="29" t="s">
        <v>38</v>
      </c>
      <c r="CS33" s="9" t="s">
        <v>38</v>
      </c>
      <c r="CT33" s="8" t="s">
        <v>38</v>
      </c>
      <c r="CU33" s="8" t="s">
        <v>38</v>
      </c>
      <c r="CV33" s="8" t="s">
        <v>38</v>
      </c>
      <c r="CW33" s="8" t="s">
        <v>38</v>
      </c>
      <c r="CX33" s="8" t="s">
        <v>38</v>
      </c>
      <c r="CY33" s="8" t="s">
        <v>38</v>
      </c>
      <c r="CZ33" s="8">
        <v>3.8</v>
      </c>
      <c r="DA33" s="8" t="s">
        <v>38</v>
      </c>
      <c r="DB33" s="8" t="s">
        <v>38</v>
      </c>
      <c r="DC33" s="8" t="s">
        <v>38</v>
      </c>
      <c r="DD33" s="8" t="s">
        <v>38</v>
      </c>
      <c r="DE33" s="8" t="s">
        <v>38</v>
      </c>
      <c r="DF33" s="8" t="s">
        <v>38</v>
      </c>
      <c r="DG33" s="8" t="s">
        <v>38</v>
      </c>
      <c r="DH33" s="8" t="s">
        <v>38</v>
      </c>
      <c r="DI33" s="8" t="s">
        <v>38</v>
      </c>
      <c r="DJ33" s="8">
        <v>4</v>
      </c>
      <c r="DK33" s="22">
        <v>4.3</v>
      </c>
    </row>
    <row r="34" spans="1:115" ht="14.15" customHeight="1" x14ac:dyDescent="0.25">
      <c r="A34" s="6" t="s">
        <v>22</v>
      </c>
      <c r="B34" s="6">
        <v>3152402</v>
      </c>
      <c r="C34" s="6" t="s">
        <v>67</v>
      </c>
      <c r="D34" s="6" t="str">
        <f>VLOOKUP(B34,Planilha1!$A:$B,2,0)</f>
        <v>Vale do Mucuri</v>
      </c>
      <c r="E34" s="7">
        <v>31156299</v>
      </c>
      <c r="F34" s="6" t="s">
        <v>74</v>
      </c>
      <c r="G34" s="6" t="s">
        <v>19</v>
      </c>
      <c r="H34" s="8" t="s">
        <v>38</v>
      </c>
      <c r="I34" s="8" t="s">
        <v>38</v>
      </c>
      <c r="J34" s="8" t="s">
        <v>38</v>
      </c>
      <c r="K34" s="8" t="s">
        <v>38</v>
      </c>
      <c r="L34" s="8" t="s">
        <v>38</v>
      </c>
      <c r="M34" s="9" t="s">
        <v>38</v>
      </c>
      <c r="N34" s="8" t="s">
        <v>38</v>
      </c>
      <c r="O34" s="8" t="s">
        <v>38</v>
      </c>
      <c r="P34" s="8" t="s">
        <v>38</v>
      </c>
      <c r="Q34" s="8" t="s">
        <v>38</v>
      </c>
      <c r="R34" s="8" t="s">
        <v>38</v>
      </c>
      <c r="S34" s="9" t="s">
        <v>38</v>
      </c>
      <c r="T34" s="8" t="s">
        <v>38</v>
      </c>
      <c r="U34" s="8" t="s">
        <v>38</v>
      </c>
      <c r="V34" s="8" t="s">
        <v>38</v>
      </c>
      <c r="W34" s="8" t="s">
        <v>38</v>
      </c>
      <c r="X34" s="8" t="s">
        <v>38</v>
      </c>
      <c r="Y34" s="9" t="s">
        <v>38</v>
      </c>
      <c r="Z34" s="8" t="s">
        <v>38</v>
      </c>
      <c r="AA34" s="8" t="s">
        <v>38</v>
      </c>
      <c r="AB34" s="8" t="s">
        <v>38</v>
      </c>
      <c r="AC34" s="8" t="s">
        <v>38</v>
      </c>
      <c r="AD34" s="8" t="s">
        <v>38</v>
      </c>
      <c r="AE34" s="9" t="s">
        <v>38</v>
      </c>
      <c r="AF34" s="8" t="s">
        <v>38</v>
      </c>
      <c r="AG34" s="8" t="s">
        <v>38</v>
      </c>
      <c r="AH34" s="8" t="s">
        <v>38</v>
      </c>
      <c r="AI34" s="8" t="s">
        <v>38</v>
      </c>
      <c r="AJ34" s="8" t="s">
        <v>38</v>
      </c>
      <c r="AK34" s="9" t="s">
        <v>38</v>
      </c>
      <c r="AL34" s="8" t="s">
        <v>38</v>
      </c>
      <c r="AM34" s="8" t="s">
        <v>38</v>
      </c>
      <c r="AN34" s="8" t="s">
        <v>38</v>
      </c>
      <c r="AO34" s="8" t="s">
        <v>38</v>
      </c>
      <c r="AP34" s="8" t="s">
        <v>38</v>
      </c>
      <c r="AQ34" s="9" t="s">
        <v>38</v>
      </c>
      <c r="AR34" s="8">
        <v>100</v>
      </c>
      <c r="AS34" s="8">
        <v>100</v>
      </c>
      <c r="AT34" s="8">
        <v>100</v>
      </c>
      <c r="AU34" s="8">
        <v>100</v>
      </c>
      <c r="AV34" s="8">
        <v>100</v>
      </c>
      <c r="AW34" s="9">
        <v>1</v>
      </c>
      <c r="AX34" s="8" t="s">
        <v>38</v>
      </c>
      <c r="AY34" s="8" t="s">
        <v>38</v>
      </c>
      <c r="AZ34" s="8" t="s">
        <v>38</v>
      </c>
      <c r="BA34" s="8" t="s">
        <v>38</v>
      </c>
      <c r="BB34" s="8" t="s">
        <v>38</v>
      </c>
      <c r="BC34" s="9" t="s">
        <v>38</v>
      </c>
      <c r="BD34" s="8" t="s">
        <v>38</v>
      </c>
      <c r="BE34" s="8" t="s">
        <v>38</v>
      </c>
      <c r="BF34" s="8" t="s">
        <v>38</v>
      </c>
      <c r="BG34" s="8" t="s">
        <v>38</v>
      </c>
      <c r="BH34" s="8" t="s">
        <v>38</v>
      </c>
      <c r="BI34" s="9" t="s">
        <v>38</v>
      </c>
      <c r="BJ34" s="8" t="s">
        <v>38</v>
      </c>
      <c r="BK34" s="8" t="s">
        <v>38</v>
      </c>
      <c r="BL34" s="8" t="s">
        <v>38</v>
      </c>
      <c r="BM34" s="8" t="s">
        <v>38</v>
      </c>
      <c r="BN34" s="8" t="s">
        <v>38</v>
      </c>
      <c r="BO34" s="9" t="s">
        <v>38</v>
      </c>
      <c r="BP34" s="9" t="s">
        <v>38</v>
      </c>
      <c r="BQ34" s="9" t="s">
        <v>38</v>
      </c>
      <c r="BR34" s="9" t="s">
        <v>38</v>
      </c>
      <c r="BS34" s="9" t="s">
        <v>38</v>
      </c>
      <c r="BT34" s="9" t="s">
        <v>38</v>
      </c>
      <c r="BU34" s="9" t="s">
        <v>38</v>
      </c>
      <c r="BV34" s="9" t="s">
        <v>38</v>
      </c>
      <c r="BW34" s="9" t="s">
        <v>38</v>
      </c>
      <c r="BX34" s="9" t="s">
        <v>38</v>
      </c>
      <c r="BY34" s="9" t="s">
        <v>38</v>
      </c>
      <c r="BZ34" s="9" t="s">
        <v>38</v>
      </c>
      <c r="CA34" s="9" t="s">
        <v>38</v>
      </c>
      <c r="CB34" s="9" t="s">
        <v>38</v>
      </c>
      <c r="CC34" s="9" t="s">
        <v>38</v>
      </c>
      <c r="CD34" s="9" t="s">
        <v>38</v>
      </c>
      <c r="CE34" s="9" t="s">
        <v>38</v>
      </c>
      <c r="CF34" s="9" t="s">
        <v>38</v>
      </c>
      <c r="CG34" s="9" t="s">
        <v>38</v>
      </c>
      <c r="CH34" s="9">
        <v>242.17</v>
      </c>
      <c r="CI34" s="9">
        <v>235.15</v>
      </c>
      <c r="CJ34" s="9">
        <v>4.6219999999999999</v>
      </c>
      <c r="CK34" s="9" t="s">
        <v>38</v>
      </c>
      <c r="CL34" s="9" t="s">
        <v>38</v>
      </c>
      <c r="CM34" s="9" t="s">
        <v>38</v>
      </c>
      <c r="CN34" s="9" t="s">
        <v>38</v>
      </c>
      <c r="CO34" s="9" t="s">
        <v>38</v>
      </c>
      <c r="CP34" s="9" t="s">
        <v>38</v>
      </c>
      <c r="CQ34" s="9" t="s">
        <v>38</v>
      </c>
      <c r="CR34" s="9" t="s">
        <v>38</v>
      </c>
      <c r="CS34" s="9" t="s">
        <v>38</v>
      </c>
      <c r="CT34" s="8" t="s">
        <v>38</v>
      </c>
      <c r="CU34" s="8" t="s">
        <v>38</v>
      </c>
      <c r="CV34" s="8" t="s">
        <v>38</v>
      </c>
      <c r="CW34" s="8" t="s">
        <v>38</v>
      </c>
      <c r="CX34" s="8" t="s">
        <v>38</v>
      </c>
      <c r="CY34" s="8" t="s">
        <v>38</v>
      </c>
      <c r="CZ34" s="8">
        <v>4.5999999999999996</v>
      </c>
      <c r="DA34" s="8" t="s">
        <v>38</v>
      </c>
      <c r="DB34" s="8" t="s">
        <v>38</v>
      </c>
      <c r="DC34" s="8" t="s">
        <v>38</v>
      </c>
      <c r="DD34" s="8" t="s">
        <v>38</v>
      </c>
      <c r="DE34" s="8" t="s">
        <v>38</v>
      </c>
      <c r="DF34" s="8" t="s">
        <v>38</v>
      </c>
      <c r="DG34" s="8" t="s">
        <v>38</v>
      </c>
      <c r="DH34" s="8" t="s">
        <v>38</v>
      </c>
      <c r="DI34" s="8" t="s">
        <v>38</v>
      </c>
      <c r="DJ34" s="8">
        <v>4.9000000000000004</v>
      </c>
      <c r="DK34" s="22">
        <v>5.0999999999999996</v>
      </c>
    </row>
    <row r="35" spans="1:115" ht="14.15" customHeight="1" x14ac:dyDescent="0.25">
      <c r="A35" s="6" t="s">
        <v>22</v>
      </c>
      <c r="B35" s="6">
        <v>3152402</v>
      </c>
      <c r="C35" s="6" t="s">
        <v>67</v>
      </c>
      <c r="D35" s="6" t="str">
        <f>VLOOKUP(B35,Planilha1!$A:$B,2,0)</f>
        <v>Vale do Mucuri</v>
      </c>
      <c r="E35" s="7">
        <v>31347396</v>
      </c>
      <c r="F35" s="6" t="s">
        <v>49</v>
      </c>
      <c r="G35" s="6" t="s">
        <v>19</v>
      </c>
      <c r="H35" s="8" t="s">
        <v>38</v>
      </c>
      <c r="I35" s="8" t="s">
        <v>38</v>
      </c>
      <c r="J35" s="8" t="s">
        <v>38</v>
      </c>
      <c r="K35" s="8" t="s">
        <v>38</v>
      </c>
      <c r="L35" s="8" t="s">
        <v>38</v>
      </c>
      <c r="M35" s="9" t="s">
        <v>38</v>
      </c>
      <c r="N35" s="8" t="s">
        <v>38</v>
      </c>
      <c r="O35" s="8" t="s">
        <v>38</v>
      </c>
      <c r="P35" s="8" t="s">
        <v>38</v>
      </c>
      <c r="Q35" s="8" t="s">
        <v>38</v>
      </c>
      <c r="R35" s="8" t="s">
        <v>38</v>
      </c>
      <c r="S35" s="9" t="s">
        <v>38</v>
      </c>
      <c r="T35" s="8" t="s">
        <v>38</v>
      </c>
      <c r="U35" s="8" t="s">
        <v>38</v>
      </c>
      <c r="V35" s="8" t="s">
        <v>38</v>
      </c>
      <c r="W35" s="8" t="s">
        <v>38</v>
      </c>
      <c r="X35" s="8" t="s">
        <v>38</v>
      </c>
      <c r="Y35" s="9" t="s">
        <v>38</v>
      </c>
      <c r="Z35" s="8" t="s">
        <v>38</v>
      </c>
      <c r="AA35" s="8" t="s">
        <v>38</v>
      </c>
      <c r="AB35" s="8" t="s">
        <v>38</v>
      </c>
      <c r="AC35" s="8" t="s">
        <v>38</v>
      </c>
      <c r="AD35" s="8" t="s">
        <v>38</v>
      </c>
      <c r="AE35" s="9" t="s">
        <v>38</v>
      </c>
      <c r="AF35" s="8">
        <v>94.7</v>
      </c>
      <c r="AG35" s="8">
        <v>91.6</v>
      </c>
      <c r="AH35" s="8">
        <v>98.5</v>
      </c>
      <c r="AI35" s="8">
        <v>97.4</v>
      </c>
      <c r="AJ35" s="8">
        <v>93.9</v>
      </c>
      <c r="AK35" s="9">
        <v>0.95270100000000002</v>
      </c>
      <c r="AL35" s="8">
        <v>93.8</v>
      </c>
      <c r="AM35" s="8">
        <v>88.3</v>
      </c>
      <c r="AN35" s="8">
        <v>93.3</v>
      </c>
      <c r="AO35" s="8">
        <v>97.5</v>
      </c>
      <c r="AP35" s="8">
        <v>98.1</v>
      </c>
      <c r="AQ35" s="9">
        <v>0.941326</v>
      </c>
      <c r="AR35" s="8">
        <v>94.6</v>
      </c>
      <c r="AS35" s="8">
        <v>87.8</v>
      </c>
      <c r="AT35" s="8">
        <v>97.5</v>
      </c>
      <c r="AU35" s="8">
        <v>95.8</v>
      </c>
      <c r="AV35" s="8">
        <v>98</v>
      </c>
      <c r="AW35" s="9">
        <v>0.94588499999999998</v>
      </c>
      <c r="AX35" s="8">
        <v>87.7</v>
      </c>
      <c r="AY35" s="8">
        <v>89.7</v>
      </c>
      <c r="AZ35" s="8">
        <v>79.099999999999994</v>
      </c>
      <c r="BA35" s="8">
        <v>89.5</v>
      </c>
      <c r="BB35" s="8">
        <v>92.4</v>
      </c>
      <c r="BC35" s="9">
        <v>0.87362600000000001</v>
      </c>
      <c r="BD35" s="8">
        <v>98.4</v>
      </c>
      <c r="BE35" s="8">
        <v>98.7</v>
      </c>
      <c r="BF35" s="8">
        <v>98.4</v>
      </c>
      <c r="BG35" s="8">
        <v>97</v>
      </c>
      <c r="BH35" s="8">
        <v>100</v>
      </c>
      <c r="BI35" s="9">
        <v>0.98513499999999998</v>
      </c>
      <c r="BJ35" s="8">
        <v>95.4</v>
      </c>
      <c r="BK35" s="8">
        <v>93.9</v>
      </c>
      <c r="BL35" s="8">
        <v>95.8</v>
      </c>
      <c r="BM35" s="8">
        <v>94.9</v>
      </c>
      <c r="BN35" s="8">
        <v>97.7</v>
      </c>
      <c r="BO35" s="9">
        <v>0.95554600000000001</v>
      </c>
      <c r="BP35" s="9" t="s">
        <v>38</v>
      </c>
      <c r="BQ35" s="9" t="s">
        <v>38</v>
      </c>
      <c r="BR35" s="9" t="s">
        <v>38</v>
      </c>
      <c r="BS35" s="9" t="s">
        <v>38</v>
      </c>
      <c r="BT35" s="9" t="s">
        <v>38</v>
      </c>
      <c r="BU35" s="9" t="s">
        <v>38</v>
      </c>
      <c r="BV35" s="9" t="s">
        <v>38</v>
      </c>
      <c r="BW35" s="9" t="s">
        <v>38</v>
      </c>
      <c r="BX35" s="9" t="s">
        <v>38</v>
      </c>
      <c r="BY35" s="9" t="s">
        <v>38</v>
      </c>
      <c r="BZ35" s="9" t="s">
        <v>38</v>
      </c>
      <c r="CA35" s="9" t="s">
        <v>38</v>
      </c>
      <c r="CB35" s="9">
        <v>249.07</v>
      </c>
      <c r="CC35" s="9">
        <v>249.86</v>
      </c>
      <c r="CD35" s="9">
        <v>4.9821669999999996</v>
      </c>
      <c r="CE35" s="9" t="s">
        <v>185</v>
      </c>
      <c r="CF35" s="9" t="s">
        <v>213</v>
      </c>
      <c r="CG35" s="9">
        <v>4.8818330000000003</v>
      </c>
      <c r="CH35" s="9">
        <v>256.56</v>
      </c>
      <c r="CI35" s="9">
        <v>268.52</v>
      </c>
      <c r="CJ35" s="9">
        <v>5.4180000000000001</v>
      </c>
      <c r="CK35" s="9">
        <v>264.08999999999997</v>
      </c>
      <c r="CL35" s="9">
        <v>270.66000000000003</v>
      </c>
      <c r="CM35" s="9">
        <v>5.579167</v>
      </c>
      <c r="CN35" s="9" t="s">
        <v>39</v>
      </c>
      <c r="CO35" s="9" t="s">
        <v>39</v>
      </c>
      <c r="CP35" s="9" t="s">
        <v>38</v>
      </c>
      <c r="CQ35" s="9">
        <v>235.63</v>
      </c>
      <c r="CR35" s="9">
        <v>247.65</v>
      </c>
      <c r="CS35" s="9">
        <v>4.7213329999999996</v>
      </c>
      <c r="CT35" s="8" t="s">
        <v>38</v>
      </c>
      <c r="CU35" s="8" t="s">
        <v>38</v>
      </c>
      <c r="CV35" s="8" t="s">
        <v>38</v>
      </c>
      <c r="CW35" s="8" t="s">
        <v>38</v>
      </c>
      <c r="CX35" s="8">
        <v>4.7</v>
      </c>
      <c r="CY35" s="8">
        <v>4.5999999999999996</v>
      </c>
      <c r="CZ35" s="8">
        <v>5.0999999999999996</v>
      </c>
      <c r="DA35" s="8">
        <v>4.9000000000000004</v>
      </c>
      <c r="DB35" s="8" t="s">
        <v>38</v>
      </c>
      <c r="DC35" s="8">
        <v>4.5</v>
      </c>
      <c r="DD35" s="8" t="s">
        <v>38</v>
      </c>
      <c r="DE35" s="8" t="s">
        <v>38</v>
      </c>
      <c r="DF35" s="8" t="s">
        <v>38</v>
      </c>
      <c r="DG35" s="8" t="s">
        <v>38</v>
      </c>
      <c r="DH35" s="8">
        <v>5</v>
      </c>
      <c r="DI35" s="8">
        <v>5.2</v>
      </c>
      <c r="DJ35" s="8">
        <v>5.5</v>
      </c>
      <c r="DK35" s="22">
        <v>5.7</v>
      </c>
    </row>
    <row r="36" spans="1:115" ht="14.15" customHeight="1" x14ac:dyDescent="0.25">
      <c r="A36" s="6" t="s">
        <v>22</v>
      </c>
      <c r="B36" s="6">
        <v>3157658</v>
      </c>
      <c r="C36" s="6" t="s">
        <v>68</v>
      </c>
      <c r="D36" s="6" t="str">
        <f>VLOOKUP(B36,Planilha1!$A:$B,2,0)</f>
        <v>Vale do Mucuri</v>
      </c>
      <c r="E36" s="7">
        <v>31150037</v>
      </c>
      <c r="F36" s="6" t="s">
        <v>21</v>
      </c>
      <c r="G36" s="6" t="s">
        <v>19</v>
      </c>
      <c r="H36" s="8" t="s">
        <v>38</v>
      </c>
      <c r="I36" s="8" t="s">
        <v>38</v>
      </c>
      <c r="J36" s="8" t="s">
        <v>38</v>
      </c>
      <c r="K36" s="8" t="s">
        <v>38</v>
      </c>
      <c r="L36" s="8" t="s">
        <v>38</v>
      </c>
      <c r="M36" s="9" t="s">
        <v>38</v>
      </c>
      <c r="N36" s="8" t="s">
        <v>38</v>
      </c>
      <c r="O36" s="8" t="s">
        <v>38</v>
      </c>
      <c r="P36" s="8" t="s">
        <v>38</v>
      </c>
      <c r="Q36" s="8" t="s">
        <v>38</v>
      </c>
      <c r="R36" s="8" t="s">
        <v>38</v>
      </c>
      <c r="S36" s="9" t="s">
        <v>38</v>
      </c>
      <c r="T36" s="8" t="s">
        <v>38</v>
      </c>
      <c r="U36" s="8" t="s">
        <v>38</v>
      </c>
      <c r="V36" s="8" t="s">
        <v>38</v>
      </c>
      <c r="W36" s="8" t="s">
        <v>38</v>
      </c>
      <c r="X36" s="8" t="s">
        <v>38</v>
      </c>
      <c r="Y36" s="9" t="s">
        <v>38</v>
      </c>
      <c r="Z36" s="8" t="s">
        <v>38</v>
      </c>
      <c r="AA36" s="8" t="s">
        <v>38</v>
      </c>
      <c r="AB36" s="8" t="s">
        <v>38</v>
      </c>
      <c r="AC36" s="8" t="s">
        <v>38</v>
      </c>
      <c r="AD36" s="8" t="s">
        <v>38</v>
      </c>
      <c r="AE36" s="9" t="s">
        <v>38</v>
      </c>
      <c r="AF36" s="8" t="s">
        <v>38</v>
      </c>
      <c r="AG36" s="8" t="s">
        <v>38</v>
      </c>
      <c r="AH36" s="8" t="s">
        <v>38</v>
      </c>
      <c r="AI36" s="8" t="s">
        <v>38</v>
      </c>
      <c r="AJ36" s="8" t="s">
        <v>38</v>
      </c>
      <c r="AK36" s="9" t="s">
        <v>38</v>
      </c>
      <c r="AL36" s="8">
        <v>88.4</v>
      </c>
      <c r="AM36" s="8">
        <v>94.7</v>
      </c>
      <c r="AN36" s="8">
        <v>81.3</v>
      </c>
      <c r="AO36" s="8">
        <v>93.8</v>
      </c>
      <c r="AP36" s="8">
        <v>83.3</v>
      </c>
      <c r="AQ36" s="9">
        <v>0.87862700000000005</v>
      </c>
      <c r="AR36" s="8">
        <v>92.2</v>
      </c>
      <c r="AS36" s="8">
        <v>100</v>
      </c>
      <c r="AT36" s="8">
        <v>78.900000000000006</v>
      </c>
      <c r="AU36" s="8">
        <v>94.7</v>
      </c>
      <c r="AV36" s="8">
        <v>100</v>
      </c>
      <c r="AW36" s="9">
        <v>0.92519899999999999</v>
      </c>
      <c r="AX36" s="8">
        <v>97.8</v>
      </c>
      <c r="AY36" s="8">
        <v>85.7</v>
      </c>
      <c r="AZ36" s="8">
        <v>100</v>
      </c>
      <c r="BA36" s="8">
        <v>100</v>
      </c>
      <c r="BB36" s="8">
        <v>100</v>
      </c>
      <c r="BC36" s="9">
        <v>0.959955</v>
      </c>
      <c r="BD36" s="8">
        <v>89.4</v>
      </c>
      <c r="BE36" s="8">
        <v>100</v>
      </c>
      <c r="BF36" s="8">
        <v>87.5</v>
      </c>
      <c r="BG36" s="8">
        <v>90.9</v>
      </c>
      <c r="BH36" s="8">
        <v>84.6</v>
      </c>
      <c r="BI36" s="9">
        <v>0.90395499999999995</v>
      </c>
      <c r="BJ36" s="8">
        <v>95.7</v>
      </c>
      <c r="BK36" s="8">
        <v>100</v>
      </c>
      <c r="BL36" s="8">
        <v>100</v>
      </c>
      <c r="BM36" s="8">
        <v>87.5</v>
      </c>
      <c r="BN36" s="8">
        <v>92.9</v>
      </c>
      <c r="BO36" s="9">
        <v>0.94802799999999998</v>
      </c>
      <c r="BP36" s="9" t="s">
        <v>38</v>
      </c>
      <c r="BQ36" s="9" t="s">
        <v>38</v>
      </c>
      <c r="BR36" s="9" t="s">
        <v>38</v>
      </c>
      <c r="BS36" s="9" t="s">
        <v>38</v>
      </c>
      <c r="BT36" s="9" t="s">
        <v>38</v>
      </c>
      <c r="BU36" s="9" t="s">
        <v>38</v>
      </c>
      <c r="BV36" s="9" t="s">
        <v>38</v>
      </c>
      <c r="BW36" s="9" t="s">
        <v>38</v>
      </c>
      <c r="BX36" s="9" t="s">
        <v>38</v>
      </c>
      <c r="BY36" s="9" t="s">
        <v>38</v>
      </c>
      <c r="BZ36" s="9" t="s">
        <v>38</v>
      </c>
      <c r="CA36" s="9" t="s">
        <v>38</v>
      </c>
      <c r="CB36" s="9" t="s">
        <v>38</v>
      </c>
      <c r="CC36" s="9" t="s">
        <v>38</v>
      </c>
      <c r="CD36" s="9" t="s">
        <v>38</v>
      </c>
      <c r="CE36" s="9" t="s">
        <v>191</v>
      </c>
      <c r="CF36" s="9" t="s">
        <v>205</v>
      </c>
      <c r="CG36" s="9">
        <v>4.4068329999999998</v>
      </c>
      <c r="CH36" s="9">
        <v>244.47</v>
      </c>
      <c r="CI36" s="9">
        <v>238.8</v>
      </c>
      <c r="CJ36" s="9">
        <v>4.7211670000000003</v>
      </c>
      <c r="CK36" s="9">
        <v>252.24</v>
      </c>
      <c r="CL36" s="9">
        <v>262.77999999999997</v>
      </c>
      <c r="CM36" s="9">
        <v>5.2503330000000004</v>
      </c>
      <c r="CN36" s="9">
        <v>219.42</v>
      </c>
      <c r="CO36" s="9">
        <v>224.38</v>
      </c>
      <c r="CP36" s="9">
        <v>4.0633330000000001</v>
      </c>
      <c r="CQ36" s="9">
        <v>268.79000000000002</v>
      </c>
      <c r="CR36" s="9">
        <v>278.17</v>
      </c>
      <c r="CS36" s="9">
        <v>5.782667</v>
      </c>
      <c r="CT36" s="8" t="s">
        <v>38</v>
      </c>
      <c r="CU36" s="8" t="s">
        <v>38</v>
      </c>
      <c r="CV36" s="8" t="s">
        <v>38</v>
      </c>
      <c r="CW36" s="8" t="s">
        <v>38</v>
      </c>
      <c r="CX36" s="8" t="s">
        <v>38</v>
      </c>
      <c r="CY36" s="8">
        <v>3.9</v>
      </c>
      <c r="CZ36" s="8">
        <v>4.4000000000000004</v>
      </c>
      <c r="DA36" s="8">
        <v>5</v>
      </c>
      <c r="DB36" s="8">
        <v>3.7</v>
      </c>
      <c r="DC36" s="8">
        <v>5.5</v>
      </c>
      <c r="DD36" s="8" t="s">
        <v>38</v>
      </c>
      <c r="DE36" s="8" t="s">
        <v>38</v>
      </c>
      <c r="DF36" s="8" t="s">
        <v>38</v>
      </c>
      <c r="DG36" s="8" t="s">
        <v>38</v>
      </c>
      <c r="DH36" s="8" t="s">
        <v>38</v>
      </c>
      <c r="DI36" s="8">
        <v>4.0999999999999996</v>
      </c>
      <c r="DJ36" s="8">
        <v>4.4000000000000004</v>
      </c>
      <c r="DK36" s="22">
        <v>4.5999999999999996</v>
      </c>
    </row>
    <row r="37" spans="1:115" ht="14.15" customHeight="1" x14ac:dyDescent="0.25">
      <c r="A37" s="6" t="s">
        <v>22</v>
      </c>
      <c r="B37" s="6">
        <v>3166709</v>
      </c>
      <c r="C37" s="6" t="s">
        <v>69</v>
      </c>
      <c r="D37" s="6" t="str">
        <f>VLOOKUP(B37,Planilha1!$A:$B,2,0)</f>
        <v>Vale do Mucuri</v>
      </c>
      <c r="E37" s="7">
        <v>31211362</v>
      </c>
      <c r="F37" s="6" t="s">
        <v>29</v>
      </c>
      <c r="G37" s="6" t="s">
        <v>19</v>
      </c>
      <c r="H37" s="8" t="s">
        <v>38</v>
      </c>
      <c r="I37" s="8" t="s">
        <v>38</v>
      </c>
      <c r="J37" s="8" t="s">
        <v>38</v>
      </c>
      <c r="K37" s="8" t="s">
        <v>38</v>
      </c>
      <c r="L37" s="8" t="s">
        <v>38</v>
      </c>
      <c r="M37" s="9" t="s">
        <v>38</v>
      </c>
      <c r="N37" s="8">
        <v>84.3</v>
      </c>
      <c r="O37" s="8" t="s">
        <v>38</v>
      </c>
      <c r="P37" s="8" t="s">
        <v>38</v>
      </c>
      <c r="Q37" s="8" t="s">
        <v>38</v>
      </c>
      <c r="R37" s="8">
        <v>84.3</v>
      </c>
      <c r="S37" s="9">
        <v>0.84299999999999997</v>
      </c>
      <c r="T37" s="8" t="s">
        <v>38</v>
      </c>
      <c r="U37" s="8" t="s">
        <v>38</v>
      </c>
      <c r="V37" s="8" t="s">
        <v>38</v>
      </c>
      <c r="W37" s="8" t="s">
        <v>38</v>
      </c>
      <c r="X37" s="8" t="s">
        <v>38</v>
      </c>
      <c r="Y37" s="9" t="s">
        <v>38</v>
      </c>
      <c r="Z37" s="8" t="s">
        <v>38</v>
      </c>
      <c r="AA37" s="8" t="s">
        <v>38</v>
      </c>
      <c r="AB37" s="8" t="s">
        <v>38</v>
      </c>
      <c r="AC37" s="8" t="s">
        <v>38</v>
      </c>
      <c r="AD37" s="8" t="s">
        <v>38</v>
      </c>
      <c r="AE37" s="9" t="s">
        <v>38</v>
      </c>
      <c r="AF37" s="8" t="s">
        <v>38</v>
      </c>
      <c r="AG37" s="8" t="s">
        <v>38</v>
      </c>
      <c r="AH37" s="8" t="s">
        <v>38</v>
      </c>
      <c r="AI37" s="8" t="s">
        <v>38</v>
      </c>
      <c r="AJ37" s="8" t="s">
        <v>38</v>
      </c>
      <c r="AK37" s="9" t="s">
        <v>38</v>
      </c>
      <c r="AL37" s="8" t="s">
        <v>38</v>
      </c>
      <c r="AM37" s="8" t="s">
        <v>38</v>
      </c>
      <c r="AN37" s="8" t="s">
        <v>38</v>
      </c>
      <c r="AO37" s="8" t="s">
        <v>38</v>
      </c>
      <c r="AP37" s="8" t="s">
        <v>38</v>
      </c>
      <c r="AQ37" s="9" t="s">
        <v>38</v>
      </c>
      <c r="AR37" s="8" t="s">
        <v>38</v>
      </c>
      <c r="AS37" s="8" t="s">
        <v>38</v>
      </c>
      <c r="AT37" s="8" t="s">
        <v>38</v>
      </c>
      <c r="AU37" s="8" t="s">
        <v>38</v>
      </c>
      <c r="AV37" s="8" t="s">
        <v>38</v>
      </c>
      <c r="AW37" s="9" t="s">
        <v>38</v>
      </c>
      <c r="AX37" s="8" t="s">
        <v>38</v>
      </c>
      <c r="AY37" s="8" t="s">
        <v>38</v>
      </c>
      <c r="AZ37" s="8" t="s">
        <v>38</v>
      </c>
      <c r="BA37" s="8" t="s">
        <v>38</v>
      </c>
      <c r="BB37" s="8" t="s">
        <v>38</v>
      </c>
      <c r="BC37" s="9" t="s">
        <v>38</v>
      </c>
      <c r="BD37" s="8" t="s">
        <v>38</v>
      </c>
      <c r="BE37" s="8" t="s">
        <v>38</v>
      </c>
      <c r="BF37" s="8" t="s">
        <v>38</v>
      </c>
      <c r="BG37" s="8" t="s">
        <v>38</v>
      </c>
      <c r="BH37" s="8" t="s">
        <v>38</v>
      </c>
      <c r="BI37" s="9" t="s">
        <v>38</v>
      </c>
      <c r="BJ37" s="8" t="s">
        <v>38</v>
      </c>
      <c r="BK37" s="8" t="s">
        <v>38</v>
      </c>
      <c r="BL37" s="8" t="s">
        <v>38</v>
      </c>
      <c r="BM37" s="8" t="s">
        <v>38</v>
      </c>
      <c r="BN37" s="8" t="s">
        <v>38</v>
      </c>
      <c r="BO37" s="9" t="s">
        <v>38</v>
      </c>
      <c r="BP37" s="9" t="s">
        <v>38</v>
      </c>
      <c r="BQ37" s="9" t="s">
        <v>38</v>
      </c>
      <c r="BR37" s="9" t="s">
        <v>38</v>
      </c>
      <c r="BS37" s="9">
        <v>212.82</v>
      </c>
      <c r="BT37" s="9">
        <v>196.83</v>
      </c>
      <c r="BU37" s="9">
        <v>3.494167</v>
      </c>
      <c r="BV37" s="9" t="s">
        <v>38</v>
      </c>
      <c r="BW37" s="9" t="s">
        <v>38</v>
      </c>
      <c r="BX37" s="9" t="s">
        <v>38</v>
      </c>
      <c r="BY37" s="9" t="s">
        <v>38</v>
      </c>
      <c r="BZ37" s="9" t="s">
        <v>38</v>
      </c>
      <c r="CA37" s="9" t="s">
        <v>38</v>
      </c>
      <c r="CB37" s="9" t="s">
        <v>38</v>
      </c>
      <c r="CC37" s="9" t="s">
        <v>38</v>
      </c>
      <c r="CD37" s="9" t="s">
        <v>38</v>
      </c>
      <c r="CE37" s="9" t="s">
        <v>38</v>
      </c>
      <c r="CF37" s="9" t="s">
        <v>38</v>
      </c>
      <c r="CG37" s="9" t="s">
        <v>38</v>
      </c>
      <c r="CH37" s="9" t="s">
        <v>38</v>
      </c>
      <c r="CI37" s="9" t="s">
        <v>38</v>
      </c>
      <c r="CJ37" s="9" t="s">
        <v>38</v>
      </c>
      <c r="CK37" s="9" t="s">
        <v>38</v>
      </c>
      <c r="CL37" s="9" t="s">
        <v>38</v>
      </c>
      <c r="CM37" s="9" t="s">
        <v>38</v>
      </c>
      <c r="CN37" s="9" t="s">
        <v>38</v>
      </c>
      <c r="CO37" s="9" t="s">
        <v>38</v>
      </c>
      <c r="CP37" s="9" t="s">
        <v>38</v>
      </c>
      <c r="CQ37" s="9" t="s">
        <v>38</v>
      </c>
      <c r="CR37" s="9" t="s">
        <v>38</v>
      </c>
      <c r="CS37" s="9" t="s">
        <v>38</v>
      </c>
      <c r="CT37" s="8" t="s">
        <v>38</v>
      </c>
      <c r="CU37" s="8">
        <v>2.9</v>
      </c>
      <c r="CV37" s="8" t="s">
        <v>38</v>
      </c>
      <c r="CW37" s="8" t="s">
        <v>38</v>
      </c>
      <c r="CX37" s="8" t="s">
        <v>38</v>
      </c>
      <c r="CY37" s="8" t="s">
        <v>38</v>
      </c>
      <c r="CZ37" s="8" t="s">
        <v>38</v>
      </c>
      <c r="DA37" s="8" t="s">
        <v>38</v>
      </c>
      <c r="DB37" s="8" t="s">
        <v>38</v>
      </c>
      <c r="DC37" s="8" t="s">
        <v>38</v>
      </c>
      <c r="DD37" s="8" t="s">
        <v>38</v>
      </c>
      <c r="DE37" s="8">
        <v>3</v>
      </c>
      <c r="DF37" s="8">
        <v>3.2</v>
      </c>
      <c r="DG37" s="8">
        <v>3.6</v>
      </c>
      <c r="DH37" s="8">
        <v>3.9</v>
      </c>
      <c r="DI37" s="8">
        <v>4.2</v>
      </c>
      <c r="DJ37" s="8">
        <v>4.4000000000000004</v>
      </c>
      <c r="DK37" s="22">
        <v>4.7</v>
      </c>
    </row>
    <row r="38" spans="1:115" ht="14.15" customHeight="1" x14ac:dyDescent="0.25">
      <c r="A38" s="6" t="s">
        <v>22</v>
      </c>
      <c r="B38" s="6">
        <v>3168606</v>
      </c>
      <c r="C38" s="6" t="s">
        <v>70</v>
      </c>
      <c r="D38" s="6" t="str">
        <f>VLOOKUP(B38,Planilha1!$A:$B,2,0)</f>
        <v>Vale do Mucuri</v>
      </c>
      <c r="E38" s="7">
        <v>31156868</v>
      </c>
      <c r="F38" s="6" t="s">
        <v>229</v>
      </c>
      <c r="G38" s="6" t="s">
        <v>19</v>
      </c>
      <c r="H38" s="8" t="s">
        <v>38</v>
      </c>
      <c r="I38" s="8" t="s">
        <v>38</v>
      </c>
      <c r="J38" s="8" t="s">
        <v>38</v>
      </c>
      <c r="K38" s="8" t="s">
        <v>38</v>
      </c>
      <c r="L38" s="8" t="s">
        <v>38</v>
      </c>
      <c r="M38" s="9" t="s">
        <v>38</v>
      </c>
      <c r="N38" s="8" t="s">
        <v>38</v>
      </c>
      <c r="O38" s="8" t="s">
        <v>38</v>
      </c>
      <c r="P38" s="8" t="s">
        <v>38</v>
      </c>
      <c r="Q38" s="8" t="s">
        <v>38</v>
      </c>
      <c r="R38" s="8" t="s">
        <v>38</v>
      </c>
      <c r="S38" s="9" t="s">
        <v>38</v>
      </c>
      <c r="T38" s="8">
        <v>67.2</v>
      </c>
      <c r="U38" s="8">
        <v>56.4</v>
      </c>
      <c r="V38" s="8">
        <v>66.7</v>
      </c>
      <c r="W38" s="8">
        <v>76.900000000000006</v>
      </c>
      <c r="X38" s="8">
        <v>76.2</v>
      </c>
      <c r="Y38" s="9">
        <v>0.67969100000000005</v>
      </c>
      <c r="Z38" s="8">
        <v>80.7</v>
      </c>
      <c r="AA38" s="8">
        <v>71.400000000000006</v>
      </c>
      <c r="AB38" s="8">
        <v>75</v>
      </c>
      <c r="AC38" s="8" t="s">
        <v>38</v>
      </c>
      <c r="AD38" s="8">
        <v>93.3</v>
      </c>
      <c r="AE38" s="9">
        <v>0.78829000000000005</v>
      </c>
      <c r="AF38" s="8">
        <v>78.900000000000006</v>
      </c>
      <c r="AG38" s="8">
        <v>77.8</v>
      </c>
      <c r="AH38" s="8">
        <v>75.599999999999994</v>
      </c>
      <c r="AI38" s="8">
        <v>72.7</v>
      </c>
      <c r="AJ38" s="8">
        <v>95</v>
      </c>
      <c r="AK38" s="9">
        <v>0.794242</v>
      </c>
      <c r="AL38" s="8" t="s">
        <v>38</v>
      </c>
      <c r="AM38" s="8" t="s">
        <v>38</v>
      </c>
      <c r="AN38" s="8" t="s">
        <v>38</v>
      </c>
      <c r="AO38" s="8" t="s">
        <v>38</v>
      </c>
      <c r="AP38" s="8" t="s">
        <v>38</v>
      </c>
      <c r="AQ38" s="9" t="s">
        <v>38</v>
      </c>
      <c r="AR38" s="8">
        <v>70.3</v>
      </c>
      <c r="AS38" s="8">
        <v>60.7</v>
      </c>
      <c r="AT38" s="8">
        <v>65.5</v>
      </c>
      <c r="AU38" s="8">
        <v>67.900000000000006</v>
      </c>
      <c r="AV38" s="8">
        <v>88.5</v>
      </c>
      <c r="AW38" s="9">
        <v>0.69241699999999995</v>
      </c>
      <c r="AX38" s="8">
        <v>85.6</v>
      </c>
      <c r="AY38" s="8">
        <v>78.599999999999994</v>
      </c>
      <c r="AZ38" s="8">
        <v>75</v>
      </c>
      <c r="BA38" s="8">
        <v>95</v>
      </c>
      <c r="BB38" s="8">
        <v>100</v>
      </c>
      <c r="BC38" s="9">
        <v>0.85869499999999999</v>
      </c>
      <c r="BD38" s="8" t="s">
        <v>38</v>
      </c>
      <c r="BE38" s="8" t="s">
        <v>38</v>
      </c>
      <c r="BF38" s="8" t="s">
        <v>38</v>
      </c>
      <c r="BG38" s="8" t="s">
        <v>38</v>
      </c>
      <c r="BH38" s="8" t="s">
        <v>38</v>
      </c>
      <c r="BI38" s="9" t="s">
        <v>38</v>
      </c>
      <c r="BJ38" s="8">
        <v>82.1</v>
      </c>
      <c r="BK38" s="8">
        <v>87.5</v>
      </c>
      <c r="BL38" s="8">
        <v>80</v>
      </c>
      <c r="BM38" s="8">
        <v>76</v>
      </c>
      <c r="BN38" s="8">
        <v>88.9</v>
      </c>
      <c r="BO38" s="9">
        <v>0.82755699999999999</v>
      </c>
      <c r="BP38" s="9" t="s">
        <v>38</v>
      </c>
      <c r="BQ38" s="9" t="s">
        <v>38</v>
      </c>
      <c r="BR38" s="9" t="s">
        <v>38</v>
      </c>
      <c r="BS38" s="9" t="s">
        <v>38</v>
      </c>
      <c r="BT38" s="9" t="s">
        <v>38</v>
      </c>
      <c r="BU38" s="9" t="s">
        <v>38</v>
      </c>
      <c r="BV38" s="9">
        <v>223</v>
      </c>
      <c r="BW38" s="9">
        <v>222.9</v>
      </c>
      <c r="BX38" s="9">
        <v>4.0983330000000002</v>
      </c>
      <c r="BY38" s="9" t="s">
        <v>39</v>
      </c>
      <c r="BZ38" s="9" t="s">
        <v>39</v>
      </c>
      <c r="CA38" s="9" t="s">
        <v>38</v>
      </c>
      <c r="CB38" s="9">
        <v>245.54</v>
      </c>
      <c r="CC38" s="9">
        <v>238.92</v>
      </c>
      <c r="CD38" s="9">
        <v>4.7409999999999997</v>
      </c>
      <c r="CE38" s="9" t="s">
        <v>38</v>
      </c>
      <c r="CF38" s="9" t="s">
        <v>38</v>
      </c>
      <c r="CG38" s="9" t="s">
        <v>38</v>
      </c>
      <c r="CH38" s="9">
        <v>240.85</v>
      </c>
      <c r="CI38" s="9">
        <v>248.13</v>
      </c>
      <c r="CJ38" s="9">
        <v>4.8163330000000002</v>
      </c>
      <c r="CK38" s="9">
        <v>234.48</v>
      </c>
      <c r="CL38" s="9">
        <v>233.71</v>
      </c>
      <c r="CM38" s="9">
        <v>4.4698330000000004</v>
      </c>
      <c r="CN38" s="9" t="s">
        <v>38</v>
      </c>
      <c r="CO38" s="9" t="s">
        <v>38</v>
      </c>
      <c r="CP38" s="9" t="s">
        <v>38</v>
      </c>
      <c r="CQ38" s="9">
        <v>226.37</v>
      </c>
      <c r="CR38" s="9">
        <v>214.23</v>
      </c>
      <c r="CS38" s="9">
        <v>4.01</v>
      </c>
      <c r="CT38" s="8" t="s">
        <v>38</v>
      </c>
      <c r="CU38" s="8" t="s">
        <v>38</v>
      </c>
      <c r="CV38" s="8">
        <v>2.8</v>
      </c>
      <c r="CW38" s="8" t="s">
        <v>38</v>
      </c>
      <c r="CX38" s="8">
        <v>3.8</v>
      </c>
      <c r="CY38" s="8" t="s">
        <v>38</v>
      </c>
      <c r="CZ38" s="8">
        <v>3.3</v>
      </c>
      <c r="DA38" s="8">
        <v>3.8</v>
      </c>
      <c r="DB38" s="8" t="s">
        <v>38</v>
      </c>
      <c r="DC38" s="8">
        <v>3.3</v>
      </c>
      <c r="DD38" s="8" t="s">
        <v>38</v>
      </c>
      <c r="DE38" s="8" t="s">
        <v>38</v>
      </c>
      <c r="DF38" s="8">
        <v>2.9</v>
      </c>
      <c r="DG38" s="8">
        <v>3.2</v>
      </c>
      <c r="DH38" s="8">
        <v>3.5</v>
      </c>
      <c r="DI38" s="8">
        <v>3.8</v>
      </c>
      <c r="DJ38" s="8">
        <v>4.0999999999999996</v>
      </c>
      <c r="DK38" s="22">
        <v>4.3</v>
      </c>
    </row>
    <row r="39" spans="1:115" ht="14.15" customHeight="1" x14ac:dyDescent="0.25">
      <c r="A39" s="6" t="s">
        <v>22</v>
      </c>
      <c r="B39" s="6">
        <v>3168606</v>
      </c>
      <c r="C39" s="6" t="s">
        <v>70</v>
      </c>
      <c r="D39" s="6" t="str">
        <f>VLOOKUP(B39,Planilha1!$A:$B,2,0)</f>
        <v>Vale do Mucuri</v>
      </c>
      <c r="E39" s="7">
        <v>31157155</v>
      </c>
      <c r="F39" s="6" t="s">
        <v>27</v>
      </c>
      <c r="G39" s="6" t="s">
        <v>19</v>
      </c>
      <c r="H39" s="8">
        <v>41.7</v>
      </c>
      <c r="I39" s="8">
        <v>28.9</v>
      </c>
      <c r="J39" s="8">
        <v>41.9</v>
      </c>
      <c r="K39" s="8">
        <v>48</v>
      </c>
      <c r="L39" s="8">
        <v>54.9</v>
      </c>
      <c r="M39" s="9">
        <v>0.410186</v>
      </c>
      <c r="N39" s="8">
        <v>46.3</v>
      </c>
      <c r="O39" s="8">
        <v>39.200000000000003</v>
      </c>
      <c r="P39" s="8">
        <v>42.9</v>
      </c>
      <c r="Q39" s="8">
        <v>62.8</v>
      </c>
      <c r="R39" s="8">
        <v>48.9</v>
      </c>
      <c r="S39" s="9">
        <v>0.46951799999999999</v>
      </c>
      <c r="T39" s="8">
        <v>51.5</v>
      </c>
      <c r="U39" s="8">
        <v>38.4</v>
      </c>
      <c r="V39" s="8">
        <v>47.8</v>
      </c>
      <c r="W39" s="8">
        <v>60.7</v>
      </c>
      <c r="X39" s="8">
        <v>70</v>
      </c>
      <c r="Y39" s="9">
        <v>0.514652</v>
      </c>
      <c r="Z39" s="8">
        <v>67.3</v>
      </c>
      <c r="AA39" s="8">
        <v>63.6</v>
      </c>
      <c r="AB39" s="8">
        <v>60.4</v>
      </c>
      <c r="AC39" s="8">
        <v>72.599999999999994</v>
      </c>
      <c r="AD39" s="8">
        <v>75.7</v>
      </c>
      <c r="AE39" s="9">
        <v>0.67494900000000002</v>
      </c>
      <c r="AF39" s="8">
        <v>66.099999999999994</v>
      </c>
      <c r="AG39" s="8">
        <v>74.599999999999994</v>
      </c>
      <c r="AH39" s="8">
        <v>58</v>
      </c>
      <c r="AI39" s="8">
        <v>61.1</v>
      </c>
      <c r="AJ39" s="8">
        <v>72.599999999999994</v>
      </c>
      <c r="AK39" s="9">
        <v>0.65803599999999995</v>
      </c>
      <c r="AL39" s="8">
        <v>60.3</v>
      </c>
      <c r="AM39" s="8">
        <v>61.3</v>
      </c>
      <c r="AN39" s="8">
        <v>41.9</v>
      </c>
      <c r="AO39" s="8">
        <v>60.9</v>
      </c>
      <c r="AP39" s="8">
        <v>68.099999999999994</v>
      </c>
      <c r="AQ39" s="9">
        <v>0.56113400000000002</v>
      </c>
      <c r="AR39" s="8">
        <v>55.3</v>
      </c>
      <c r="AS39" s="8">
        <v>46.2</v>
      </c>
      <c r="AT39" s="8">
        <v>43.2</v>
      </c>
      <c r="AU39" s="8">
        <v>71</v>
      </c>
      <c r="AV39" s="8">
        <v>78.099999999999994</v>
      </c>
      <c r="AW39" s="9">
        <v>0.55802200000000002</v>
      </c>
      <c r="AX39" s="8">
        <v>77.900000000000006</v>
      </c>
      <c r="AY39" s="8">
        <v>73.5</v>
      </c>
      <c r="AZ39" s="8">
        <v>81.8</v>
      </c>
      <c r="BA39" s="8">
        <v>76.3</v>
      </c>
      <c r="BB39" s="8">
        <v>92</v>
      </c>
      <c r="BC39" s="9">
        <v>0.80311399999999999</v>
      </c>
      <c r="BD39" s="8">
        <v>79.2</v>
      </c>
      <c r="BE39" s="8">
        <v>66.7</v>
      </c>
      <c r="BF39" s="8">
        <v>84.8</v>
      </c>
      <c r="BG39" s="8">
        <v>81</v>
      </c>
      <c r="BH39" s="8">
        <v>88.2</v>
      </c>
      <c r="BI39" s="9">
        <v>0.792574</v>
      </c>
      <c r="BJ39" s="8">
        <v>75</v>
      </c>
      <c r="BK39" s="8">
        <v>64.7</v>
      </c>
      <c r="BL39" s="8">
        <v>68.8</v>
      </c>
      <c r="BM39" s="8">
        <v>90.7</v>
      </c>
      <c r="BN39" s="8">
        <v>89.6</v>
      </c>
      <c r="BO39" s="9">
        <v>0.76662300000000005</v>
      </c>
      <c r="BP39" s="9">
        <v>240.97</v>
      </c>
      <c r="BQ39" s="9">
        <v>233.72</v>
      </c>
      <c r="BR39" s="9">
        <v>4.5780960000000004</v>
      </c>
      <c r="BS39" s="9">
        <v>236.37</v>
      </c>
      <c r="BT39" s="9">
        <v>229.93</v>
      </c>
      <c r="BU39" s="9">
        <v>4.4383330000000001</v>
      </c>
      <c r="BV39" s="9">
        <v>226.57</v>
      </c>
      <c r="BW39" s="9">
        <v>216.66</v>
      </c>
      <c r="BX39" s="9">
        <v>4.053833</v>
      </c>
      <c r="BY39" s="9">
        <v>259.73</v>
      </c>
      <c r="BZ39" s="9">
        <v>256.33</v>
      </c>
      <c r="CA39" s="9">
        <v>5.2676670000000003</v>
      </c>
      <c r="CB39" s="9">
        <v>247.29</v>
      </c>
      <c r="CC39" s="9">
        <v>238.48</v>
      </c>
      <c r="CD39" s="9">
        <v>4.7628329999999997</v>
      </c>
      <c r="CE39" s="9" t="s">
        <v>208</v>
      </c>
      <c r="CF39" s="9" t="s">
        <v>204</v>
      </c>
      <c r="CG39" s="9">
        <v>4.8713329999999999</v>
      </c>
      <c r="CH39" s="9" t="s">
        <v>39</v>
      </c>
      <c r="CI39" s="9" t="s">
        <v>39</v>
      </c>
      <c r="CJ39" s="9" t="s">
        <v>38</v>
      </c>
      <c r="CK39" s="9">
        <v>262.64</v>
      </c>
      <c r="CL39" s="9">
        <v>266.69</v>
      </c>
      <c r="CM39" s="9">
        <v>5.4888329999999996</v>
      </c>
      <c r="CN39" s="9" t="s">
        <v>39</v>
      </c>
      <c r="CO39" s="9" t="s">
        <v>39</v>
      </c>
      <c r="CP39" s="9" t="s">
        <v>38</v>
      </c>
      <c r="CQ39" s="9">
        <v>245.88</v>
      </c>
      <c r="CR39" s="9">
        <v>239.94</v>
      </c>
      <c r="CS39" s="9">
        <v>4.7636669999999999</v>
      </c>
      <c r="CT39" s="8">
        <v>1.9</v>
      </c>
      <c r="CU39" s="8">
        <v>2.1</v>
      </c>
      <c r="CV39" s="8">
        <v>2.1</v>
      </c>
      <c r="CW39" s="8">
        <v>3.6</v>
      </c>
      <c r="CX39" s="8">
        <v>3.1</v>
      </c>
      <c r="CY39" s="8">
        <v>2.7</v>
      </c>
      <c r="CZ39" s="8" t="s">
        <v>38</v>
      </c>
      <c r="DA39" s="8">
        <v>4.4000000000000004</v>
      </c>
      <c r="DB39" s="8" t="s">
        <v>38</v>
      </c>
      <c r="DC39" s="8">
        <v>3.7</v>
      </c>
      <c r="DD39" s="8">
        <v>2</v>
      </c>
      <c r="DE39" s="8">
        <v>2.5</v>
      </c>
      <c r="DF39" s="8">
        <v>3</v>
      </c>
      <c r="DG39" s="8">
        <v>3.7</v>
      </c>
      <c r="DH39" s="8">
        <v>4.2</v>
      </c>
      <c r="DI39" s="8">
        <v>4.5</v>
      </c>
      <c r="DJ39" s="8">
        <v>4.7</v>
      </c>
      <c r="DK39" s="22">
        <v>5</v>
      </c>
    </row>
    <row r="40" spans="1:115" ht="14.15" customHeight="1" x14ac:dyDescent="0.25">
      <c r="A40" s="6" t="s">
        <v>22</v>
      </c>
      <c r="B40" s="6">
        <v>3168606</v>
      </c>
      <c r="C40" s="6" t="s">
        <v>70</v>
      </c>
      <c r="D40" s="6" t="str">
        <f>VLOOKUP(B40,Planilha1!$A:$B,2,0)</f>
        <v>Vale do Mucuri</v>
      </c>
      <c r="E40" s="7">
        <v>31157163</v>
      </c>
      <c r="F40" s="6" t="s">
        <v>245</v>
      </c>
      <c r="G40" s="6" t="s">
        <v>19</v>
      </c>
      <c r="H40" s="8" t="s">
        <v>38</v>
      </c>
      <c r="I40" s="8" t="s">
        <v>38</v>
      </c>
      <c r="J40" s="8" t="s">
        <v>38</v>
      </c>
      <c r="K40" s="8" t="s">
        <v>38</v>
      </c>
      <c r="L40" s="8" t="s">
        <v>38</v>
      </c>
      <c r="M40" s="9" t="s">
        <v>38</v>
      </c>
      <c r="N40" s="8" t="s">
        <v>38</v>
      </c>
      <c r="O40" s="8" t="s">
        <v>38</v>
      </c>
      <c r="P40" s="8" t="s">
        <v>38</v>
      </c>
      <c r="Q40" s="8" t="s">
        <v>38</v>
      </c>
      <c r="R40" s="8" t="s">
        <v>38</v>
      </c>
      <c r="S40" s="9" t="s">
        <v>38</v>
      </c>
      <c r="T40" s="8" t="s">
        <v>38</v>
      </c>
      <c r="U40" s="8" t="s">
        <v>38</v>
      </c>
      <c r="V40" s="8" t="s">
        <v>38</v>
      </c>
      <c r="W40" s="8" t="s">
        <v>38</v>
      </c>
      <c r="X40" s="8" t="s">
        <v>38</v>
      </c>
      <c r="Y40" s="9" t="s">
        <v>38</v>
      </c>
      <c r="Z40" s="8">
        <v>75.3</v>
      </c>
      <c r="AA40" s="8">
        <v>73.900000000000006</v>
      </c>
      <c r="AB40" s="8">
        <v>72.7</v>
      </c>
      <c r="AC40" s="8">
        <v>64.400000000000006</v>
      </c>
      <c r="AD40" s="8">
        <v>92.3</v>
      </c>
      <c r="AE40" s="9">
        <v>0.74558500000000005</v>
      </c>
      <c r="AF40" s="8">
        <v>55.9</v>
      </c>
      <c r="AG40" s="8">
        <v>54.1</v>
      </c>
      <c r="AH40" s="8">
        <v>58.1</v>
      </c>
      <c r="AI40" s="8">
        <v>56.5</v>
      </c>
      <c r="AJ40" s="8">
        <v>56.4</v>
      </c>
      <c r="AK40" s="9">
        <v>0.56238500000000002</v>
      </c>
      <c r="AL40" s="8" t="s">
        <v>38</v>
      </c>
      <c r="AM40" s="8" t="s">
        <v>38</v>
      </c>
      <c r="AN40" s="8" t="s">
        <v>38</v>
      </c>
      <c r="AO40" s="8" t="s">
        <v>38</v>
      </c>
      <c r="AP40" s="8" t="s">
        <v>38</v>
      </c>
      <c r="AQ40" s="9" t="s">
        <v>38</v>
      </c>
      <c r="AR40" s="8">
        <v>69</v>
      </c>
      <c r="AS40" s="8">
        <v>65.8</v>
      </c>
      <c r="AT40" s="8">
        <v>72.400000000000006</v>
      </c>
      <c r="AU40" s="8">
        <v>85</v>
      </c>
      <c r="AV40" s="8">
        <v>51.4</v>
      </c>
      <c r="AW40" s="9">
        <v>0.66412400000000005</v>
      </c>
      <c r="AX40" s="8">
        <v>70.8</v>
      </c>
      <c r="AY40" s="8">
        <v>63.4</v>
      </c>
      <c r="AZ40" s="8">
        <v>79.3</v>
      </c>
      <c r="BA40" s="8">
        <v>90</v>
      </c>
      <c r="BB40" s="8">
        <v>56.5</v>
      </c>
      <c r="BC40" s="9">
        <v>0.69938100000000003</v>
      </c>
      <c r="BD40" s="8" t="s">
        <v>38</v>
      </c>
      <c r="BE40" s="8" t="s">
        <v>38</v>
      </c>
      <c r="BF40" s="8" t="s">
        <v>38</v>
      </c>
      <c r="BG40" s="8" t="s">
        <v>38</v>
      </c>
      <c r="BH40" s="8" t="s">
        <v>38</v>
      </c>
      <c r="BI40" s="9" t="s">
        <v>38</v>
      </c>
      <c r="BJ40" s="8">
        <v>71.3</v>
      </c>
      <c r="BK40" s="8">
        <v>82.4</v>
      </c>
      <c r="BL40" s="8">
        <v>87</v>
      </c>
      <c r="BM40" s="8">
        <v>56.5</v>
      </c>
      <c r="BN40" s="8">
        <v>62.5</v>
      </c>
      <c r="BO40" s="9">
        <v>0.69772400000000001</v>
      </c>
      <c r="BP40" s="9" t="s">
        <v>38</v>
      </c>
      <c r="BQ40" s="9" t="s">
        <v>38</v>
      </c>
      <c r="BR40" s="9" t="s">
        <v>38</v>
      </c>
      <c r="BS40" s="9" t="s">
        <v>38</v>
      </c>
      <c r="BT40" s="9" t="s">
        <v>38</v>
      </c>
      <c r="BU40" s="9" t="s">
        <v>38</v>
      </c>
      <c r="BV40" s="9" t="s">
        <v>38</v>
      </c>
      <c r="BW40" s="9" t="s">
        <v>38</v>
      </c>
      <c r="BX40" s="9" t="s">
        <v>38</v>
      </c>
      <c r="BY40" s="9">
        <v>233.35</v>
      </c>
      <c r="BZ40" s="9">
        <v>223.04</v>
      </c>
      <c r="CA40" s="9">
        <v>4.2731669999999999</v>
      </c>
      <c r="CB40" s="9">
        <v>230.95</v>
      </c>
      <c r="CC40" s="9">
        <v>225.46</v>
      </c>
      <c r="CD40" s="9">
        <v>4.2735000000000003</v>
      </c>
      <c r="CE40" s="9" t="s">
        <v>38</v>
      </c>
      <c r="CF40" s="9" t="s">
        <v>38</v>
      </c>
      <c r="CG40" s="9" t="s">
        <v>38</v>
      </c>
      <c r="CH40" s="9" t="s">
        <v>39</v>
      </c>
      <c r="CI40" s="9" t="s">
        <v>39</v>
      </c>
      <c r="CJ40" s="9" t="s">
        <v>38</v>
      </c>
      <c r="CK40" s="9" t="s">
        <v>39</v>
      </c>
      <c r="CL40" s="9" t="s">
        <v>39</v>
      </c>
      <c r="CM40" s="9" t="s">
        <v>38</v>
      </c>
      <c r="CN40" s="9" t="s">
        <v>38</v>
      </c>
      <c r="CO40" s="9" t="s">
        <v>38</v>
      </c>
      <c r="CP40" s="9" t="s">
        <v>38</v>
      </c>
      <c r="CQ40" s="9">
        <v>222.85</v>
      </c>
      <c r="CR40" s="9">
        <v>223.92</v>
      </c>
      <c r="CS40" s="9">
        <v>4.1128330000000002</v>
      </c>
      <c r="CT40" s="8" t="s">
        <v>38</v>
      </c>
      <c r="CU40" s="8" t="s">
        <v>38</v>
      </c>
      <c r="CV40" s="8" t="s">
        <v>38</v>
      </c>
      <c r="CW40" s="8">
        <v>3.2</v>
      </c>
      <c r="CX40" s="8">
        <v>2.4</v>
      </c>
      <c r="CY40" s="8" t="s">
        <v>38</v>
      </c>
      <c r="CZ40" s="8" t="s">
        <v>38</v>
      </c>
      <c r="DA40" s="8" t="s">
        <v>38</v>
      </c>
      <c r="DB40" s="8" t="s">
        <v>38</v>
      </c>
      <c r="DC40" s="8">
        <v>2.9</v>
      </c>
      <c r="DD40" s="8" t="s">
        <v>38</v>
      </c>
      <c r="DE40" s="8" t="s">
        <v>38</v>
      </c>
      <c r="DF40" s="8" t="s">
        <v>38</v>
      </c>
      <c r="DG40" s="8">
        <v>3.4</v>
      </c>
      <c r="DH40" s="8">
        <v>3.7</v>
      </c>
      <c r="DI40" s="8">
        <v>3.9</v>
      </c>
      <c r="DJ40" s="8">
        <v>4.2</v>
      </c>
      <c r="DK40" s="22">
        <v>4.5</v>
      </c>
    </row>
    <row r="41" spans="1:115" ht="14.15" customHeight="1" x14ac:dyDescent="0.25">
      <c r="A41" s="6" t="s">
        <v>22</v>
      </c>
      <c r="B41" s="6">
        <v>3168606</v>
      </c>
      <c r="C41" s="6" t="s">
        <v>70</v>
      </c>
      <c r="D41" s="6" t="str">
        <f>VLOOKUP(B41,Planilha1!$A:$B,2,0)</f>
        <v>Vale do Mucuri</v>
      </c>
      <c r="E41" s="7">
        <v>31228591</v>
      </c>
      <c r="F41" s="6" t="s">
        <v>31</v>
      </c>
      <c r="G41" s="6" t="s">
        <v>19</v>
      </c>
      <c r="H41" s="8">
        <v>83.1</v>
      </c>
      <c r="I41" s="8">
        <v>87.2</v>
      </c>
      <c r="J41" s="8">
        <v>78.400000000000006</v>
      </c>
      <c r="K41" s="8">
        <v>83.4</v>
      </c>
      <c r="L41" s="8">
        <v>83.5</v>
      </c>
      <c r="M41" s="9">
        <v>0.83005700000000004</v>
      </c>
      <c r="N41" s="8">
        <v>82</v>
      </c>
      <c r="O41" s="8">
        <v>89.3</v>
      </c>
      <c r="P41" s="8">
        <v>82.6</v>
      </c>
      <c r="Q41" s="8">
        <v>77.099999999999994</v>
      </c>
      <c r="R41" s="8">
        <v>75.599999999999994</v>
      </c>
      <c r="S41" s="9">
        <v>0.80804100000000001</v>
      </c>
      <c r="T41" s="8">
        <v>85.2</v>
      </c>
      <c r="U41" s="8">
        <v>86</v>
      </c>
      <c r="V41" s="8">
        <v>82.4</v>
      </c>
      <c r="W41" s="8">
        <v>83.2</v>
      </c>
      <c r="X41" s="8">
        <v>89.5</v>
      </c>
      <c r="Y41" s="9">
        <v>0.85185699999999998</v>
      </c>
      <c r="Z41" s="8">
        <v>84</v>
      </c>
      <c r="AA41" s="8">
        <v>79.5</v>
      </c>
      <c r="AB41" s="8">
        <v>85.5</v>
      </c>
      <c r="AC41" s="8">
        <v>83.2</v>
      </c>
      <c r="AD41" s="8">
        <v>88.6</v>
      </c>
      <c r="AE41" s="9">
        <v>0.84068200000000004</v>
      </c>
      <c r="AF41" s="8">
        <v>86</v>
      </c>
      <c r="AG41" s="8">
        <v>85</v>
      </c>
      <c r="AH41" s="8">
        <v>83.9</v>
      </c>
      <c r="AI41" s="8">
        <v>85.4</v>
      </c>
      <c r="AJ41" s="8">
        <v>90.5</v>
      </c>
      <c r="AK41" s="9">
        <v>0.86127100000000001</v>
      </c>
      <c r="AL41" s="8">
        <v>80.8</v>
      </c>
      <c r="AM41" s="8">
        <v>80.5</v>
      </c>
      <c r="AN41" s="8">
        <v>77.599999999999994</v>
      </c>
      <c r="AO41" s="8">
        <v>91</v>
      </c>
      <c r="AP41" s="8">
        <v>73.400000000000006</v>
      </c>
      <c r="AQ41" s="9">
        <v>0.80125100000000005</v>
      </c>
      <c r="AR41" s="8">
        <v>81.900000000000006</v>
      </c>
      <c r="AS41" s="8">
        <v>82.8</v>
      </c>
      <c r="AT41" s="8">
        <v>78.7</v>
      </c>
      <c r="AU41" s="8">
        <v>80.5</v>
      </c>
      <c r="AV41" s="8">
        <v>86</v>
      </c>
      <c r="AW41" s="9">
        <v>0.81910099999999997</v>
      </c>
      <c r="AX41" s="8">
        <v>83.1</v>
      </c>
      <c r="AY41" s="8">
        <v>85.1</v>
      </c>
      <c r="AZ41" s="8">
        <v>76.2</v>
      </c>
      <c r="BA41" s="8">
        <v>86.3</v>
      </c>
      <c r="BB41" s="8">
        <v>86.5</v>
      </c>
      <c r="BC41" s="9">
        <v>0.83294400000000002</v>
      </c>
      <c r="BD41" s="8">
        <v>92</v>
      </c>
      <c r="BE41" s="8">
        <v>90.2</v>
      </c>
      <c r="BF41" s="8">
        <v>88.9</v>
      </c>
      <c r="BG41" s="8">
        <v>93.2</v>
      </c>
      <c r="BH41" s="8">
        <v>97.5</v>
      </c>
      <c r="BI41" s="9">
        <v>0.92333799999999999</v>
      </c>
      <c r="BJ41" s="8">
        <v>91.2</v>
      </c>
      <c r="BK41" s="8">
        <v>92.6</v>
      </c>
      <c r="BL41" s="8">
        <v>87</v>
      </c>
      <c r="BM41" s="8">
        <v>90.7</v>
      </c>
      <c r="BN41" s="8">
        <v>95.6</v>
      </c>
      <c r="BO41" s="9">
        <v>0.91368000000000005</v>
      </c>
      <c r="BP41" s="9">
        <v>293.24</v>
      </c>
      <c r="BQ41" s="9">
        <v>266.17</v>
      </c>
      <c r="BR41" s="9">
        <v>5.9902749999999996</v>
      </c>
      <c r="BS41" s="9">
        <v>301.27999999999997</v>
      </c>
      <c r="BT41" s="9">
        <v>276.93</v>
      </c>
      <c r="BU41" s="9">
        <v>6.3034999999999997</v>
      </c>
      <c r="BV41" s="9">
        <v>318.07</v>
      </c>
      <c r="BW41" s="9">
        <v>290.74</v>
      </c>
      <c r="BX41" s="9">
        <v>6.8135000000000003</v>
      </c>
      <c r="BY41" s="9">
        <v>311.95</v>
      </c>
      <c r="BZ41" s="9">
        <v>289.86</v>
      </c>
      <c r="CA41" s="9">
        <v>6.6968329999999998</v>
      </c>
      <c r="CB41" s="9">
        <v>297.70999999999998</v>
      </c>
      <c r="CC41" s="9">
        <v>285.42</v>
      </c>
      <c r="CD41" s="9">
        <v>6.3855000000000004</v>
      </c>
      <c r="CE41" s="9" t="s">
        <v>216</v>
      </c>
      <c r="CF41" s="9" t="s">
        <v>215</v>
      </c>
      <c r="CG41" s="9">
        <v>6.4591669999999999</v>
      </c>
      <c r="CH41" s="9">
        <v>302.38</v>
      </c>
      <c r="CI41" s="9">
        <v>295.2</v>
      </c>
      <c r="CJ41" s="9">
        <v>6.6263329999999998</v>
      </c>
      <c r="CK41" s="9">
        <v>301.74</v>
      </c>
      <c r="CL41" s="9">
        <v>292.12</v>
      </c>
      <c r="CM41" s="9">
        <v>6.5643330000000004</v>
      </c>
      <c r="CN41" s="9">
        <v>283.64</v>
      </c>
      <c r="CO41" s="9">
        <v>284.81</v>
      </c>
      <c r="CP41" s="9">
        <v>6.1408329999999998</v>
      </c>
      <c r="CQ41" s="9">
        <v>294.24</v>
      </c>
      <c r="CR41" s="9">
        <v>285.85000000000002</v>
      </c>
      <c r="CS41" s="9">
        <v>6.3348329999999997</v>
      </c>
      <c r="CT41" s="8">
        <v>5</v>
      </c>
      <c r="CU41" s="8">
        <v>5.0999999999999996</v>
      </c>
      <c r="CV41" s="8">
        <v>5.8</v>
      </c>
      <c r="CW41" s="8">
        <v>5.6</v>
      </c>
      <c r="CX41" s="8">
        <v>5.5</v>
      </c>
      <c r="CY41" s="8">
        <v>5.2</v>
      </c>
      <c r="CZ41" s="8">
        <v>5.4</v>
      </c>
      <c r="DA41" s="8">
        <v>5.5</v>
      </c>
      <c r="DB41" s="8">
        <v>5.7</v>
      </c>
      <c r="DC41" s="8">
        <v>5.8</v>
      </c>
      <c r="DD41" s="8">
        <v>5</v>
      </c>
      <c r="DE41" s="8">
        <v>5.0999999999999996</v>
      </c>
      <c r="DF41" s="8">
        <v>5.4</v>
      </c>
      <c r="DG41" s="8">
        <v>5.8</v>
      </c>
      <c r="DH41" s="8">
        <v>6.1</v>
      </c>
      <c r="DI41" s="8">
        <v>6.3</v>
      </c>
      <c r="DJ41" s="8">
        <v>6.5</v>
      </c>
      <c r="DK41" s="22">
        <v>6.7</v>
      </c>
    </row>
    <row r="42" spans="1:115" ht="14.15" customHeight="1" x14ac:dyDescent="0.25">
      <c r="A42" s="6" t="s">
        <v>22</v>
      </c>
      <c r="B42" s="6">
        <v>3168606</v>
      </c>
      <c r="C42" s="6" t="s">
        <v>70</v>
      </c>
      <c r="D42" s="6" t="str">
        <f>VLOOKUP(B42,Planilha1!$A:$B,2,0)</f>
        <v>Vale do Mucuri</v>
      </c>
      <c r="E42" s="7">
        <v>31305669</v>
      </c>
      <c r="F42" s="6" t="s">
        <v>34</v>
      </c>
      <c r="G42" s="6" t="s">
        <v>19</v>
      </c>
      <c r="H42" s="8">
        <v>63.3</v>
      </c>
      <c r="I42" s="8">
        <v>63.6</v>
      </c>
      <c r="J42" s="8">
        <v>75.400000000000006</v>
      </c>
      <c r="K42" s="8">
        <v>43.3</v>
      </c>
      <c r="L42" s="8">
        <v>73</v>
      </c>
      <c r="M42" s="9">
        <v>0.60809500000000005</v>
      </c>
      <c r="N42" s="8">
        <v>78.7</v>
      </c>
      <c r="O42" s="8">
        <v>81.599999999999994</v>
      </c>
      <c r="P42" s="8">
        <v>77.5</v>
      </c>
      <c r="Q42" s="8">
        <v>71.8</v>
      </c>
      <c r="R42" s="8">
        <v>80.900000000000006</v>
      </c>
      <c r="S42" s="9">
        <v>0.777505</v>
      </c>
      <c r="T42" s="8">
        <v>71.8</v>
      </c>
      <c r="U42" s="8">
        <v>68.400000000000006</v>
      </c>
      <c r="V42" s="8">
        <v>70.900000000000006</v>
      </c>
      <c r="W42" s="8">
        <v>63.8</v>
      </c>
      <c r="X42" s="8">
        <v>84.5</v>
      </c>
      <c r="Y42" s="9">
        <v>0.71133199999999996</v>
      </c>
      <c r="Z42" s="8">
        <v>65.900000000000006</v>
      </c>
      <c r="AA42" s="8">
        <v>56.8</v>
      </c>
      <c r="AB42" s="8">
        <v>68.5</v>
      </c>
      <c r="AC42" s="8">
        <v>69.8</v>
      </c>
      <c r="AD42" s="8">
        <v>73.7</v>
      </c>
      <c r="AE42" s="9">
        <v>0.66556499999999996</v>
      </c>
      <c r="AF42" s="8">
        <v>67.8</v>
      </c>
      <c r="AG42" s="8">
        <v>59</v>
      </c>
      <c r="AH42" s="8">
        <v>71.099999999999994</v>
      </c>
      <c r="AI42" s="8">
        <v>65.7</v>
      </c>
      <c r="AJ42" s="8">
        <v>90.6</v>
      </c>
      <c r="AK42" s="9">
        <v>0.69842099999999996</v>
      </c>
      <c r="AL42" s="8">
        <v>69.7</v>
      </c>
      <c r="AM42" s="8">
        <v>57.4</v>
      </c>
      <c r="AN42" s="8">
        <v>73.7</v>
      </c>
      <c r="AO42" s="8">
        <v>73.099999999999994</v>
      </c>
      <c r="AP42" s="8">
        <v>82.8</v>
      </c>
      <c r="AQ42" s="9">
        <v>0.70487900000000003</v>
      </c>
      <c r="AR42" s="8">
        <v>90.5</v>
      </c>
      <c r="AS42" s="8">
        <v>86.6</v>
      </c>
      <c r="AT42" s="8">
        <v>87.8</v>
      </c>
      <c r="AU42" s="8">
        <v>90.2</v>
      </c>
      <c r="AV42" s="8">
        <v>100</v>
      </c>
      <c r="AW42" s="9">
        <v>0.908609</v>
      </c>
      <c r="AX42" s="8">
        <v>79.400000000000006</v>
      </c>
      <c r="AY42" s="8">
        <v>83.1</v>
      </c>
      <c r="AZ42" s="8">
        <v>81.599999999999994</v>
      </c>
      <c r="BA42" s="8">
        <v>74.099999999999994</v>
      </c>
      <c r="BB42" s="8">
        <v>73.3</v>
      </c>
      <c r="BC42" s="9">
        <v>0.77781</v>
      </c>
      <c r="BD42" s="8">
        <v>87.9</v>
      </c>
      <c r="BE42" s="8">
        <v>83.3</v>
      </c>
      <c r="BF42" s="8">
        <v>87.3</v>
      </c>
      <c r="BG42" s="8">
        <v>88.4</v>
      </c>
      <c r="BH42" s="8">
        <v>91.9</v>
      </c>
      <c r="BI42" s="9">
        <v>0.87617100000000003</v>
      </c>
      <c r="BJ42" s="8">
        <v>71.8</v>
      </c>
      <c r="BK42" s="8">
        <v>67.3</v>
      </c>
      <c r="BL42" s="8">
        <v>62</v>
      </c>
      <c r="BM42" s="8">
        <v>75</v>
      </c>
      <c r="BN42" s="8">
        <v>88.2</v>
      </c>
      <c r="BO42" s="9">
        <v>0.71866099999999999</v>
      </c>
      <c r="BP42" s="9">
        <v>229.57</v>
      </c>
      <c r="BQ42" s="9">
        <v>215.27</v>
      </c>
      <c r="BR42" s="9">
        <v>4.0807219999999997</v>
      </c>
      <c r="BS42" s="9">
        <v>217.32</v>
      </c>
      <c r="BT42" s="9">
        <v>222.02</v>
      </c>
      <c r="BU42" s="9">
        <v>3.9889999999999999</v>
      </c>
      <c r="BV42" s="9">
        <v>221.97</v>
      </c>
      <c r="BW42" s="9">
        <v>232.34</v>
      </c>
      <c r="BX42" s="9">
        <v>4.2385000000000002</v>
      </c>
      <c r="BY42" s="9">
        <v>253.04</v>
      </c>
      <c r="BZ42" s="9">
        <v>230.12</v>
      </c>
      <c r="CA42" s="9">
        <v>4.7193329999999998</v>
      </c>
      <c r="CB42" s="9">
        <v>258.38</v>
      </c>
      <c r="CC42" s="9">
        <v>248.98</v>
      </c>
      <c r="CD42" s="9">
        <v>5.1226669999999999</v>
      </c>
      <c r="CE42" s="9" t="s">
        <v>192</v>
      </c>
      <c r="CF42" s="9" t="s">
        <v>193</v>
      </c>
      <c r="CG42" s="9">
        <v>4.8753330000000004</v>
      </c>
      <c r="CH42" s="9">
        <v>240.94</v>
      </c>
      <c r="CI42" s="9">
        <v>256.45999999999998</v>
      </c>
      <c r="CJ42" s="9">
        <v>4.9566670000000004</v>
      </c>
      <c r="CK42" s="29">
        <v>239.72</v>
      </c>
      <c r="CL42" s="29">
        <v>249.84</v>
      </c>
      <c r="CM42" s="9">
        <v>4.8259999999999996</v>
      </c>
      <c r="CN42" s="29" t="s">
        <v>39</v>
      </c>
      <c r="CO42" s="29" t="s">
        <v>39</v>
      </c>
      <c r="CP42" s="9" t="s">
        <v>38</v>
      </c>
      <c r="CQ42" s="29" t="s">
        <v>39</v>
      </c>
      <c r="CR42" s="29" t="s">
        <v>39</v>
      </c>
      <c r="CS42" s="9" t="s">
        <v>38</v>
      </c>
      <c r="CT42" s="8">
        <v>2.5</v>
      </c>
      <c r="CU42" s="8">
        <v>3.1</v>
      </c>
      <c r="CV42" s="8">
        <v>3</v>
      </c>
      <c r="CW42" s="8">
        <v>3.1</v>
      </c>
      <c r="CX42" s="8">
        <v>3.6</v>
      </c>
      <c r="CY42" s="8">
        <v>3.4</v>
      </c>
      <c r="CZ42" s="8">
        <v>4.5</v>
      </c>
      <c r="DA42" s="8">
        <v>3.8</v>
      </c>
      <c r="DB42" s="8" t="s">
        <v>38</v>
      </c>
      <c r="DC42" s="8" t="s">
        <v>38</v>
      </c>
      <c r="DD42" s="8">
        <v>2.5</v>
      </c>
      <c r="DE42" s="8">
        <v>2.7</v>
      </c>
      <c r="DF42" s="8">
        <v>3</v>
      </c>
      <c r="DG42" s="8">
        <v>3.5</v>
      </c>
      <c r="DH42" s="8">
        <v>3.9</v>
      </c>
      <c r="DI42" s="8">
        <v>4.0999999999999996</v>
      </c>
      <c r="DJ42" s="8">
        <v>4.4000000000000004</v>
      </c>
      <c r="DK42" s="22">
        <v>4.7</v>
      </c>
    </row>
    <row r="43" spans="1:115" ht="14.15" customHeight="1" x14ac:dyDescent="0.25">
      <c r="A43" s="6" t="s">
        <v>22</v>
      </c>
      <c r="B43" s="6">
        <v>3170305</v>
      </c>
      <c r="C43" s="6" t="s">
        <v>71</v>
      </c>
      <c r="D43" s="6" t="str">
        <f>VLOOKUP(B43,Planilha1!$A:$B,2,0)</f>
        <v>Vale do Mucuri</v>
      </c>
      <c r="E43" s="7">
        <v>31148466</v>
      </c>
      <c r="F43" s="6" t="s">
        <v>246</v>
      </c>
      <c r="G43" s="6" t="s">
        <v>19</v>
      </c>
      <c r="H43" s="8" t="s">
        <v>38</v>
      </c>
      <c r="I43" s="8" t="s">
        <v>38</v>
      </c>
      <c r="J43" s="8" t="s">
        <v>38</v>
      </c>
      <c r="K43" s="8" t="s">
        <v>38</v>
      </c>
      <c r="L43" s="8" t="s">
        <v>38</v>
      </c>
      <c r="M43" s="9" t="s">
        <v>38</v>
      </c>
      <c r="N43" s="8" t="s">
        <v>38</v>
      </c>
      <c r="O43" s="8" t="s">
        <v>38</v>
      </c>
      <c r="P43" s="8" t="s">
        <v>38</v>
      </c>
      <c r="Q43" s="8" t="s">
        <v>38</v>
      </c>
      <c r="R43" s="8" t="s">
        <v>38</v>
      </c>
      <c r="S43" s="9" t="s">
        <v>38</v>
      </c>
      <c r="T43" s="8">
        <v>79.2</v>
      </c>
      <c r="U43" s="8">
        <v>76</v>
      </c>
      <c r="V43" s="8">
        <v>81</v>
      </c>
      <c r="W43" s="8">
        <v>76.7</v>
      </c>
      <c r="X43" s="8">
        <v>85</v>
      </c>
      <c r="Y43" s="9">
        <v>0.79513199999999995</v>
      </c>
      <c r="Z43" s="8">
        <v>76.3</v>
      </c>
      <c r="AA43" s="8">
        <v>77.3</v>
      </c>
      <c r="AB43" s="8">
        <v>68</v>
      </c>
      <c r="AC43" s="8">
        <v>66.7</v>
      </c>
      <c r="AD43" s="8">
        <v>94.4</v>
      </c>
      <c r="AE43" s="9">
        <v>0.75148099999999995</v>
      </c>
      <c r="AF43" s="8">
        <v>90.8</v>
      </c>
      <c r="AG43" s="8">
        <v>100</v>
      </c>
      <c r="AH43" s="8">
        <v>87.5</v>
      </c>
      <c r="AI43" s="8">
        <v>100</v>
      </c>
      <c r="AJ43" s="8">
        <v>77.8</v>
      </c>
      <c r="AK43" s="9">
        <v>0.90330100000000002</v>
      </c>
      <c r="AL43" s="8">
        <v>90</v>
      </c>
      <c r="AM43" s="8">
        <v>85.7</v>
      </c>
      <c r="AN43" s="8">
        <v>90.9</v>
      </c>
      <c r="AO43" s="8">
        <v>88.2</v>
      </c>
      <c r="AP43" s="8">
        <v>95</v>
      </c>
      <c r="AQ43" s="9">
        <v>0.89819199999999999</v>
      </c>
      <c r="AR43" s="8">
        <v>84.5</v>
      </c>
      <c r="AS43" s="8">
        <v>72</v>
      </c>
      <c r="AT43" s="8">
        <v>78.3</v>
      </c>
      <c r="AU43" s="8">
        <v>94.1</v>
      </c>
      <c r="AV43" s="8">
        <v>100</v>
      </c>
      <c r="AW43" s="9">
        <v>0.84589400000000003</v>
      </c>
      <c r="AX43" s="8">
        <v>89.9</v>
      </c>
      <c r="AY43" s="8">
        <v>86.2</v>
      </c>
      <c r="AZ43" s="8">
        <v>95</v>
      </c>
      <c r="BA43" s="8">
        <v>85.7</v>
      </c>
      <c r="BB43" s="8">
        <v>93.8</v>
      </c>
      <c r="BC43" s="9">
        <v>0.89974900000000002</v>
      </c>
      <c r="BD43" s="8">
        <v>100</v>
      </c>
      <c r="BE43" s="8">
        <v>100</v>
      </c>
      <c r="BF43" s="8">
        <v>100</v>
      </c>
      <c r="BG43" s="8">
        <v>100</v>
      </c>
      <c r="BH43" s="8">
        <v>100</v>
      </c>
      <c r="BI43" s="9">
        <v>1</v>
      </c>
      <c r="BJ43" s="8">
        <v>98.5</v>
      </c>
      <c r="BK43" s="8">
        <v>94.4</v>
      </c>
      <c r="BL43" s="8">
        <v>100</v>
      </c>
      <c r="BM43" s="8">
        <v>100</v>
      </c>
      <c r="BN43" s="8">
        <v>100</v>
      </c>
      <c r="BO43" s="9">
        <v>0.98538599999999998</v>
      </c>
      <c r="BP43" s="9" t="s">
        <v>38</v>
      </c>
      <c r="BQ43" s="9" t="s">
        <v>38</v>
      </c>
      <c r="BR43" s="9" t="s">
        <v>38</v>
      </c>
      <c r="BS43" s="9" t="s">
        <v>38</v>
      </c>
      <c r="BT43" s="9" t="s">
        <v>38</v>
      </c>
      <c r="BU43" s="9" t="s">
        <v>38</v>
      </c>
      <c r="BV43" s="9">
        <v>259.33999999999997</v>
      </c>
      <c r="BW43" s="9">
        <v>237.35</v>
      </c>
      <c r="BX43" s="9">
        <v>4.944833</v>
      </c>
      <c r="BY43" s="9" t="s">
        <v>38</v>
      </c>
      <c r="BZ43" s="9" t="s">
        <v>38</v>
      </c>
      <c r="CA43" s="9" t="s">
        <v>38</v>
      </c>
      <c r="CB43" s="9" t="s">
        <v>38</v>
      </c>
      <c r="CC43" s="9" t="s">
        <v>38</v>
      </c>
      <c r="CD43" s="9" t="s">
        <v>38</v>
      </c>
      <c r="CE43" s="9" t="s">
        <v>212</v>
      </c>
      <c r="CF43" s="9" t="s">
        <v>211</v>
      </c>
      <c r="CG43" s="9">
        <v>4.8003330000000002</v>
      </c>
      <c r="CH43" s="9">
        <v>233.01</v>
      </c>
      <c r="CI43" s="9">
        <v>252.81</v>
      </c>
      <c r="CJ43" s="9">
        <v>4.7636669999999999</v>
      </c>
      <c r="CK43" s="9">
        <v>228.91</v>
      </c>
      <c r="CL43" s="9">
        <v>235.03</v>
      </c>
      <c r="CM43" s="9">
        <v>4.399</v>
      </c>
      <c r="CN43" s="9" t="s">
        <v>39</v>
      </c>
      <c r="CO43" s="9" t="s">
        <v>39</v>
      </c>
      <c r="CP43" s="9" t="s">
        <v>38</v>
      </c>
      <c r="CQ43" s="9">
        <v>232.62</v>
      </c>
      <c r="CR43" s="9">
        <v>218.26</v>
      </c>
      <c r="CS43" s="9">
        <v>4.1813330000000004</v>
      </c>
      <c r="CT43" s="8" t="s">
        <v>38</v>
      </c>
      <c r="CU43" s="8" t="s">
        <v>38</v>
      </c>
      <c r="CV43" s="8">
        <v>3.9</v>
      </c>
      <c r="CW43" s="8" t="s">
        <v>38</v>
      </c>
      <c r="CX43" s="8" t="s">
        <v>38</v>
      </c>
      <c r="CY43" s="8">
        <v>4.3</v>
      </c>
      <c r="CZ43" s="8">
        <v>4</v>
      </c>
      <c r="DA43" s="8">
        <v>4</v>
      </c>
      <c r="DB43" s="8" t="s">
        <v>38</v>
      </c>
      <c r="DC43" s="8">
        <v>4.0999999999999996</v>
      </c>
      <c r="DD43" s="8" t="s">
        <v>38</v>
      </c>
      <c r="DE43" s="8" t="s">
        <v>38</v>
      </c>
      <c r="DF43" s="8">
        <v>4.0999999999999996</v>
      </c>
      <c r="DG43" s="8">
        <v>4.4000000000000004</v>
      </c>
      <c r="DH43" s="8">
        <v>4.7</v>
      </c>
      <c r="DI43" s="8">
        <v>4.9000000000000004</v>
      </c>
      <c r="DJ43" s="8">
        <v>5.2</v>
      </c>
      <c r="DK43" s="22">
        <v>5.5</v>
      </c>
    </row>
    <row r="44" spans="1:115" ht="6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</row>
    <row r="45" spans="1:115" x14ac:dyDescent="0.25">
      <c r="A45" s="11" t="s">
        <v>13</v>
      </c>
    </row>
    <row r="46" spans="1:115" ht="12.75" customHeight="1" x14ac:dyDescent="0.25">
      <c r="A46" s="34" t="s">
        <v>252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12"/>
      <c r="Q46" s="12"/>
    </row>
    <row r="47" spans="1:115" x14ac:dyDescent="0.25">
      <c r="A47" s="34" t="s">
        <v>264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12"/>
      <c r="Q47" s="12"/>
    </row>
    <row r="48" spans="1:115" x14ac:dyDescent="0.25">
      <c r="A48" s="34" t="s">
        <v>263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12"/>
      <c r="Q48" s="12"/>
    </row>
    <row r="49" spans="1:17" x14ac:dyDescent="0.25">
      <c r="A49" s="34" t="s">
        <v>265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12"/>
      <c r="Q49" s="12"/>
    </row>
    <row r="50" spans="1:17" x14ac:dyDescent="0.25">
      <c r="A50" s="34" t="s">
        <v>262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12"/>
      <c r="Q50" s="12"/>
    </row>
    <row r="51" spans="1:17" x14ac:dyDescent="0.25">
      <c r="A51" s="33" t="s">
        <v>253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11"/>
      <c r="Q51" s="11"/>
    </row>
    <row r="52" spans="1:17" x14ac:dyDescent="0.25">
      <c r="A52" s="33" t="s">
        <v>254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11"/>
      <c r="Q52" s="11"/>
    </row>
    <row r="53" spans="1:17" x14ac:dyDescent="0.25">
      <c r="A53" s="33" t="s">
        <v>255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11"/>
      <c r="Q53" s="11"/>
    </row>
    <row r="54" spans="1:17" x14ac:dyDescent="0.25">
      <c r="A54" s="33" t="s">
        <v>256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11"/>
      <c r="Q54" s="11"/>
    </row>
    <row r="55" spans="1:17" x14ac:dyDescent="0.25">
      <c r="A55" s="33" t="s">
        <v>257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11"/>
      <c r="Q55" s="11"/>
    </row>
    <row r="56" spans="1:17" x14ac:dyDescent="0.25">
      <c r="A56" s="33" t="s">
        <v>258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11"/>
      <c r="Q56" s="11"/>
    </row>
    <row r="57" spans="1:17" x14ac:dyDescent="0.25">
      <c r="A57" s="33" t="s">
        <v>259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11"/>
      <c r="Q57" s="11"/>
    </row>
    <row r="58" spans="1:17" x14ac:dyDescent="0.25">
      <c r="A58" s="33" t="s">
        <v>260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11"/>
      <c r="Q58" s="11"/>
    </row>
    <row r="59" spans="1:17" x14ac:dyDescent="0.25">
      <c r="A59" s="33" t="s">
        <v>261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11"/>
      <c r="Q59" s="11"/>
    </row>
  </sheetData>
  <autoFilter ref="A10:DK43" xr:uid="{00000000-0009-0000-0000-000000000000}"/>
  <sortState xmlns:xlrd2="http://schemas.microsoft.com/office/spreadsheetml/2017/richdata2" ref="A11:CY43">
    <sortCondition ref="B11:B43"/>
    <sortCondition ref="E11:E43"/>
  </sortState>
  <mergeCells count="83">
    <mergeCell ref="CQ7:CS7"/>
    <mergeCell ref="CQ8:CQ9"/>
    <mergeCell ref="CR8:CR9"/>
    <mergeCell ref="CS8:CS9"/>
    <mergeCell ref="CE7:CG7"/>
    <mergeCell ref="CE8:CE9"/>
    <mergeCell ref="CN8:CN9"/>
    <mergeCell ref="CO8:CO9"/>
    <mergeCell ref="CP8:CP9"/>
    <mergeCell ref="CK7:CM7"/>
    <mergeCell ref="CK8:CK9"/>
    <mergeCell ref="CL8:CL9"/>
    <mergeCell ref="CM8:CM9"/>
    <mergeCell ref="CN7:CP7"/>
    <mergeCell ref="BY8:BY9"/>
    <mergeCell ref="BR8:BR9"/>
    <mergeCell ref="BS8:BS9"/>
    <mergeCell ref="BZ8:BZ9"/>
    <mergeCell ref="CD8:CD9"/>
    <mergeCell ref="BU8:BU9"/>
    <mergeCell ref="BT8:BT9"/>
    <mergeCell ref="CB8:CB9"/>
    <mergeCell ref="CC8:CC9"/>
    <mergeCell ref="Z7:AE8"/>
    <mergeCell ref="AR7:AW8"/>
    <mergeCell ref="CH7:CJ7"/>
    <mergeCell ref="CH8:CH9"/>
    <mergeCell ref="CI8:CI9"/>
    <mergeCell ref="CJ8:CJ9"/>
    <mergeCell ref="CF8:CF9"/>
    <mergeCell ref="CG8:CG9"/>
    <mergeCell ref="BV7:BX7"/>
    <mergeCell ref="BV8:BV9"/>
    <mergeCell ref="BW8:BW9"/>
    <mergeCell ref="CB7:CD7"/>
    <mergeCell ref="BY7:CA7"/>
    <mergeCell ref="BX8:BX9"/>
    <mergeCell ref="BP8:BP9"/>
    <mergeCell ref="BQ8:BQ9"/>
    <mergeCell ref="DD7:DK8"/>
    <mergeCell ref="CU7:CU9"/>
    <mergeCell ref="CT7:CT9"/>
    <mergeCell ref="CV7:CV9"/>
    <mergeCell ref="CW7:CW9"/>
    <mergeCell ref="DB7:DB9"/>
    <mergeCell ref="CY7:CY9"/>
    <mergeCell ref="CX7:CX9"/>
    <mergeCell ref="DA7:DA9"/>
    <mergeCell ref="DC7:DC9"/>
    <mergeCell ref="CZ7:CZ9"/>
    <mergeCell ref="BP7:BR7"/>
    <mergeCell ref="BS7:BU7"/>
    <mergeCell ref="A4:Q4"/>
    <mergeCell ref="AX7:BC8"/>
    <mergeCell ref="CA8:CA9"/>
    <mergeCell ref="BJ7:BO8"/>
    <mergeCell ref="B7:B9"/>
    <mergeCell ref="C7:C9"/>
    <mergeCell ref="E7:E9"/>
    <mergeCell ref="AL7:AQ8"/>
    <mergeCell ref="G7:G9"/>
    <mergeCell ref="H7:M8"/>
    <mergeCell ref="N7:S8"/>
    <mergeCell ref="AF7:AK8"/>
    <mergeCell ref="T7:Y8"/>
    <mergeCell ref="BD7:BI8"/>
    <mergeCell ref="A5:Q6"/>
    <mergeCell ref="A51:O51"/>
    <mergeCell ref="A52:O52"/>
    <mergeCell ref="A47:O47"/>
    <mergeCell ref="A48:O48"/>
    <mergeCell ref="A50:O50"/>
    <mergeCell ref="A49:O49"/>
    <mergeCell ref="A7:A9"/>
    <mergeCell ref="F7:F9"/>
    <mergeCell ref="A58:O58"/>
    <mergeCell ref="A59:O59"/>
    <mergeCell ref="A46:O46"/>
    <mergeCell ref="A53:O53"/>
    <mergeCell ref="A54:O54"/>
    <mergeCell ref="A55:O55"/>
    <mergeCell ref="A56:O56"/>
    <mergeCell ref="A57:O57"/>
  </mergeCells>
  <pageMargins left="0.78740157499999996" right="0.78740157499999996" top="0.984251969" bottom="0.984251969" header="0.5" footer="0.5"/>
  <pageSetup paperSize="9" orientation="portrait" horizontalDpi="4294967295" verticalDpi="4294967295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1C400-65F5-49A7-B32C-7B6D57417EE8}">
  <dimension ref="A1:B24"/>
  <sheetViews>
    <sheetView topLeftCell="A2" workbookViewId="0">
      <selection activeCell="B24" sqref="B3:B24"/>
    </sheetView>
  </sheetViews>
  <sheetFormatPr defaultRowHeight="12.5" x14ac:dyDescent="0.25"/>
  <cols>
    <col min="1" max="1" width="23.1796875" bestFit="1" customWidth="1"/>
  </cols>
  <sheetData>
    <row r="1" spans="1:2" x14ac:dyDescent="0.25">
      <c r="A1" s="56" t="s">
        <v>267</v>
      </c>
    </row>
    <row r="2" spans="1:2" x14ac:dyDescent="0.25">
      <c r="A2" s="56">
        <v>3100906</v>
      </c>
      <c r="B2" t="s">
        <v>268</v>
      </c>
    </row>
    <row r="3" spans="1:2" x14ac:dyDescent="0.25">
      <c r="A3" s="56">
        <v>3104700</v>
      </c>
      <c r="B3" t="s">
        <v>268</v>
      </c>
    </row>
    <row r="4" spans="1:2" x14ac:dyDescent="0.25">
      <c r="A4" s="56">
        <v>3106606</v>
      </c>
      <c r="B4" t="s">
        <v>268</v>
      </c>
    </row>
    <row r="5" spans="1:2" x14ac:dyDescent="0.25">
      <c r="A5" s="56">
        <v>3113701</v>
      </c>
      <c r="B5" t="s">
        <v>268</v>
      </c>
    </row>
    <row r="6" spans="1:2" x14ac:dyDescent="0.25">
      <c r="A6" s="56">
        <v>3115458</v>
      </c>
      <c r="B6" t="s">
        <v>268</v>
      </c>
    </row>
    <row r="7" spans="1:2" x14ac:dyDescent="0.25">
      <c r="A7" s="56">
        <v>3120151</v>
      </c>
      <c r="B7" t="s">
        <v>268</v>
      </c>
    </row>
    <row r="8" spans="1:2" x14ac:dyDescent="0.25">
      <c r="A8" s="56">
        <v>3126752</v>
      </c>
      <c r="B8" t="s">
        <v>268</v>
      </c>
    </row>
    <row r="9" spans="1:2" x14ac:dyDescent="0.25">
      <c r="A9" s="56">
        <v>3126802</v>
      </c>
      <c r="B9" t="s">
        <v>268</v>
      </c>
    </row>
    <row r="10" spans="1:2" x14ac:dyDescent="0.25">
      <c r="A10" s="56">
        <v>3127057</v>
      </c>
      <c r="B10" t="s">
        <v>268</v>
      </c>
    </row>
    <row r="11" spans="1:2" x14ac:dyDescent="0.25">
      <c r="A11" s="56">
        <v>3132305</v>
      </c>
      <c r="B11" t="s">
        <v>268</v>
      </c>
    </row>
    <row r="12" spans="1:2" x14ac:dyDescent="0.25">
      <c r="A12" s="56">
        <v>3137007</v>
      </c>
      <c r="B12" t="s">
        <v>268</v>
      </c>
    </row>
    <row r="13" spans="1:2" x14ac:dyDescent="0.25">
      <c r="A13" s="56">
        <v>3138906</v>
      </c>
      <c r="B13" t="s">
        <v>268</v>
      </c>
    </row>
    <row r="14" spans="1:2" x14ac:dyDescent="0.25">
      <c r="A14" s="56">
        <v>3139201</v>
      </c>
      <c r="B14" t="s">
        <v>268</v>
      </c>
    </row>
    <row r="15" spans="1:2" x14ac:dyDescent="0.25">
      <c r="A15" s="56">
        <v>3144300</v>
      </c>
      <c r="B15" t="s">
        <v>268</v>
      </c>
    </row>
    <row r="16" spans="1:2" x14ac:dyDescent="0.25">
      <c r="A16" s="56">
        <v>3145356</v>
      </c>
      <c r="B16" t="s">
        <v>268</v>
      </c>
    </row>
    <row r="17" spans="1:2" x14ac:dyDescent="0.25">
      <c r="A17" s="56">
        <v>3146206</v>
      </c>
      <c r="B17" t="s">
        <v>268</v>
      </c>
    </row>
    <row r="18" spans="1:2" x14ac:dyDescent="0.25">
      <c r="A18" s="56">
        <v>3148509</v>
      </c>
      <c r="B18" t="s">
        <v>268</v>
      </c>
    </row>
    <row r="19" spans="1:2" x14ac:dyDescent="0.25">
      <c r="A19" s="56">
        <v>3152402</v>
      </c>
      <c r="B19" t="s">
        <v>268</v>
      </c>
    </row>
    <row r="20" spans="1:2" x14ac:dyDescent="0.25">
      <c r="A20" s="56">
        <v>3157658</v>
      </c>
      <c r="B20" t="s">
        <v>268</v>
      </c>
    </row>
    <row r="21" spans="1:2" x14ac:dyDescent="0.25">
      <c r="A21" s="56">
        <v>3166709</v>
      </c>
      <c r="B21" t="s">
        <v>268</v>
      </c>
    </row>
    <row r="22" spans="1:2" x14ac:dyDescent="0.25">
      <c r="A22" s="56">
        <v>3165552</v>
      </c>
      <c r="B22" t="s">
        <v>268</v>
      </c>
    </row>
    <row r="23" spans="1:2" x14ac:dyDescent="0.25">
      <c r="A23" s="56">
        <v>3168606</v>
      </c>
      <c r="B23" t="s">
        <v>268</v>
      </c>
    </row>
    <row r="24" spans="1:2" x14ac:dyDescent="0.25">
      <c r="A24" s="56">
        <v>3170305</v>
      </c>
      <c r="B24" t="s">
        <v>268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IDEB_Escolas (Anos_Finais)</vt:lpstr>
      <vt:lpstr>Planilha1</vt:lpstr>
      <vt:lpstr>IDEB09_R_Fim_Esc8a</vt:lpstr>
    </vt:vector>
  </TitlesOfParts>
  <Manager>Vitor Passos Camargos/Fábio Pereira Bravin</Manager>
  <Company>INEP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Ideb 2023 - Anos Finais - Escolas</dc:title>
  <dc:subject>IDEB</dc:subject>
  <dc:creator>INEP/DEED/CGCQTI/CEICQEB</dc:creator>
  <cp:keywords>INEP/DEED/CGCQTI</cp:keywords>
  <cp:lastModifiedBy>Rafael Abreu</cp:lastModifiedBy>
  <dcterms:created xsi:type="dcterms:W3CDTF">2011-07-04T17:11:38Z</dcterms:created>
  <dcterms:modified xsi:type="dcterms:W3CDTF">2025-06-08T00:10:27Z</dcterms:modified>
  <cp:category>Indicadores Educacionais</cp:category>
</cp:coreProperties>
</file>