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02. indicadoresSIOPE - OK/"/>
    </mc:Choice>
  </mc:AlternateContent>
  <xr:revisionPtr revIDLastSave="0" documentId="8_{95C17DC6-CD90-4FBC-81E9-6C098D940BF4}" xr6:coauthVersionLast="47" xr6:coauthVersionMax="47" xr10:uidLastSave="{00000000-0000-0000-0000-000000000000}"/>
  <bookViews>
    <workbookView xWindow="-110" yWindow="-110" windowWidth="19420" windowHeight="10300" xr2:uid="{B92DF875-0F2B-45F4-8C4B-BA6D02D2DAC6}"/>
  </bookViews>
  <sheets>
    <sheet name="DB" sheetId="1" r:id="rId1"/>
    <sheet name="INTEGRALIDADE" sheetId="2" r:id="rId2"/>
  </sheets>
  <definedNames>
    <definedName name="_xlnm._FilterDatabase" localSheetId="0" hidden="1">DB!$A$2:$J$3207</definedName>
    <definedName name="_xlnm._FilterDatabase" localSheetId="1" hidden="1">INTEGRALIDADE!$A$2:$EK$26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" i="1"/>
  <c r="CB16" i="2" l="1"/>
  <c r="CH22" i="2"/>
  <c r="AL5" i="2"/>
  <c r="AP12" i="2"/>
  <c r="AM5" i="2"/>
  <c r="BC12" i="2"/>
  <c r="EE6" i="2"/>
  <c r="AZ17" i="2"/>
  <c r="CW5" i="2"/>
  <c r="AD9" i="2"/>
  <c r="AQ6" i="2"/>
  <c r="CX9" i="2"/>
  <c r="B22" i="2"/>
  <c r="DD13" i="2"/>
  <c r="EB6" i="2"/>
  <c r="S19" i="2"/>
  <c r="AY14" i="2"/>
  <c r="CL20" i="2"/>
  <c r="AA4" i="2"/>
  <c r="CA7" i="2"/>
  <c r="K11" i="2"/>
  <c r="AF15" i="2"/>
  <c r="DJ21" i="2"/>
  <c r="CD8" i="2"/>
  <c r="DF16" i="2"/>
  <c r="AB9" i="2"/>
  <c r="BM17" i="2"/>
  <c r="AH18" i="2"/>
  <c r="CY9" i="2"/>
  <c r="AZ10" i="2"/>
  <c r="BX26" i="2"/>
  <c r="BA10" i="2"/>
  <c r="Q4" i="2"/>
  <c r="O15" i="2"/>
  <c r="CR4" i="2"/>
  <c r="EF7" i="2"/>
  <c r="CL11" i="2"/>
  <c r="EG15" i="2"/>
  <c r="F24" i="2"/>
  <c r="CY19" i="2"/>
  <c r="DK21" i="2"/>
  <c r="DN20" i="2"/>
  <c r="C23" i="2"/>
  <c r="T19" i="2"/>
  <c r="BI25" i="2"/>
  <c r="BH25" i="2"/>
  <c r="BG25" i="2"/>
  <c r="CR8" i="2"/>
  <c r="CV5" i="2"/>
  <c r="EJ12" i="2"/>
  <c r="Q13" i="2"/>
  <c r="BZ24" i="2"/>
  <c r="DC13" i="2"/>
  <c r="AR6" i="2"/>
  <c r="AJ18" i="2"/>
  <c r="AX14" i="2"/>
  <c r="EC6" i="2"/>
  <c r="CX19" i="2"/>
  <c r="BH7" i="2"/>
  <c r="J11" i="2"/>
  <c r="DE4" i="2"/>
  <c r="G8" i="2"/>
  <c r="DE11" i="2"/>
  <c r="EH15" i="2"/>
  <c r="EF23" i="2"/>
  <c r="DF4" i="2"/>
  <c r="CB7" i="2"/>
  <c r="K20" i="2"/>
  <c r="CQ25" i="2"/>
  <c r="DG4" i="2"/>
  <c r="CD7" i="2"/>
  <c r="AP9" i="2"/>
  <c r="DM11" i="2"/>
  <c r="DU13" i="2"/>
  <c r="DU16" i="2"/>
  <c r="V19" i="2"/>
  <c r="BT25" i="2"/>
  <c r="AX4" i="2"/>
  <c r="F7" i="2"/>
  <c r="CV8" i="2"/>
  <c r="CM10" i="2"/>
  <c r="CC12" i="2"/>
  <c r="CO14" i="2"/>
  <c r="DV16" i="2"/>
  <c r="W19" i="2"/>
  <c r="CP25" i="2"/>
  <c r="AZ5" i="2"/>
  <c r="CS7" i="2"/>
  <c r="AU9" i="2"/>
  <c r="AB11" i="2"/>
  <c r="CP12" i="2"/>
  <c r="CP14" i="2"/>
  <c r="C17" i="2"/>
  <c r="Q20" i="2"/>
  <c r="AY23" i="2"/>
  <c r="CA26" i="2"/>
  <c r="BM5" i="2"/>
  <c r="AD7" i="2"/>
  <c r="DZ8" i="2"/>
  <c r="CQ10" i="2"/>
  <c r="BJ13" i="2"/>
  <c r="BY15" i="2"/>
  <c r="DF17" i="2"/>
  <c r="AK19" i="2"/>
  <c r="O26" i="2"/>
  <c r="BJ4" i="2"/>
  <c r="D5" i="2"/>
  <c r="CB5" i="2"/>
  <c r="I6" i="2"/>
  <c r="CQ6" i="2"/>
  <c r="AE7" i="2"/>
  <c r="CU7" i="2"/>
  <c r="AS8" i="2"/>
  <c r="EE8" i="2"/>
  <c r="BZ9" i="2"/>
  <c r="L10" i="2"/>
  <c r="DF10" i="2"/>
  <c r="BD11" i="2"/>
  <c r="EF11" i="2"/>
  <c r="CS12" i="2"/>
  <c r="BL13" i="2"/>
  <c r="AA14" i="2"/>
  <c r="DD14" i="2"/>
  <c r="CB15" i="2"/>
  <c r="BJ16" i="2"/>
  <c r="E17" i="2"/>
  <c r="DZ17" i="2"/>
  <c r="CR18" i="2"/>
  <c r="BN19" i="2"/>
  <c r="AI20" i="2"/>
  <c r="AL21" i="2"/>
  <c r="BI22" i="2"/>
  <c r="BJ23" i="2"/>
  <c r="DH24" i="2"/>
  <c r="R26" i="2"/>
  <c r="AX5" i="2"/>
  <c r="AE8" i="2"/>
  <c r="BS10" i="2"/>
  <c r="BZ12" i="2"/>
  <c r="CN14" i="2"/>
  <c r="S16" i="2"/>
  <c r="AX18" i="2"/>
  <c r="BE24" i="2"/>
  <c r="AY5" i="2"/>
  <c r="AF8" i="2"/>
  <c r="EH9" i="2"/>
  <c r="EC11" i="2"/>
  <c r="DV13" i="2"/>
  <c r="T16" i="2"/>
  <c r="BA18" i="2"/>
  <c r="BH4" i="2"/>
  <c r="G7" i="2"/>
  <c r="DY8" i="2"/>
  <c r="CP10" i="2"/>
  <c r="BI13" i="2"/>
  <c r="BX15" i="2"/>
  <c r="DE17" i="2"/>
  <c r="AJ19" i="2"/>
  <c r="N26" i="2"/>
  <c r="EH5" i="2"/>
  <c r="CT7" i="2"/>
  <c r="BI9" i="2"/>
  <c r="BB11" i="2"/>
  <c r="CR12" i="2"/>
  <c r="CQ14" i="2"/>
  <c r="D17" i="2"/>
  <c r="R20" i="2"/>
  <c r="CB24" i="2"/>
  <c r="M4" i="2"/>
  <c r="BK4" i="2"/>
  <c r="E5" i="2"/>
  <c r="CC5" i="2"/>
  <c r="J6" i="2"/>
  <c r="CR6" i="2"/>
  <c r="AP7" i="2"/>
  <c r="EB7" i="2"/>
  <c r="AT8" i="2"/>
  <c r="EF8" i="2"/>
  <c r="CA9" i="2"/>
  <c r="M10" i="2"/>
  <c r="DG10" i="2"/>
  <c r="BQ11" i="2"/>
  <c r="AF12" i="2"/>
  <c r="CW12" i="2"/>
  <c r="BM13" i="2"/>
  <c r="AB14" i="2"/>
  <c r="DE14" i="2"/>
  <c r="CC15" i="2"/>
  <c r="BL16" i="2"/>
  <c r="AT17" i="2"/>
  <c r="EA17" i="2"/>
  <c r="CS18" i="2"/>
  <c r="CA19" i="2"/>
  <c r="AJ20" i="2"/>
  <c r="AM21" i="2"/>
  <c r="BJ22" i="2"/>
  <c r="DJ23" i="2"/>
  <c r="DI24" i="2"/>
  <c r="S26" i="2"/>
  <c r="AW5" i="2"/>
  <c r="AV6" i="2"/>
  <c r="CT8" i="2"/>
  <c r="ED9" i="2"/>
  <c r="N11" i="2"/>
  <c r="BD12" i="2"/>
  <c r="DQ13" i="2"/>
  <c r="EI15" i="2"/>
  <c r="BN17" i="2"/>
  <c r="DL21" i="2"/>
  <c r="F23" i="2"/>
  <c r="AW4" i="2"/>
  <c r="EA5" i="2"/>
  <c r="CU8" i="2"/>
  <c r="EE9" i="2"/>
  <c r="O11" i="2"/>
  <c r="X13" i="2"/>
  <c r="AH15" i="2"/>
  <c r="CQ17" i="2"/>
  <c r="L20" i="2"/>
  <c r="Y23" i="2"/>
  <c r="BM14" i="2"/>
  <c r="DH4" i="2"/>
  <c r="CR7" i="2"/>
  <c r="AQ9" i="2"/>
  <c r="AA11" i="2"/>
  <c r="Y13" i="2"/>
  <c r="BW15" i="2"/>
  <c r="DD17" i="2"/>
  <c r="M20" i="2"/>
  <c r="AB23" i="2"/>
  <c r="B5" i="2"/>
  <c r="CB6" i="2"/>
  <c r="AQ8" i="2"/>
  <c r="EI9" i="2"/>
  <c r="ED11" i="2"/>
  <c r="DW13" i="2"/>
  <c r="U16" i="2"/>
  <c r="CC18" i="2"/>
  <c r="CA24" i="2"/>
  <c r="BI4" i="2"/>
  <c r="C5" i="2"/>
  <c r="CC6" i="2"/>
  <c r="AR8" i="2"/>
  <c r="EJ9" i="2"/>
  <c r="EE11" i="2"/>
  <c r="C14" i="2"/>
  <c r="BI16" i="2"/>
  <c r="CP18" i="2"/>
  <c r="AI21" i="2"/>
  <c r="BH22" i="2"/>
  <c r="AZ23" i="2"/>
  <c r="N4" i="2"/>
  <c r="BX4" i="2"/>
  <c r="F5" i="2"/>
  <c r="CG5" i="2"/>
  <c r="AD6" i="2"/>
  <c r="CV6" i="2"/>
  <c r="AQ7" i="2"/>
  <c r="EC7" i="2"/>
  <c r="BH8" i="2"/>
  <c r="EG8" i="2"/>
  <c r="CB9" i="2"/>
  <c r="AL10" i="2"/>
  <c r="DH10" i="2"/>
  <c r="BR11" i="2"/>
  <c r="AG12" i="2"/>
  <c r="DM12" i="2"/>
  <c r="BN13" i="2"/>
  <c r="AC14" i="2"/>
  <c r="EG14" i="2"/>
  <c r="CP15" i="2"/>
  <c r="BM16" i="2"/>
  <c r="AW17" i="2"/>
  <c r="EB17" i="2"/>
  <c r="DJ18" i="2"/>
  <c r="CB19" i="2"/>
  <c r="BR20" i="2"/>
  <c r="BC21" i="2"/>
  <c r="CE22" i="2"/>
  <c r="DK23" i="2"/>
  <c r="DJ24" i="2"/>
  <c r="AU26" i="2"/>
  <c r="BJ6" i="2"/>
  <c r="EJ21" i="2"/>
  <c r="EF5" i="2"/>
  <c r="EK21" i="2"/>
  <c r="AH21" i="2"/>
  <c r="O4" i="2"/>
  <c r="CP4" i="2"/>
  <c r="P5" i="2"/>
  <c r="CT5" i="2"/>
  <c r="AE6" i="2"/>
  <c r="CX6" i="2"/>
  <c r="AR7" i="2"/>
  <c r="ED7" i="2"/>
  <c r="BY8" i="2"/>
  <c r="H9" i="2"/>
  <c r="CQ9" i="2"/>
  <c r="AM10" i="2"/>
  <c r="DI10" i="2"/>
  <c r="BS11" i="2"/>
  <c r="AL12" i="2"/>
  <c r="EH12" i="2"/>
  <c r="CA13" i="2"/>
  <c r="AT14" i="2"/>
  <c r="J15" i="2"/>
  <c r="CR15" i="2"/>
  <c r="BN16" i="2"/>
  <c r="AX17" i="2"/>
  <c r="AF18" i="2"/>
  <c r="DK18" i="2"/>
  <c r="CE19" i="2"/>
  <c r="CJ20" i="2"/>
  <c r="BD21" i="2"/>
  <c r="CF22" i="2"/>
  <c r="ED23" i="2"/>
  <c r="AL25" i="2"/>
  <c r="BF26" i="2"/>
  <c r="AB4" i="2"/>
  <c r="DZ5" i="2"/>
  <c r="ED6" i="2"/>
  <c r="H8" i="2"/>
  <c r="AN9" i="2"/>
  <c r="BB10" i="2"/>
  <c r="DF11" i="2"/>
  <c r="T13" i="2"/>
  <c r="CL14" i="2"/>
  <c r="AG15" i="2"/>
  <c r="DT16" i="2"/>
  <c r="AK18" i="2"/>
  <c r="U19" i="2"/>
  <c r="DO20" i="2"/>
  <c r="G24" i="2"/>
  <c r="DP20" i="2"/>
  <c r="CA6" i="2"/>
  <c r="AE21" i="2"/>
  <c r="EG5" i="2"/>
  <c r="P4" i="2"/>
  <c r="CQ4" i="2"/>
  <c r="Q5" i="2"/>
  <c r="CU5" i="2"/>
  <c r="AP6" i="2"/>
  <c r="EA6" i="2"/>
  <c r="AT7" i="2"/>
  <c r="EE7" i="2"/>
  <c r="BZ8" i="2"/>
  <c r="I9" i="2"/>
  <c r="CR9" i="2"/>
  <c r="AY10" i="2"/>
  <c r="I11" i="2"/>
  <c r="BT11" i="2"/>
  <c r="AM12" i="2"/>
  <c r="EI12" i="2"/>
  <c r="CB13" i="2"/>
  <c r="AU14" i="2"/>
  <c r="L15" i="2"/>
  <c r="DT15" i="2"/>
  <c r="CA16" i="2"/>
  <c r="AY17" i="2"/>
  <c r="AG18" i="2"/>
  <c r="DN18" i="2"/>
  <c r="CW19" i="2"/>
  <c r="CK20" i="2"/>
  <c r="CT21" i="2"/>
  <c r="CG22" i="2"/>
  <c r="EE23" i="2"/>
  <c r="BF25" i="2"/>
  <c r="BY4" i="2"/>
  <c r="R5" i="2"/>
  <c r="BN5" i="2"/>
  <c r="K6" i="2"/>
  <c r="CY6" i="2"/>
  <c r="H7" i="2"/>
  <c r="CV7" i="2"/>
  <c r="BJ8" i="2"/>
  <c r="CW8" i="2"/>
  <c r="BJ9" i="2"/>
  <c r="N10" i="2"/>
  <c r="BT10" i="2"/>
  <c r="AC11" i="2"/>
  <c r="EG11" i="2"/>
  <c r="BE12" i="2"/>
  <c r="Z13" i="2"/>
  <c r="CC13" i="2"/>
  <c r="AZ14" i="2"/>
  <c r="AJ15" i="2"/>
  <c r="CS15" i="2"/>
  <c r="CC16" i="2"/>
  <c r="F17" i="2"/>
  <c r="EC17" i="2"/>
  <c r="DP18" i="2"/>
  <c r="AL19" i="2"/>
  <c r="CZ19" i="2"/>
  <c r="DQ20" i="2"/>
  <c r="C22" i="2"/>
  <c r="CI22" i="2"/>
  <c r="Z24" i="2"/>
  <c r="BY26" i="2"/>
  <c r="AG4" i="2"/>
  <c r="CC4" i="2"/>
  <c r="DS4" i="2"/>
  <c r="S5" i="2"/>
  <c r="BO5" i="2"/>
  <c r="DI5" i="2"/>
  <c r="L6" i="2"/>
  <c r="BL6" i="2"/>
  <c r="DJ6" i="2"/>
  <c r="M7" i="2"/>
  <c r="BM7" i="2"/>
  <c r="DG7" i="2"/>
  <c r="J8" i="2"/>
  <c r="BK8" i="2"/>
  <c r="DH8" i="2"/>
  <c r="K9" i="2"/>
  <c r="BK9" i="2"/>
  <c r="DL9" i="2"/>
  <c r="R10" i="2"/>
  <c r="BX10" i="2"/>
  <c r="DV10" i="2"/>
  <c r="AD11" i="2"/>
  <c r="CO11" i="2"/>
  <c r="J12" i="2"/>
  <c r="BF12" i="2"/>
  <c r="DR12" i="2"/>
  <c r="AN13" i="2"/>
  <c r="CJ13" i="2"/>
  <c r="K14" i="2"/>
  <c r="DZ14" i="2"/>
  <c r="AK15" i="2"/>
  <c r="DJ15" i="2"/>
  <c r="W16" i="2"/>
  <c r="CW16" i="2"/>
  <c r="J17" i="2"/>
  <c r="CG17" i="2"/>
  <c r="ED17" i="2"/>
  <c r="BT18" i="2"/>
  <c r="DQ18" i="2"/>
  <c r="BF19" i="2"/>
  <c r="DA19" i="2"/>
  <c r="BF20" i="2"/>
  <c r="DR20" i="2"/>
  <c r="CE21" i="2"/>
  <c r="J22" i="2"/>
  <c r="DO22" i="2"/>
  <c r="CD23" i="2"/>
  <c r="AY24" i="2"/>
  <c r="EG24" i="2"/>
  <c r="DO25" i="2"/>
  <c r="BZ26" i="2"/>
  <c r="AT4" i="2"/>
  <c r="CD4" i="2"/>
  <c r="DT4" i="2"/>
  <c r="AF5" i="2"/>
  <c r="BP5" i="2"/>
  <c r="DJ5" i="2"/>
  <c r="Z6" i="2"/>
  <c r="BN6" i="2"/>
  <c r="DK6" i="2"/>
  <c r="AA7" i="2"/>
  <c r="BN7" i="2"/>
  <c r="DH7" i="2"/>
  <c r="X8" i="2"/>
  <c r="BL8" i="2"/>
  <c r="DI8" i="2"/>
  <c r="Y9" i="2"/>
  <c r="BL9" i="2"/>
  <c r="DM9" i="2"/>
  <c r="AI10" i="2"/>
  <c r="BY10" i="2"/>
  <c r="DW10" i="2"/>
  <c r="AT11" i="2"/>
  <c r="CP11" i="2"/>
  <c r="L12" i="2"/>
  <c r="BW12" i="2"/>
  <c r="DS12" i="2"/>
  <c r="AO13" i="2"/>
  <c r="CZ13" i="2"/>
  <c r="L14" i="2"/>
  <c r="BN14" i="2"/>
  <c r="EA14" i="2"/>
  <c r="AX15" i="2"/>
  <c r="DK15" i="2"/>
  <c r="AJ16" i="2"/>
  <c r="CX16" i="2"/>
  <c r="W17" i="2"/>
  <c r="CJ17" i="2"/>
  <c r="G18" i="2"/>
  <c r="BU18" i="2"/>
  <c r="ED18" i="2"/>
  <c r="BG19" i="2"/>
  <c r="DP19" i="2"/>
  <c r="BH20" i="2"/>
  <c r="EH20" i="2"/>
  <c r="CH21" i="2"/>
  <c r="Z22" i="2"/>
  <c r="EJ22" i="2"/>
  <c r="CE23" i="2"/>
  <c r="AZ24" i="2"/>
  <c r="EH24" i="2"/>
  <c r="DV25" i="2"/>
  <c r="AC4" i="2"/>
  <c r="DI4" i="2"/>
  <c r="CX5" i="2"/>
  <c r="BK6" i="2"/>
  <c r="BI7" i="2"/>
  <c r="I8" i="2"/>
  <c r="J9" i="2"/>
  <c r="CZ9" i="2"/>
  <c r="DJ10" i="2"/>
  <c r="CN11" i="2"/>
  <c r="DQ12" i="2"/>
  <c r="D14" i="2"/>
  <c r="DF14" i="2"/>
  <c r="V16" i="2"/>
  <c r="BP17" i="2"/>
  <c r="BB18" i="2"/>
  <c r="AK20" i="2"/>
  <c r="BE21" i="2"/>
  <c r="BK23" i="2"/>
  <c r="EF24" i="2"/>
  <c r="CR25" i="2"/>
  <c r="DC26" i="2"/>
  <c r="AD25" i="2"/>
  <c r="AA24" i="2"/>
  <c r="DB22" i="2"/>
  <c r="DM21" i="2"/>
  <c r="J21" i="2"/>
  <c r="AL20" i="2"/>
  <c r="CF19" i="2"/>
  <c r="EJ18" i="2"/>
  <c r="BC18" i="2"/>
  <c r="DG17" i="2"/>
  <c r="AC17" i="2"/>
  <c r="CF16" i="2"/>
  <c r="EJ15" i="2"/>
  <c r="BF15" i="2"/>
  <c r="DG14" i="2"/>
  <c r="V26" i="2"/>
  <c r="CH24" i="2"/>
  <c r="CJ23" i="2"/>
  <c r="AC23" i="2"/>
  <c r="AH22" i="2"/>
  <c r="BL21" i="2"/>
  <c r="CM20" i="2"/>
  <c r="EA19" i="2"/>
  <c r="AN19" i="2"/>
  <c r="CT18" i="2"/>
  <c r="P18" i="2"/>
  <c r="BQ17" i="2"/>
  <c r="DW16" i="2"/>
  <c r="AS16" i="2"/>
  <c r="CT15" i="2"/>
  <c r="P15" i="2"/>
  <c r="AU4" i="2"/>
  <c r="CE4" i="2"/>
  <c r="DU4" i="2"/>
  <c r="AG5" i="2"/>
  <c r="BQ5" i="2"/>
  <c r="DK5" i="2"/>
  <c r="AA6" i="2"/>
  <c r="BO6" i="2"/>
  <c r="DL6" i="2"/>
  <c r="AB7" i="2"/>
  <c r="BO7" i="2"/>
  <c r="DI7" i="2"/>
  <c r="Z8" i="2"/>
  <c r="BM8" i="2"/>
  <c r="DJ8" i="2"/>
  <c r="Z9" i="2"/>
  <c r="BN9" i="2"/>
  <c r="DN9" i="2"/>
  <c r="AJ10" i="2"/>
  <c r="BZ10" i="2"/>
  <c r="DZ10" i="2"/>
  <c r="AU11" i="2"/>
  <c r="CQ11" i="2"/>
  <c r="M12" i="2"/>
  <c r="BX12" i="2"/>
  <c r="DT12" i="2"/>
  <c r="AP13" i="2"/>
  <c r="DA13" i="2"/>
  <c r="M14" i="2"/>
  <c r="BP14" i="2"/>
  <c r="EE14" i="2"/>
  <c r="AY15" i="2"/>
  <c r="DR15" i="2"/>
  <c r="AK16" i="2"/>
  <c r="DB16" i="2"/>
  <c r="X17" i="2"/>
  <c r="CO17" i="2"/>
  <c r="H18" i="2"/>
  <c r="CA18" i="2"/>
  <c r="EE18" i="2"/>
  <c r="BL19" i="2"/>
  <c r="DQ19" i="2"/>
  <c r="BN20" i="2"/>
  <c r="EI20" i="2"/>
  <c r="CN21" i="2"/>
  <c r="AA22" i="2"/>
  <c r="EK22" i="2"/>
  <c r="CH23" i="2"/>
  <c r="BA24" i="2"/>
  <c r="EI24" i="2"/>
  <c r="DW25" i="2"/>
  <c r="CF26" i="2"/>
  <c r="DE26" i="2"/>
  <c r="AV4" i="2"/>
  <c r="CO4" i="2"/>
  <c r="DY4" i="2"/>
  <c r="AK5" i="2"/>
  <c r="CA5" i="2"/>
  <c r="DL5" i="2"/>
  <c r="AB6" i="2"/>
  <c r="BZ6" i="2"/>
  <c r="DM6" i="2"/>
  <c r="AC7" i="2"/>
  <c r="BZ7" i="2"/>
  <c r="DN7" i="2"/>
  <c r="AD8" i="2"/>
  <c r="BX8" i="2"/>
  <c r="DK8" i="2"/>
  <c r="AA9" i="2"/>
  <c r="BX9" i="2"/>
  <c r="DO9" i="2"/>
  <c r="AK10" i="2"/>
  <c r="CL10" i="2"/>
  <c r="ED10" i="2"/>
  <c r="BA11" i="2"/>
  <c r="DD11" i="2"/>
  <c r="P12" i="2"/>
  <c r="BY12" i="2"/>
  <c r="EG12" i="2"/>
  <c r="AQ13" i="2"/>
  <c r="DB13" i="2"/>
  <c r="Z14" i="2"/>
  <c r="BT14" i="2"/>
  <c r="EF14" i="2"/>
  <c r="BB15" i="2"/>
  <c r="DS15" i="2"/>
  <c r="AL16" i="2"/>
  <c r="DC16" i="2"/>
  <c r="Y17" i="2"/>
  <c r="CP17" i="2"/>
  <c r="I18" i="2"/>
  <c r="CB18" i="2"/>
  <c r="EF18" i="2"/>
  <c r="BM19" i="2"/>
  <c r="DV19" i="2"/>
  <c r="BO20" i="2"/>
  <c r="B21" i="2"/>
  <c r="CO21" i="2"/>
  <c r="AD22" i="2"/>
  <c r="B23" i="2"/>
  <c r="CI23" i="2"/>
  <c r="BD24" i="2"/>
  <c r="J25" i="2"/>
  <c r="EB25" i="2"/>
  <c r="DB26" i="2"/>
  <c r="BL4" i="2"/>
  <c r="CS4" i="2"/>
  <c r="T5" i="2"/>
  <c r="BA5" i="2"/>
  <c r="CH5" i="2"/>
  <c r="DM5" i="2"/>
  <c r="M6" i="2"/>
  <c r="AW6" i="2"/>
  <c r="CD6" i="2"/>
  <c r="DN6" i="2"/>
  <c r="N7" i="2"/>
  <c r="CE7" i="2"/>
  <c r="DO7" i="2"/>
  <c r="K8" i="2"/>
  <c r="AU8" i="2"/>
  <c r="CE8" i="2"/>
  <c r="DL8" i="2"/>
  <c r="L9" i="2"/>
  <c r="AV9" i="2"/>
  <c r="CC9" i="2"/>
  <c r="DP9" i="2"/>
  <c r="BC10" i="2"/>
  <c r="CR10" i="2"/>
  <c r="EE10" i="2"/>
  <c r="AE11" i="2"/>
  <c r="BU11" i="2"/>
  <c r="DN11" i="2"/>
  <c r="Q12" i="2"/>
  <c r="BH12" i="2"/>
  <c r="CX12" i="2"/>
  <c r="EK12" i="2"/>
  <c r="AT13" i="2"/>
  <c r="CK13" i="2"/>
  <c r="DX13" i="2"/>
  <c r="AD14" i="2"/>
  <c r="BU14" i="2"/>
  <c r="DH14" i="2"/>
  <c r="Q15" i="2"/>
  <c r="BH15" i="2"/>
  <c r="CU15" i="2"/>
  <c r="EK15" i="2"/>
  <c r="AT16" i="2"/>
  <c r="CG16" i="2"/>
  <c r="DX16" i="2"/>
  <c r="AD17" i="2"/>
  <c r="BR17" i="2"/>
  <c r="DJ17" i="2"/>
  <c r="Q18" i="2"/>
  <c r="BD18" i="2"/>
  <c r="CU18" i="2"/>
  <c r="EK18" i="2"/>
  <c r="AO19" i="2"/>
  <c r="CG19" i="2"/>
  <c r="EB19" i="2"/>
  <c r="AM20" i="2"/>
  <c r="CP20" i="2"/>
  <c r="K21" i="2"/>
  <c r="BM21" i="2"/>
  <c r="DR21" i="2"/>
  <c r="AI22" i="2"/>
  <c r="DC22" i="2"/>
  <c r="AD23" i="2"/>
  <c r="DC23" i="2"/>
  <c r="AB24" i="2"/>
  <c r="CI24" i="2"/>
  <c r="AE25" i="2"/>
  <c r="CS25" i="2"/>
  <c r="AP26" i="2"/>
  <c r="DD26" i="2"/>
  <c r="AH4" i="2"/>
  <c r="DZ4" i="2"/>
  <c r="AU7" i="2"/>
  <c r="CV18" i="2"/>
  <c r="E19" i="2"/>
  <c r="AR19" i="2"/>
  <c r="CH19" i="2"/>
  <c r="EC19" i="2"/>
  <c r="AN20" i="2"/>
  <c r="CQ20" i="2"/>
  <c r="N21" i="2"/>
  <c r="BN21" i="2"/>
  <c r="DS21" i="2"/>
  <c r="BD22" i="2"/>
  <c r="DJ22" i="2"/>
  <c r="AE23" i="2"/>
  <c r="DF23" i="2"/>
  <c r="AC24" i="2"/>
  <c r="DF24" i="2"/>
  <c r="AF25" i="2"/>
  <c r="CT25" i="2"/>
  <c r="AQ26" i="2"/>
  <c r="EK26" i="2"/>
  <c r="DY26" i="2"/>
  <c r="DM26" i="2"/>
  <c r="DA26" i="2"/>
  <c r="CO26" i="2"/>
  <c r="CC26" i="2"/>
  <c r="BQ26" i="2"/>
  <c r="BE26" i="2"/>
  <c r="AS26" i="2"/>
  <c r="AG26" i="2"/>
  <c r="U26" i="2"/>
  <c r="I26" i="2"/>
  <c r="EG25" i="2"/>
  <c r="DU25" i="2"/>
  <c r="DI25" i="2"/>
  <c r="CW25" i="2"/>
  <c r="CK25" i="2"/>
  <c r="BY25" i="2"/>
  <c r="BM25" i="2"/>
  <c r="BA25" i="2"/>
  <c r="AO25" i="2"/>
  <c r="AC25" i="2"/>
  <c r="Q25" i="2"/>
  <c r="E25" i="2"/>
  <c r="EC24" i="2"/>
  <c r="DQ24" i="2"/>
  <c r="DE24" i="2"/>
  <c r="CS24" i="2"/>
  <c r="CG24" i="2"/>
  <c r="BU24" i="2"/>
  <c r="BI24" i="2"/>
  <c r="AW24" i="2"/>
  <c r="AK24" i="2"/>
  <c r="Y24" i="2"/>
  <c r="M24" i="2"/>
  <c r="EK23" i="2"/>
  <c r="DY23" i="2"/>
  <c r="DM23" i="2"/>
  <c r="DA23" i="2"/>
  <c r="CO23" i="2"/>
  <c r="CC23" i="2"/>
  <c r="BQ23" i="2"/>
  <c r="BE23" i="2"/>
  <c r="AS23" i="2"/>
  <c r="AG23" i="2"/>
  <c r="U23" i="2"/>
  <c r="I23" i="2"/>
  <c r="EG22" i="2"/>
  <c r="DU22" i="2"/>
  <c r="DI22" i="2"/>
  <c r="CW22" i="2"/>
  <c r="CK22" i="2"/>
  <c r="BY22" i="2"/>
  <c r="BM22" i="2"/>
  <c r="BA22" i="2"/>
  <c r="AO22" i="2"/>
  <c r="AC22" i="2"/>
  <c r="Q22" i="2"/>
  <c r="E22" i="2"/>
  <c r="EC21" i="2"/>
  <c r="DQ21" i="2"/>
  <c r="DE21" i="2"/>
  <c r="CS21" i="2"/>
  <c r="CG21" i="2"/>
  <c r="BU21" i="2"/>
  <c r="BI21" i="2"/>
  <c r="AW21" i="2"/>
  <c r="AK21" i="2"/>
  <c r="Y21" i="2"/>
  <c r="M21" i="2"/>
  <c r="EK20" i="2"/>
  <c r="DY20" i="2"/>
  <c r="DM20" i="2"/>
  <c r="DA20" i="2"/>
  <c r="CO20" i="2"/>
  <c r="CC20" i="2"/>
  <c r="BQ20" i="2"/>
  <c r="BE20" i="2"/>
  <c r="AS20" i="2"/>
  <c r="AG20" i="2"/>
  <c r="U20" i="2"/>
  <c r="I20" i="2"/>
  <c r="EG19" i="2"/>
  <c r="DU19" i="2"/>
  <c r="DI19" i="2"/>
  <c r="EJ26" i="2"/>
  <c r="DX26" i="2"/>
  <c r="DL26" i="2"/>
  <c r="CZ26" i="2"/>
  <c r="CN26" i="2"/>
  <c r="CB26" i="2"/>
  <c r="BP26" i="2"/>
  <c r="BD26" i="2"/>
  <c r="AR26" i="2"/>
  <c r="AF26" i="2"/>
  <c r="T26" i="2"/>
  <c r="H26" i="2"/>
  <c r="EF25" i="2"/>
  <c r="DT25" i="2"/>
  <c r="DH25" i="2"/>
  <c r="CV25" i="2"/>
  <c r="CJ25" i="2"/>
  <c r="BX25" i="2"/>
  <c r="BL25" i="2"/>
  <c r="AZ25" i="2"/>
  <c r="AN25" i="2"/>
  <c r="AB25" i="2"/>
  <c r="P25" i="2"/>
  <c r="D25" i="2"/>
  <c r="EB24" i="2"/>
  <c r="DP24" i="2"/>
  <c r="DD24" i="2"/>
  <c r="CR24" i="2"/>
  <c r="CF24" i="2"/>
  <c r="BT24" i="2"/>
  <c r="BH24" i="2"/>
  <c r="AV24" i="2"/>
  <c r="AJ24" i="2"/>
  <c r="X24" i="2"/>
  <c r="L24" i="2"/>
  <c r="EJ23" i="2"/>
  <c r="DX23" i="2"/>
  <c r="DL23" i="2"/>
  <c r="CZ23" i="2"/>
  <c r="CN23" i="2"/>
  <c r="CB23" i="2"/>
  <c r="BP23" i="2"/>
  <c r="BD23" i="2"/>
  <c r="AR23" i="2"/>
  <c r="AF23" i="2"/>
  <c r="T23" i="2"/>
  <c r="H23" i="2"/>
  <c r="EF22" i="2"/>
  <c r="DT22" i="2"/>
  <c r="DH22" i="2"/>
  <c r="CV22" i="2"/>
  <c r="CJ22" i="2"/>
  <c r="BX22" i="2"/>
  <c r="BL22" i="2"/>
  <c r="AZ22" i="2"/>
  <c r="AN22" i="2"/>
  <c r="AB22" i="2"/>
  <c r="P22" i="2"/>
  <c r="D22" i="2"/>
  <c r="EB21" i="2"/>
  <c r="DP21" i="2"/>
  <c r="DD21" i="2"/>
  <c r="CR21" i="2"/>
  <c r="CF21" i="2"/>
  <c r="BT21" i="2"/>
  <c r="BH21" i="2"/>
  <c r="AV21" i="2"/>
  <c r="AJ21" i="2"/>
  <c r="X21" i="2"/>
  <c r="L21" i="2"/>
  <c r="EJ20" i="2"/>
  <c r="DX20" i="2"/>
  <c r="DL20" i="2"/>
  <c r="CZ20" i="2"/>
  <c r="CN20" i="2"/>
  <c r="CB20" i="2"/>
  <c r="BP20" i="2"/>
  <c r="BD20" i="2"/>
  <c r="AR20" i="2"/>
  <c r="AF20" i="2"/>
  <c r="T20" i="2"/>
  <c r="H20" i="2"/>
  <c r="EF19" i="2"/>
  <c r="DT19" i="2"/>
  <c r="DH19" i="2"/>
  <c r="EI26" i="2"/>
  <c r="DU26" i="2"/>
  <c r="DG26" i="2"/>
  <c r="CS26" i="2"/>
  <c r="CE26" i="2"/>
  <c r="BO26" i="2"/>
  <c r="BA26" i="2"/>
  <c r="AM26" i="2"/>
  <c r="Y26" i="2"/>
  <c r="K26" i="2"/>
  <c r="EE25" i="2"/>
  <c r="DQ25" i="2"/>
  <c r="DC25" i="2"/>
  <c r="CO25" i="2"/>
  <c r="CA25" i="2"/>
  <c r="BK25" i="2"/>
  <c r="AW25" i="2"/>
  <c r="AI25" i="2"/>
  <c r="U25" i="2"/>
  <c r="G25" i="2"/>
  <c r="EA24" i="2"/>
  <c r="DM24" i="2"/>
  <c r="CY24" i="2"/>
  <c r="CK24" i="2"/>
  <c r="BW24" i="2"/>
  <c r="BG24" i="2"/>
  <c r="AS24" i="2"/>
  <c r="AE24" i="2"/>
  <c r="Q24" i="2"/>
  <c r="C24" i="2"/>
  <c r="DW23" i="2"/>
  <c r="DI23" i="2"/>
  <c r="CU23" i="2"/>
  <c r="CG23" i="2"/>
  <c r="BS23" i="2"/>
  <c r="BC23" i="2"/>
  <c r="AO23" i="2"/>
  <c r="AA23" i="2"/>
  <c r="M23" i="2"/>
  <c r="EI22" i="2"/>
  <c r="DS22" i="2"/>
  <c r="DE22" i="2"/>
  <c r="CQ22" i="2"/>
  <c r="CC22" i="2"/>
  <c r="BO22" i="2"/>
  <c r="AY22" i="2"/>
  <c r="AK22" i="2"/>
  <c r="W22" i="2"/>
  <c r="I22" i="2"/>
  <c r="EE21" i="2"/>
  <c r="DO21" i="2"/>
  <c r="DA21" i="2"/>
  <c r="CM21" i="2"/>
  <c r="BY21" i="2"/>
  <c r="BK21" i="2"/>
  <c r="AU21" i="2"/>
  <c r="AG21" i="2"/>
  <c r="S21" i="2"/>
  <c r="E21" i="2"/>
  <c r="EA20" i="2"/>
  <c r="DK20" i="2"/>
  <c r="CW20" i="2"/>
  <c r="CI20" i="2"/>
  <c r="BU20" i="2"/>
  <c r="BG20" i="2"/>
  <c r="AQ20" i="2"/>
  <c r="AC20" i="2"/>
  <c r="O20" i="2"/>
  <c r="EK19" i="2"/>
  <c r="DW19" i="2"/>
  <c r="DG19" i="2"/>
  <c r="CU19" i="2"/>
  <c r="CI19" i="2"/>
  <c r="BW19" i="2"/>
  <c r="BK19" i="2"/>
  <c r="AY19" i="2"/>
  <c r="AM19" i="2"/>
  <c r="AA19" i="2"/>
  <c r="O19" i="2"/>
  <c r="C19" i="2"/>
  <c r="EA18" i="2"/>
  <c r="DO18" i="2"/>
  <c r="DC18" i="2"/>
  <c r="CQ18" i="2"/>
  <c r="CE18" i="2"/>
  <c r="BS18" i="2"/>
  <c r="BG18" i="2"/>
  <c r="AU18" i="2"/>
  <c r="AI18" i="2"/>
  <c r="W18" i="2"/>
  <c r="K18" i="2"/>
  <c r="EI17" i="2"/>
  <c r="DW17" i="2"/>
  <c r="DK17" i="2"/>
  <c r="CY17" i="2"/>
  <c r="CM17" i="2"/>
  <c r="CA17" i="2"/>
  <c r="BO17" i="2"/>
  <c r="BC17" i="2"/>
  <c r="AQ17" i="2"/>
  <c r="AE17" i="2"/>
  <c r="S17" i="2"/>
  <c r="G17" i="2"/>
  <c r="EE16" i="2"/>
  <c r="DS16" i="2"/>
  <c r="DG16" i="2"/>
  <c r="CU16" i="2"/>
  <c r="CI16" i="2"/>
  <c r="BW16" i="2"/>
  <c r="BK16" i="2"/>
  <c r="AY16" i="2"/>
  <c r="AM16" i="2"/>
  <c r="AA16" i="2"/>
  <c r="O16" i="2"/>
  <c r="C16" i="2"/>
  <c r="EA15" i="2"/>
  <c r="DO15" i="2"/>
  <c r="DC15" i="2"/>
  <c r="CQ15" i="2"/>
  <c r="CE15" i="2"/>
  <c r="BS15" i="2"/>
  <c r="BG15" i="2"/>
  <c r="AU15" i="2"/>
  <c r="AI15" i="2"/>
  <c r="W15" i="2"/>
  <c r="K15" i="2"/>
  <c r="EI14" i="2"/>
  <c r="DW14" i="2"/>
  <c r="DK14" i="2"/>
  <c r="CY14" i="2"/>
  <c r="CM14" i="2"/>
  <c r="CA14" i="2"/>
  <c r="BO14" i="2"/>
  <c r="BC14" i="2"/>
  <c r="AQ14" i="2"/>
  <c r="AE14" i="2"/>
  <c r="S14" i="2"/>
  <c r="G14" i="2"/>
  <c r="EE13" i="2"/>
  <c r="DS13" i="2"/>
  <c r="DG13" i="2"/>
  <c r="CU13" i="2"/>
  <c r="CI13" i="2"/>
  <c r="BW13" i="2"/>
  <c r="BK13" i="2"/>
  <c r="AY13" i="2"/>
  <c r="AM13" i="2"/>
  <c r="AA13" i="2"/>
  <c r="O13" i="2"/>
  <c r="C13" i="2"/>
  <c r="EA12" i="2"/>
  <c r="DO12" i="2"/>
  <c r="DC12" i="2"/>
  <c r="CQ12" i="2"/>
  <c r="CE12" i="2"/>
  <c r="BS12" i="2"/>
  <c r="BG12" i="2"/>
  <c r="AU12" i="2"/>
  <c r="AI12" i="2"/>
  <c r="W12" i="2"/>
  <c r="K12" i="2"/>
  <c r="EI11" i="2"/>
  <c r="DW11" i="2"/>
  <c r="DK11" i="2"/>
  <c r="CY11" i="2"/>
  <c r="CM11" i="2"/>
  <c r="CA11" i="2"/>
  <c r="BO11" i="2"/>
  <c r="BC11" i="2"/>
  <c r="AQ11" i="2"/>
  <c r="EH26" i="2"/>
  <c r="DT26" i="2"/>
  <c r="DF26" i="2"/>
  <c r="CR26" i="2"/>
  <c r="CD26" i="2"/>
  <c r="BN26" i="2"/>
  <c r="AZ26" i="2"/>
  <c r="AL26" i="2"/>
  <c r="X26" i="2"/>
  <c r="J26" i="2"/>
  <c r="ED25" i="2"/>
  <c r="DP25" i="2"/>
  <c r="DB25" i="2"/>
  <c r="CN25" i="2"/>
  <c r="BZ25" i="2"/>
  <c r="BJ25" i="2"/>
  <c r="AV25" i="2"/>
  <c r="AH25" i="2"/>
  <c r="T25" i="2"/>
  <c r="F25" i="2"/>
  <c r="DZ24" i="2"/>
  <c r="DL24" i="2"/>
  <c r="CX24" i="2"/>
  <c r="CJ24" i="2"/>
  <c r="BV24" i="2"/>
  <c r="BF24" i="2"/>
  <c r="AR24" i="2"/>
  <c r="AD24" i="2"/>
  <c r="P24" i="2"/>
  <c r="B24" i="2"/>
  <c r="DV23" i="2"/>
  <c r="DH23" i="2"/>
  <c r="CT23" i="2"/>
  <c r="CF23" i="2"/>
  <c r="BR23" i="2"/>
  <c r="BB23" i="2"/>
  <c r="AN23" i="2"/>
  <c r="Z23" i="2"/>
  <c r="L23" i="2"/>
  <c r="EH22" i="2"/>
  <c r="DR22" i="2"/>
  <c r="DD22" i="2"/>
  <c r="CP22" i="2"/>
  <c r="CB22" i="2"/>
  <c r="BN22" i="2"/>
  <c r="AX22" i="2"/>
  <c r="AJ22" i="2"/>
  <c r="V22" i="2"/>
  <c r="H22" i="2"/>
  <c r="ED21" i="2"/>
  <c r="DN21" i="2"/>
  <c r="CZ21" i="2"/>
  <c r="CL21" i="2"/>
  <c r="BX21" i="2"/>
  <c r="BJ21" i="2"/>
  <c r="AT21" i="2"/>
  <c r="AF21" i="2"/>
  <c r="R21" i="2"/>
  <c r="D21" i="2"/>
  <c r="DZ20" i="2"/>
  <c r="DJ20" i="2"/>
  <c r="CV20" i="2"/>
  <c r="CH20" i="2"/>
  <c r="BT20" i="2"/>
  <c r="EG26" i="2"/>
  <c r="DQ26" i="2"/>
  <c r="CY26" i="2"/>
  <c r="CI26" i="2"/>
  <c r="BS26" i="2"/>
  <c r="AY26" i="2"/>
  <c r="AI26" i="2"/>
  <c r="Q26" i="2"/>
  <c r="EK25" i="2"/>
  <c r="DS25" i="2"/>
  <c r="DA25" i="2"/>
  <c r="CI25" i="2"/>
  <c r="BS25" i="2"/>
  <c r="BC25" i="2"/>
  <c r="AK25" i="2"/>
  <c r="S25" i="2"/>
  <c r="EK24" i="2"/>
  <c r="DU24" i="2"/>
  <c r="DC24" i="2"/>
  <c r="CM24" i="2"/>
  <c r="BS24" i="2"/>
  <c r="BC24" i="2"/>
  <c r="AM24" i="2"/>
  <c r="U24" i="2"/>
  <c r="E24" i="2"/>
  <c r="DU23" i="2"/>
  <c r="DE23" i="2"/>
  <c r="CM23" i="2"/>
  <c r="BW23" i="2"/>
  <c r="BG23" i="2"/>
  <c r="AM23" i="2"/>
  <c r="W23" i="2"/>
  <c r="E23" i="2"/>
  <c r="DY22" i="2"/>
  <c r="DG22" i="2"/>
  <c r="CO22" i="2"/>
  <c r="BW22" i="2"/>
  <c r="BG22" i="2"/>
  <c r="AQ22" i="2"/>
  <c r="Y22" i="2"/>
  <c r="G22" i="2"/>
  <c r="DY21" i="2"/>
  <c r="DI21" i="2"/>
  <c r="CQ21" i="2"/>
  <c r="CA21" i="2"/>
  <c r="BG21" i="2"/>
  <c r="AQ21" i="2"/>
  <c r="AA21" i="2"/>
  <c r="I21" i="2"/>
  <c r="EC20" i="2"/>
  <c r="DI20" i="2"/>
  <c r="CS20" i="2"/>
  <c r="CA20" i="2"/>
  <c r="BK20" i="2"/>
  <c r="AV20" i="2"/>
  <c r="AE20" i="2"/>
  <c r="P20" i="2"/>
  <c r="EJ19" i="2"/>
  <c r="DS19" i="2"/>
  <c r="DD19" i="2"/>
  <c r="CQ19" i="2"/>
  <c r="CD19" i="2"/>
  <c r="BQ19" i="2"/>
  <c r="BD19" i="2"/>
  <c r="AQ19" i="2"/>
  <c r="AD19" i="2"/>
  <c r="Q19" i="2"/>
  <c r="D19" i="2"/>
  <c r="DZ18" i="2"/>
  <c r="DM18" i="2"/>
  <c r="CZ18" i="2"/>
  <c r="CM18" i="2"/>
  <c r="BZ18" i="2"/>
  <c r="BM18" i="2"/>
  <c r="AZ18" i="2"/>
  <c r="AM18" i="2"/>
  <c r="Z18" i="2"/>
  <c r="M18" i="2"/>
  <c r="EJ17" i="2"/>
  <c r="DV17" i="2"/>
  <c r="DI17" i="2"/>
  <c r="CV17" i="2"/>
  <c r="CI17" i="2"/>
  <c r="BV17" i="2"/>
  <c r="BI17" i="2"/>
  <c r="AV17" i="2"/>
  <c r="AI17" i="2"/>
  <c r="V17" i="2"/>
  <c r="I17" i="2"/>
  <c r="EF16" i="2"/>
  <c r="DR16" i="2"/>
  <c r="DE16" i="2"/>
  <c r="CR16" i="2"/>
  <c r="CE16" i="2"/>
  <c r="BR16" i="2"/>
  <c r="BE16" i="2"/>
  <c r="AR16" i="2"/>
  <c r="AE16" i="2"/>
  <c r="R16" i="2"/>
  <c r="E16" i="2"/>
  <c r="EB15" i="2"/>
  <c r="DN15" i="2"/>
  <c r="DA15" i="2"/>
  <c r="CN15" i="2"/>
  <c r="CA15" i="2"/>
  <c r="BN15" i="2"/>
  <c r="BA15" i="2"/>
  <c r="AN15" i="2"/>
  <c r="AA15" i="2"/>
  <c r="N15" i="2"/>
  <c r="EK14" i="2"/>
  <c r="DX14" i="2"/>
  <c r="DJ14" i="2"/>
  <c r="CW14" i="2"/>
  <c r="CJ14" i="2"/>
  <c r="BW14" i="2"/>
  <c r="BJ14" i="2"/>
  <c r="AW14" i="2"/>
  <c r="AJ14" i="2"/>
  <c r="W14" i="2"/>
  <c r="J14" i="2"/>
  <c r="EG13" i="2"/>
  <c r="DT13" i="2"/>
  <c r="DF13" i="2"/>
  <c r="CS13" i="2"/>
  <c r="CF13" i="2"/>
  <c r="BS13" i="2"/>
  <c r="BF13" i="2"/>
  <c r="AS13" i="2"/>
  <c r="AF13" i="2"/>
  <c r="S13" i="2"/>
  <c r="F13" i="2"/>
  <c r="EC12" i="2"/>
  <c r="DP12" i="2"/>
  <c r="DB12" i="2"/>
  <c r="CO12" i="2"/>
  <c r="CB12" i="2"/>
  <c r="BO12" i="2"/>
  <c r="BB12" i="2"/>
  <c r="AO12" i="2"/>
  <c r="AB12" i="2"/>
  <c r="O12" i="2"/>
  <c r="B12" i="2"/>
  <c r="DY11" i="2"/>
  <c r="DL11" i="2"/>
  <c r="CX11" i="2"/>
  <c r="CK11" i="2"/>
  <c r="BX11" i="2"/>
  <c r="BK11" i="2"/>
  <c r="AX11" i="2"/>
  <c r="AK11" i="2"/>
  <c r="Y11" i="2"/>
  <c r="M11" i="2"/>
  <c r="EK10" i="2"/>
  <c r="DY10" i="2"/>
  <c r="DM10" i="2"/>
  <c r="DA10" i="2"/>
  <c r="CO10" i="2"/>
  <c r="CC10" i="2"/>
  <c r="BQ10" i="2"/>
  <c r="BE10" i="2"/>
  <c r="AS10" i="2"/>
  <c r="AG10" i="2"/>
  <c r="U10" i="2"/>
  <c r="I10" i="2"/>
  <c r="EG9" i="2"/>
  <c r="DU9" i="2"/>
  <c r="DI9" i="2"/>
  <c r="CW9" i="2"/>
  <c r="CK9" i="2"/>
  <c r="BY9" i="2"/>
  <c r="BM9" i="2"/>
  <c r="BA9" i="2"/>
  <c r="AO9" i="2"/>
  <c r="AC9" i="2"/>
  <c r="Q9" i="2"/>
  <c r="E9" i="2"/>
  <c r="EC8" i="2"/>
  <c r="DQ8" i="2"/>
  <c r="DE8" i="2"/>
  <c r="CS8" i="2"/>
  <c r="CG8" i="2"/>
  <c r="BU8" i="2"/>
  <c r="BI8" i="2"/>
  <c r="AW8" i="2"/>
  <c r="AK8" i="2"/>
  <c r="Y8" i="2"/>
  <c r="M8" i="2"/>
  <c r="EK7" i="2"/>
  <c r="DY7" i="2"/>
  <c r="DM7" i="2"/>
  <c r="DA7" i="2"/>
  <c r="CO7" i="2"/>
  <c r="CC7" i="2"/>
  <c r="BQ7" i="2"/>
  <c r="BE7" i="2"/>
  <c r="AS7" i="2"/>
  <c r="AG7" i="2"/>
  <c r="U7" i="2"/>
  <c r="I7" i="2"/>
  <c r="EG6" i="2"/>
  <c r="DU6" i="2"/>
  <c r="DI6" i="2"/>
  <c r="CW6" i="2"/>
  <c r="CK6" i="2"/>
  <c r="BY6" i="2"/>
  <c r="BM6" i="2"/>
  <c r="BA6" i="2"/>
  <c r="AO6" i="2"/>
  <c r="AC6" i="2"/>
  <c r="Q6" i="2"/>
  <c r="E6" i="2"/>
  <c r="EC5" i="2"/>
  <c r="DQ5" i="2"/>
  <c r="DE5" i="2"/>
  <c r="EF26" i="2"/>
  <c r="DP26" i="2"/>
  <c r="CX26" i="2"/>
  <c r="CH26" i="2"/>
  <c r="BR26" i="2"/>
  <c r="AX26" i="2"/>
  <c r="AH26" i="2"/>
  <c r="P26" i="2"/>
  <c r="EJ25" i="2"/>
  <c r="DR25" i="2"/>
  <c r="CZ25" i="2"/>
  <c r="CH25" i="2"/>
  <c r="BR25" i="2"/>
  <c r="BB25" i="2"/>
  <c r="AJ25" i="2"/>
  <c r="R25" i="2"/>
  <c r="EJ24" i="2"/>
  <c r="DT24" i="2"/>
  <c r="DB24" i="2"/>
  <c r="CL24" i="2"/>
  <c r="BR24" i="2"/>
  <c r="BB24" i="2"/>
  <c r="AL24" i="2"/>
  <c r="T24" i="2"/>
  <c r="D24" i="2"/>
  <c r="DT23" i="2"/>
  <c r="DD23" i="2"/>
  <c r="CL23" i="2"/>
  <c r="BV23" i="2"/>
  <c r="BF23" i="2"/>
  <c r="AL23" i="2"/>
  <c r="V23" i="2"/>
  <c r="D23" i="2"/>
  <c r="DX22" i="2"/>
  <c r="DF22" i="2"/>
  <c r="CN22" i="2"/>
  <c r="BV22" i="2"/>
  <c r="BF22" i="2"/>
  <c r="AP22" i="2"/>
  <c r="X22" i="2"/>
  <c r="F22" i="2"/>
  <c r="DX21" i="2"/>
  <c r="DH21" i="2"/>
  <c r="CP21" i="2"/>
  <c r="BZ21" i="2"/>
  <c r="BF21" i="2"/>
  <c r="AP21" i="2"/>
  <c r="Z21" i="2"/>
  <c r="H21" i="2"/>
  <c r="EB20" i="2"/>
  <c r="DH20" i="2"/>
  <c r="CR20" i="2"/>
  <c r="BZ20" i="2"/>
  <c r="BJ20" i="2"/>
  <c r="AU20" i="2"/>
  <c r="AD20" i="2"/>
  <c r="N20" i="2"/>
  <c r="EI19" i="2"/>
  <c r="DR19" i="2"/>
  <c r="DC19" i="2"/>
  <c r="CP19" i="2"/>
  <c r="CC19" i="2"/>
  <c r="BP19" i="2"/>
  <c r="BC19" i="2"/>
  <c r="AP19" i="2"/>
  <c r="AC19" i="2"/>
  <c r="P19" i="2"/>
  <c r="B19" i="2"/>
  <c r="DY18" i="2"/>
  <c r="DL18" i="2"/>
  <c r="CY18" i="2"/>
  <c r="CL18" i="2"/>
  <c r="BY18" i="2"/>
  <c r="BL18" i="2"/>
  <c r="AY18" i="2"/>
  <c r="AL18" i="2"/>
  <c r="Y18" i="2"/>
  <c r="L18" i="2"/>
  <c r="EH17" i="2"/>
  <c r="DU17" i="2"/>
  <c r="DH17" i="2"/>
  <c r="CU17" i="2"/>
  <c r="CH17" i="2"/>
  <c r="BU17" i="2"/>
  <c r="BH17" i="2"/>
  <c r="AU17" i="2"/>
  <c r="AH17" i="2"/>
  <c r="U17" i="2"/>
  <c r="H17" i="2"/>
  <c r="ED16" i="2"/>
  <c r="DQ16" i="2"/>
  <c r="DD16" i="2"/>
  <c r="CQ16" i="2"/>
  <c r="CD16" i="2"/>
  <c r="BQ16" i="2"/>
  <c r="BD16" i="2"/>
  <c r="AQ16" i="2"/>
  <c r="AD16" i="2"/>
  <c r="Q16" i="2"/>
  <c r="D16" i="2"/>
  <c r="DZ15" i="2"/>
  <c r="DM15" i="2"/>
  <c r="CZ15" i="2"/>
  <c r="CM15" i="2"/>
  <c r="BZ15" i="2"/>
  <c r="BM15" i="2"/>
  <c r="AZ15" i="2"/>
  <c r="AM15" i="2"/>
  <c r="Z15" i="2"/>
  <c r="M15" i="2"/>
  <c r="EJ14" i="2"/>
  <c r="DV14" i="2"/>
  <c r="DI14" i="2"/>
  <c r="CV14" i="2"/>
  <c r="CI14" i="2"/>
  <c r="BV14" i="2"/>
  <c r="BI14" i="2"/>
  <c r="AV14" i="2"/>
  <c r="AI14" i="2"/>
  <c r="V14" i="2"/>
  <c r="I14" i="2"/>
  <c r="EF13" i="2"/>
  <c r="DR13" i="2"/>
  <c r="DE13" i="2"/>
  <c r="CR13" i="2"/>
  <c r="CE13" i="2"/>
  <c r="BR13" i="2"/>
  <c r="BE13" i="2"/>
  <c r="AR13" i="2"/>
  <c r="AE13" i="2"/>
  <c r="R13" i="2"/>
  <c r="E13" i="2"/>
  <c r="EB12" i="2"/>
  <c r="DN12" i="2"/>
  <c r="DA12" i="2"/>
  <c r="CN12" i="2"/>
  <c r="CA12" i="2"/>
  <c r="BN12" i="2"/>
  <c r="BA12" i="2"/>
  <c r="AN12" i="2"/>
  <c r="AA12" i="2"/>
  <c r="N12" i="2"/>
  <c r="EK11" i="2"/>
  <c r="DX11" i="2"/>
  <c r="DJ11" i="2"/>
  <c r="CW11" i="2"/>
  <c r="CJ11" i="2"/>
  <c r="BW11" i="2"/>
  <c r="BJ11" i="2"/>
  <c r="AW11" i="2"/>
  <c r="AJ11" i="2"/>
  <c r="X11" i="2"/>
  <c r="L11" i="2"/>
  <c r="EJ10" i="2"/>
  <c r="DX10" i="2"/>
  <c r="DL10" i="2"/>
  <c r="CZ10" i="2"/>
  <c r="CN10" i="2"/>
  <c r="CB10" i="2"/>
  <c r="BP10" i="2"/>
  <c r="BD10" i="2"/>
  <c r="AR10" i="2"/>
  <c r="AF10" i="2"/>
  <c r="T10" i="2"/>
  <c r="H10" i="2"/>
  <c r="EF9" i="2"/>
  <c r="DT9" i="2"/>
  <c r="DH9" i="2"/>
  <c r="CV9" i="2"/>
  <c r="CJ9" i="2"/>
  <c r="EE26" i="2"/>
  <c r="DK26" i="2"/>
  <c r="CQ26" i="2"/>
  <c r="BW26" i="2"/>
  <c r="BC26" i="2"/>
  <c r="AE26" i="2"/>
  <c r="M26" i="2"/>
  <c r="EA25" i="2"/>
  <c r="DG25" i="2"/>
  <c r="CM25" i="2"/>
  <c r="BQ25" i="2"/>
  <c r="AU25" i="2"/>
  <c r="AA25" i="2"/>
  <c r="I25" i="2"/>
  <c r="DW24" i="2"/>
  <c r="DA24" i="2"/>
  <c r="CE24" i="2"/>
  <c r="BM24" i="2"/>
  <c r="AQ24" i="2"/>
  <c r="W24" i="2"/>
  <c r="EI23" i="2"/>
  <c r="DQ23" i="2"/>
  <c r="CW23" i="2"/>
  <c r="CA23" i="2"/>
  <c r="BI23" i="2"/>
  <c r="AK23" i="2"/>
  <c r="Q23" i="2"/>
  <c r="EE22" i="2"/>
  <c r="DM22" i="2"/>
  <c r="CS22" i="2"/>
  <c r="BU22" i="2"/>
  <c r="BC22" i="2"/>
  <c r="AG22" i="2"/>
  <c r="M22" i="2"/>
  <c r="EA21" i="2"/>
  <c r="DG21" i="2"/>
  <c r="CK21" i="2"/>
  <c r="BQ21" i="2"/>
  <c r="AY21" i="2"/>
  <c r="AC21" i="2"/>
  <c r="G21" i="2"/>
  <c r="DU20" i="2"/>
  <c r="DC20" i="2"/>
  <c r="CG20" i="2"/>
  <c r="BM20" i="2"/>
  <c r="AT20" i="2"/>
  <c r="Z20" i="2"/>
  <c r="G20" i="2"/>
  <c r="DZ19" i="2"/>
  <c r="DF19" i="2"/>
  <c r="CO19" i="2"/>
  <c r="BZ19" i="2"/>
  <c r="BJ19" i="2"/>
  <c r="AU19" i="2"/>
  <c r="AF19" i="2"/>
  <c r="N19" i="2"/>
  <c r="EI18" i="2"/>
  <c r="DT18" i="2"/>
  <c r="DE18" i="2"/>
  <c r="CO18" i="2"/>
  <c r="BX18" i="2"/>
  <c r="BI18" i="2"/>
  <c r="AS18" i="2"/>
  <c r="AD18" i="2"/>
  <c r="O18" i="2"/>
  <c r="EG17" i="2"/>
  <c r="DR17" i="2"/>
  <c r="DC17" i="2"/>
  <c r="CN17" i="2"/>
  <c r="BX17" i="2"/>
  <c r="BG17" i="2"/>
  <c r="AR17" i="2"/>
  <c r="AB17" i="2"/>
  <c r="M17" i="2"/>
  <c r="EH16" i="2"/>
  <c r="DP16" i="2"/>
  <c r="DA16" i="2"/>
  <c r="CL16" i="2"/>
  <c r="BV16" i="2"/>
  <c r="BG16" i="2"/>
  <c r="AP16" i="2"/>
  <c r="Z16" i="2"/>
  <c r="K16" i="2"/>
  <c r="EF15" i="2"/>
  <c r="DQ15" i="2"/>
  <c r="CY15" i="2"/>
  <c r="CJ15" i="2"/>
  <c r="BU15" i="2"/>
  <c r="BE15" i="2"/>
  <c r="AP15" i="2"/>
  <c r="Y15" i="2"/>
  <c r="I15" i="2"/>
  <c r="ED14" i="2"/>
  <c r="DO14" i="2"/>
  <c r="CZ14" i="2"/>
  <c r="CH14" i="2"/>
  <c r="BS14" i="2"/>
  <c r="BD14" i="2"/>
  <c r="AN14" i="2"/>
  <c r="Y14" i="2"/>
  <c r="H14" i="2"/>
  <c r="EB13" i="2"/>
  <c r="DM13" i="2"/>
  <c r="CX13" i="2"/>
  <c r="CH13" i="2"/>
  <c r="BQ13" i="2"/>
  <c r="BB13" i="2"/>
  <c r="AL13" i="2"/>
  <c r="W13" i="2"/>
  <c r="H13" i="2"/>
  <c r="DZ12" i="2"/>
  <c r="DK12" i="2"/>
  <c r="CV12" i="2"/>
  <c r="CG12" i="2"/>
  <c r="BQ12" i="2"/>
  <c r="AZ12" i="2"/>
  <c r="AK12" i="2"/>
  <c r="U12" i="2"/>
  <c r="F12" i="2"/>
  <c r="EA11" i="2"/>
  <c r="DI11" i="2"/>
  <c r="CT11" i="2"/>
  <c r="CE11" i="2"/>
  <c r="BP11" i="2"/>
  <c r="AZ11" i="2"/>
  <c r="AI11" i="2"/>
  <c r="U11" i="2"/>
  <c r="G11" i="2"/>
  <c r="EC10" i="2"/>
  <c r="DO10" i="2"/>
  <c r="CY10" i="2"/>
  <c r="CK10" i="2"/>
  <c r="BW10" i="2"/>
  <c r="BI10" i="2"/>
  <c r="AU10" i="2"/>
  <c r="AE10" i="2"/>
  <c r="Q10" i="2"/>
  <c r="C10" i="2"/>
  <c r="DY9" i="2"/>
  <c r="DK9" i="2"/>
  <c r="CU9" i="2"/>
  <c r="CG9" i="2"/>
  <c r="BT9" i="2"/>
  <c r="BG9" i="2"/>
  <c r="AT9" i="2"/>
  <c r="AG9" i="2"/>
  <c r="T9" i="2"/>
  <c r="G9" i="2"/>
  <c r="ED8" i="2"/>
  <c r="DP8" i="2"/>
  <c r="DC8" i="2"/>
  <c r="CP8" i="2"/>
  <c r="CC8" i="2"/>
  <c r="BP8" i="2"/>
  <c r="BC8" i="2"/>
  <c r="AP8" i="2"/>
  <c r="AC8" i="2"/>
  <c r="P8" i="2"/>
  <c r="C8" i="2"/>
  <c r="DZ7" i="2"/>
  <c r="DL7" i="2"/>
  <c r="CY7" i="2"/>
  <c r="CL7" i="2"/>
  <c r="BY7" i="2"/>
  <c r="BL7" i="2"/>
  <c r="AY7" i="2"/>
  <c r="AL7" i="2"/>
  <c r="Y7" i="2"/>
  <c r="L7" i="2"/>
  <c r="EI6" i="2"/>
  <c r="DV6" i="2"/>
  <c r="DH6" i="2"/>
  <c r="CU6" i="2"/>
  <c r="CH6" i="2"/>
  <c r="BU6" i="2"/>
  <c r="BH6" i="2"/>
  <c r="AU6" i="2"/>
  <c r="AH6" i="2"/>
  <c r="U6" i="2"/>
  <c r="H6" i="2"/>
  <c r="EE5" i="2"/>
  <c r="DR5" i="2"/>
  <c r="DD5" i="2"/>
  <c r="CR5" i="2"/>
  <c r="CF5" i="2"/>
  <c r="BT5" i="2"/>
  <c r="BH5" i="2"/>
  <c r="AV5" i="2"/>
  <c r="AJ5" i="2"/>
  <c r="X5" i="2"/>
  <c r="L5" i="2"/>
  <c r="EJ4" i="2"/>
  <c r="DX4" i="2"/>
  <c r="DL4" i="2"/>
  <c r="CZ4" i="2"/>
  <c r="CN4" i="2"/>
  <c r="CB4" i="2"/>
  <c r="BP4" i="2"/>
  <c r="BD4" i="2"/>
  <c r="AR4" i="2"/>
  <c r="AF4" i="2"/>
  <c r="T4" i="2"/>
  <c r="H4" i="2"/>
  <c r="EC26" i="2"/>
  <c r="CM26" i="2"/>
  <c r="BU26" i="2"/>
  <c r="AW26" i="2"/>
  <c r="AC26" i="2"/>
  <c r="G26" i="2"/>
  <c r="DY25" i="2"/>
  <c r="DE25" i="2"/>
  <c r="CG25" i="2"/>
  <c r="BO25" i="2"/>
  <c r="AS25" i="2"/>
  <c r="Y25" i="2"/>
  <c r="C25" i="2"/>
  <c r="CW24" i="2"/>
  <c r="CC24" i="2"/>
  <c r="AO24" i="2"/>
  <c r="EG23" i="2"/>
  <c r="CS23" i="2"/>
  <c r="AI23" i="2"/>
  <c r="EC22" i="2"/>
  <c r="CM22" i="2"/>
  <c r="AE22" i="2"/>
  <c r="DC21" i="2"/>
  <c r="AS21" i="2"/>
  <c r="DS20" i="2"/>
  <c r="CE20" i="2"/>
  <c r="AO20" i="2"/>
  <c r="CK17" i="2"/>
  <c r="EC16" i="2"/>
  <c r="CJ16" i="2"/>
  <c r="BC16" i="2"/>
  <c r="I16" i="2"/>
  <c r="DL15" i="2"/>
  <c r="BR15" i="2"/>
  <c r="V15" i="2"/>
  <c r="EB14" i="2"/>
  <c r="CU14" i="2"/>
  <c r="BA14" i="2"/>
  <c r="U14" i="2"/>
  <c r="DK13" i="2"/>
  <c r="CD13" i="2"/>
  <c r="AJ13" i="2"/>
  <c r="D13" i="2"/>
  <c r="CT12" i="2"/>
  <c r="BM12" i="2"/>
  <c r="S12" i="2"/>
  <c r="DV11" i="2"/>
  <c r="CC11" i="2"/>
  <c r="AV11" i="2"/>
  <c r="E11" i="2"/>
  <c r="CW10" i="2"/>
  <c r="BU10" i="2"/>
  <c r="AC10" i="2"/>
  <c r="DW9" i="2"/>
  <c r="CE9" i="2"/>
  <c r="AR9" i="2"/>
  <c r="D9" i="2"/>
  <c r="DA8" i="2"/>
  <c r="CA8" i="2"/>
  <c r="AN8" i="2"/>
  <c r="N8" i="2"/>
  <c r="DJ7" i="2"/>
  <c r="CJ7" i="2"/>
  <c r="BJ7" i="2"/>
  <c r="W7" i="2"/>
  <c r="EF6" i="2"/>
  <c r="DF6" i="2"/>
  <c r="CF6" i="2"/>
  <c r="AS6" i="2"/>
  <c r="S6" i="2"/>
  <c r="EB5" i="2"/>
  <c r="CP5" i="2"/>
  <c r="BR5" i="2"/>
  <c r="AT5" i="2"/>
  <c r="J5" i="2"/>
  <c r="DV4" i="2"/>
  <c r="CX4" i="2"/>
  <c r="BZ4" i="2"/>
  <c r="AP4" i="2"/>
  <c r="R4" i="2"/>
  <c r="ED26" i="2"/>
  <c r="DJ26" i="2"/>
  <c r="CP26" i="2"/>
  <c r="BV26" i="2"/>
  <c r="BB26" i="2"/>
  <c r="AD26" i="2"/>
  <c r="L26" i="2"/>
  <c r="DZ25" i="2"/>
  <c r="DF25" i="2"/>
  <c r="CL25" i="2"/>
  <c r="BP25" i="2"/>
  <c r="AT25" i="2"/>
  <c r="Z25" i="2"/>
  <c r="H25" i="2"/>
  <c r="DV24" i="2"/>
  <c r="CZ24" i="2"/>
  <c r="CD24" i="2"/>
  <c r="BL24" i="2"/>
  <c r="AP24" i="2"/>
  <c r="V24" i="2"/>
  <c r="EH23" i="2"/>
  <c r="DP23" i="2"/>
  <c r="CV23" i="2"/>
  <c r="BZ23" i="2"/>
  <c r="BH23" i="2"/>
  <c r="AJ23" i="2"/>
  <c r="P23" i="2"/>
  <c r="ED22" i="2"/>
  <c r="DL22" i="2"/>
  <c r="CR22" i="2"/>
  <c r="BT22" i="2"/>
  <c r="BB22" i="2"/>
  <c r="AF22" i="2"/>
  <c r="L22" i="2"/>
  <c r="DZ21" i="2"/>
  <c r="DF21" i="2"/>
  <c r="CJ21" i="2"/>
  <c r="BP21" i="2"/>
  <c r="AX21" i="2"/>
  <c r="AB21" i="2"/>
  <c r="F21" i="2"/>
  <c r="DT20" i="2"/>
  <c r="DB20" i="2"/>
  <c r="CF20" i="2"/>
  <c r="BL20" i="2"/>
  <c r="AP20" i="2"/>
  <c r="Y20" i="2"/>
  <c r="F20" i="2"/>
  <c r="DY19" i="2"/>
  <c r="DE19" i="2"/>
  <c r="CN19" i="2"/>
  <c r="BY19" i="2"/>
  <c r="BI19" i="2"/>
  <c r="AT19" i="2"/>
  <c r="AE19" i="2"/>
  <c r="M19" i="2"/>
  <c r="EH18" i="2"/>
  <c r="DS18" i="2"/>
  <c r="DD18" i="2"/>
  <c r="CN18" i="2"/>
  <c r="BW18" i="2"/>
  <c r="BH18" i="2"/>
  <c r="AR18" i="2"/>
  <c r="AC18" i="2"/>
  <c r="N18" i="2"/>
  <c r="EF17" i="2"/>
  <c r="DQ17" i="2"/>
  <c r="DB17" i="2"/>
  <c r="CL17" i="2"/>
  <c r="BW17" i="2"/>
  <c r="BF17" i="2"/>
  <c r="AP17" i="2"/>
  <c r="AA17" i="2"/>
  <c r="L17" i="2"/>
  <c r="EG16" i="2"/>
  <c r="DO16" i="2"/>
  <c r="CZ16" i="2"/>
  <c r="CK16" i="2"/>
  <c r="BU16" i="2"/>
  <c r="BF16" i="2"/>
  <c r="AO16" i="2"/>
  <c r="Y16" i="2"/>
  <c r="J16" i="2"/>
  <c r="EE15" i="2"/>
  <c r="DP15" i="2"/>
  <c r="CX15" i="2"/>
  <c r="CI15" i="2"/>
  <c r="BT15" i="2"/>
  <c r="BD15" i="2"/>
  <c r="AO15" i="2"/>
  <c r="X15" i="2"/>
  <c r="H15" i="2"/>
  <c r="EC14" i="2"/>
  <c r="DN14" i="2"/>
  <c r="CX14" i="2"/>
  <c r="CG14" i="2"/>
  <c r="BR14" i="2"/>
  <c r="BB14" i="2"/>
  <c r="AM14" i="2"/>
  <c r="X14" i="2"/>
  <c r="F14" i="2"/>
  <c r="EA13" i="2"/>
  <c r="DL13" i="2"/>
  <c r="CW13" i="2"/>
  <c r="CG13" i="2"/>
  <c r="BP13" i="2"/>
  <c r="BA13" i="2"/>
  <c r="AK13" i="2"/>
  <c r="V13" i="2"/>
  <c r="G13" i="2"/>
  <c r="DY12" i="2"/>
  <c r="DJ12" i="2"/>
  <c r="CU12" i="2"/>
  <c r="CF12" i="2"/>
  <c r="BP12" i="2"/>
  <c r="AY12" i="2"/>
  <c r="AJ12" i="2"/>
  <c r="T12" i="2"/>
  <c r="E12" i="2"/>
  <c r="DZ11" i="2"/>
  <c r="DH11" i="2"/>
  <c r="CS11" i="2"/>
  <c r="CD11" i="2"/>
  <c r="BN11" i="2"/>
  <c r="AY11" i="2"/>
  <c r="AH11" i="2"/>
  <c r="T11" i="2"/>
  <c r="F11" i="2"/>
  <c r="EB10" i="2"/>
  <c r="DN10" i="2"/>
  <c r="CX10" i="2"/>
  <c r="CJ10" i="2"/>
  <c r="BV10" i="2"/>
  <c r="BH10" i="2"/>
  <c r="AT10" i="2"/>
  <c r="AD10" i="2"/>
  <c r="P10" i="2"/>
  <c r="B10" i="2"/>
  <c r="DX9" i="2"/>
  <c r="DJ9" i="2"/>
  <c r="CT9" i="2"/>
  <c r="CF9" i="2"/>
  <c r="BS9" i="2"/>
  <c r="BF9" i="2"/>
  <c r="AS9" i="2"/>
  <c r="AF9" i="2"/>
  <c r="S9" i="2"/>
  <c r="F9" i="2"/>
  <c r="EB8" i="2"/>
  <c r="DO8" i="2"/>
  <c r="DB8" i="2"/>
  <c r="CO8" i="2"/>
  <c r="CB8" i="2"/>
  <c r="BO8" i="2"/>
  <c r="BB8" i="2"/>
  <c r="AO8" i="2"/>
  <c r="AB8" i="2"/>
  <c r="O8" i="2"/>
  <c r="B8" i="2"/>
  <c r="DX7" i="2"/>
  <c r="DK7" i="2"/>
  <c r="CX7" i="2"/>
  <c r="CK7" i="2"/>
  <c r="BX7" i="2"/>
  <c r="BK7" i="2"/>
  <c r="AX7" i="2"/>
  <c r="AK7" i="2"/>
  <c r="X7" i="2"/>
  <c r="K7" i="2"/>
  <c r="EH6" i="2"/>
  <c r="DT6" i="2"/>
  <c r="DG6" i="2"/>
  <c r="CT6" i="2"/>
  <c r="CG6" i="2"/>
  <c r="BT6" i="2"/>
  <c r="BG6" i="2"/>
  <c r="AT6" i="2"/>
  <c r="AG6" i="2"/>
  <c r="T6" i="2"/>
  <c r="G6" i="2"/>
  <c r="ED5" i="2"/>
  <c r="DP5" i="2"/>
  <c r="DC5" i="2"/>
  <c r="CQ5" i="2"/>
  <c r="CE5" i="2"/>
  <c r="BS5" i="2"/>
  <c r="BG5" i="2"/>
  <c r="AU5" i="2"/>
  <c r="AI5" i="2"/>
  <c r="W5" i="2"/>
  <c r="K5" i="2"/>
  <c r="EI4" i="2"/>
  <c r="DW4" i="2"/>
  <c r="DK4" i="2"/>
  <c r="CY4" i="2"/>
  <c r="CM4" i="2"/>
  <c r="CA4" i="2"/>
  <c r="BO4" i="2"/>
  <c r="BC4" i="2"/>
  <c r="AQ4" i="2"/>
  <c r="AE4" i="2"/>
  <c r="S4" i="2"/>
  <c r="G4" i="2"/>
  <c r="DI26" i="2"/>
  <c r="DS24" i="2"/>
  <c r="BK24" i="2"/>
  <c r="S24" i="2"/>
  <c r="DO23" i="2"/>
  <c r="BY23" i="2"/>
  <c r="BA23" i="2"/>
  <c r="O23" i="2"/>
  <c r="DK22" i="2"/>
  <c r="BS22" i="2"/>
  <c r="AW22" i="2"/>
  <c r="K22" i="2"/>
  <c r="DW21" i="2"/>
  <c r="CI21" i="2"/>
  <c r="BO21" i="2"/>
  <c r="W21" i="2"/>
  <c r="C21" i="2"/>
  <c r="CY20" i="2"/>
  <c r="BI20" i="2"/>
  <c r="X20" i="2"/>
  <c r="E20" i="2"/>
  <c r="DX19" i="2"/>
  <c r="DB19" i="2"/>
  <c r="CM19" i="2"/>
  <c r="BX19" i="2"/>
  <c r="BH19" i="2"/>
  <c r="AS19" i="2"/>
  <c r="AB19" i="2"/>
  <c r="L19" i="2"/>
  <c r="EG18" i="2"/>
  <c r="DR18" i="2"/>
  <c r="DB18" i="2"/>
  <c r="CK18" i="2"/>
  <c r="BV18" i="2"/>
  <c r="BF18" i="2"/>
  <c r="AQ18" i="2"/>
  <c r="AB18" i="2"/>
  <c r="J18" i="2"/>
  <c r="EE17" i="2"/>
  <c r="DP17" i="2"/>
  <c r="DA17" i="2"/>
  <c r="BT17" i="2"/>
  <c r="BE17" i="2"/>
  <c r="AO17" i="2"/>
  <c r="Z17" i="2"/>
  <c r="K17" i="2"/>
  <c r="DN16" i="2"/>
  <c r="CY16" i="2"/>
  <c r="BT16" i="2"/>
  <c r="AN16" i="2"/>
  <c r="X16" i="2"/>
  <c r="ED15" i="2"/>
  <c r="CW15" i="2"/>
  <c r="CH15" i="2"/>
  <c r="BC15" i="2"/>
  <c r="AL15" i="2"/>
  <c r="G15" i="2"/>
  <c r="DM14" i="2"/>
  <c r="CF14" i="2"/>
  <c r="BQ14" i="2"/>
  <c r="AL14" i="2"/>
  <c r="E14" i="2"/>
  <c r="DZ13" i="2"/>
  <c r="CV13" i="2"/>
  <c r="BO13" i="2"/>
  <c r="AZ13" i="2"/>
  <c r="U13" i="2"/>
  <c r="DX12" i="2"/>
  <c r="DI12" i="2"/>
  <c r="CD12" i="2"/>
  <c r="AX12" i="2"/>
  <c r="AH12" i="2"/>
  <c r="D12" i="2"/>
  <c r="DG11" i="2"/>
  <c r="CR11" i="2"/>
  <c r="BM11" i="2"/>
  <c r="AG11" i="2"/>
  <c r="S11" i="2"/>
  <c r="EA10" i="2"/>
  <c r="DK10" i="2"/>
  <c r="CI10" i="2"/>
  <c r="BG10" i="2"/>
  <c r="AQ10" i="2"/>
  <c r="O10" i="2"/>
  <c r="EK9" i="2"/>
  <c r="DG9" i="2"/>
  <c r="CS9" i="2"/>
  <c r="BR9" i="2"/>
  <c r="BE9" i="2"/>
  <c r="AE9" i="2"/>
  <c r="R9" i="2"/>
  <c r="EA8" i="2"/>
  <c r="DN8" i="2"/>
  <c r="CN8" i="2"/>
  <c r="BN8" i="2"/>
  <c r="BA8" i="2"/>
  <c r="AA8" i="2"/>
  <c r="EJ7" i="2"/>
  <c r="DW7" i="2"/>
  <c r="CW7" i="2"/>
  <c r="BW7" i="2"/>
  <c r="AW7" i="2"/>
  <c r="AJ7" i="2"/>
  <c r="J7" i="2"/>
  <c r="DS6" i="2"/>
  <c r="CS6" i="2"/>
  <c r="BS6" i="2"/>
  <c r="BF6" i="2"/>
  <c r="AF6" i="2"/>
  <c r="F6" i="2"/>
  <c r="DO5" i="2"/>
  <c r="DB5" i="2"/>
  <c r="CD5" i="2"/>
  <c r="BF5" i="2"/>
  <c r="AH5" i="2"/>
  <c r="V5" i="2"/>
  <c r="EH4" i="2"/>
  <c r="DJ4" i="2"/>
  <c r="CL4" i="2"/>
  <c r="BN4" i="2"/>
  <c r="BB4" i="2"/>
  <c r="AD4" i="2"/>
  <c r="F4" i="2"/>
  <c r="EB26" i="2"/>
  <c r="DH26" i="2"/>
  <c r="CL26" i="2"/>
  <c r="BT26" i="2"/>
  <c r="AV26" i="2"/>
  <c r="AB26" i="2"/>
  <c r="F26" i="2"/>
  <c r="DX25" i="2"/>
  <c r="DD25" i="2"/>
  <c r="CF25" i="2"/>
  <c r="BN25" i="2"/>
  <c r="AR25" i="2"/>
  <c r="X25" i="2"/>
  <c r="B25" i="2"/>
  <c r="DR24" i="2"/>
  <c r="EA26" i="2"/>
  <c r="CW26" i="2"/>
  <c r="BM26" i="2"/>
  <c r="AO26" i="2"/>
  <c r="E26" i="2"/>
  <c r="DM25" i="2"/>
  <c r="CE25" i="2"/>
  <c r="BE25" i="2"/>
  <c r="W25" i="2"/>
  <c r="EE24" i="2"/>
  <c r="CV24" i="2"/>
  <c r="BY24" i="2"/>
  <c r="AX24" i="2"/>
  <c r="R24" i="2"/>
  <c r="EC23" i="2"/>
  <c r="DB23" i="2"/>
  <c r="BX23" i="2"/>
  <c r="AW23" i="2"/>
  <c r="X23" i="2"/>
  <c r="EB22" i="2"/>
  <c r="DA22" i="2"/>
  <c r="CD22" i="2"/>
  <c r="AV22" i="2"/>
  <c r="U22" i="2"/>
  <c r="EH21" i="2"/>
  <c r="DB21" i="2"/>
  <c r="CC21" i="2"/>
  <c r="BB21" i="2"/>
  <c r="V21" i="2"/>
  <c r="EG20" i="2"/>
  <c r="DF20" i="2"/>
  <c r="CD20" i="2"/>
  <c r="BB20" i="2"/>
  <c r="AH20" i="2"/>
  <c r="D20" i="2"/>
  <c r="DO19" i="2"/>
  <c r="CT19" i="2"/>
  <c r="BV19" i="2"/>
  <c r="BB19" i="2"/>
  <c r="AI19" i="2"/>
  <c r="K19" i="2"/>
  <c r="EC18" i="2"/>
  <c r="DH18" i="2"/>
  <c r="CJ18" i="2"/>
  <c r="BQ18" i="2"/>
  <c r="AW18" i="2"/>
  <c r="AA18" i="2"/>
  <c r="F18" i="2"/>
  <c r="DX17" i="2"/>
  <c r="CZ17" i="2"/>
  <c r="CE17" i="2"/>
  <c r="BL17" i="2"/>
  <c r="AN17" i="2"/>
  <c r="T17" i="2"/>
  <c r="EK16" i="2"/>
  <c r="DM16" i="2"/>
  <c r="CT16" i="2"/>
  <c r="BZ16" i="2"/>
  <c r="BB16" i="2"/>
  <c r="AI16" i="2"/>
  <c r="N16" i="2"/>
  <c r="EC15" i="2"/>
  <c r="DH15" i="2"/>
  <c r="CO15" i="2"/>
  <c r="BQ15" i="2"/>
  <c r="AW15" i="2"/>
  <c r="AD15" i="2"/>
  <c r="F15" i="2"/>
  <c r="DU14" i="2"/>
  <c r="DC14" i="2"/>
  <c r="CE14" i="2"/>
  <c r="BL14" i="2"/>
  <c r="AR14" i="2"/>
  <c r="T14" i="2"/>
  <c r="EK13" i="2"/>
  <c r="DP13" i="2"/>
  <c r="CT13" i="2"/>
  <c r="BZ13" i="2"/>
  <c r="BG13" i="2"/>
  <c r="AI13" i="2"/>
  <c r="N13" i="2"/>
  <c r="EF12" i="2"/>
  <c r="DH12" i="2"/>
  <c r="CM12" i="2"/>
  <c r="BU12" i="2"/>
  <c r="AW12" i="2"/>
  <c r="AD12" i="2"/>
  <c r="I12" i="2"/>
  <c r="DU11" i="2"/>
  <c r="DC11" i="2"/>
  <c r="CH11" i="2"/>
  <c r="BL11" i="2"/>
  <c r="AR11" i="2"/>
  <c r="Z11" i="2"/>
  <c r="D11" i="2"/>
  <c r="DU10" i="2"/>
  <c r="DD10" i="2"/>
  <c r="CH10" i="2"/>
  <c r="BO10" i="2"/>
  <c r="AX10" i="2"/>
  <c r="AB10" i="2"/>
  <c r="K10" i="2"/>
  <c r="EB9" i="2"/>
  <c r="DF9" i="2"/>
  <c r="CO9" i="2"/>
  <c r="BW9" i="2"/>
  <c r="BD9" i="2"/>
  <c r="AM9" i="2"/>
  <c r="W9" i="2"/>
  <c r="C9" i="2"/>
  <c r="DW8" i="2"/>
  <c r="DG8" i="2"/>
  <c r="CM8" i="2"/>
  <c r="BW8" i="2"/>
  <c r="BF8" i="2"/>
  <c r="AM8" i="2"/>
  <c r="V8" i="2"/>
  <c r="F8" i="2"/>
  <c r="DV7" i="2"/>
  <c r="DF7" i="2"/>
  <c r="CP7" i="2"/>
  <c r="BV7" i="2"/>
  <c r="BF7" i="2"/>
  <c r="AO7" i="2"/>
  <c r="V7" i="2"/>
  <c r="E7" i="2"/>
  <c r="DY6" i="2"/>
  <c r="DE6" i="2"/>
  <c r="CO6" i="2"/>
  <c r="BX6" i="2"/>
  <c r="BE6" i="2"/>
  <c r="AN6" i="2"/>
  <c r="X6" i="2"/>
  <c r="D6" i="2"/>
  <c r="DX5" i="2"/>
  <c r="DH5" i="2"/>
  <c r="CO5" i="2"/>
  <c r="BZ5" i="2"/>
  <c r="BK5" i="2"/>
  <c r="AS5" i="2"/>
  <c r="AD5" i="2"/>
  <c r="O5" i="2"/>
  <c r="EG4" i="2"/>
  <c r="DR4" i="2"/>
  <c r="DC4" i="2"/>
  <c r="CK4" i="2"/>
  <c r="BV4" i="2"/>
  <c r="BG4" i="2"/>
  <c r="AO4" i="2"/>
  <c r="Z4" i="2"/>
  <c r="K4" i="2"/>
  <c r="CK26" i="2"/>
  <c r="BI26" i="2"/>
  <c r="AA26" i="2"/>
  <c r="EI25" i="2"/>
  <c r="CY25" i="2"/>
  <c r="BW25" i="2"/>
  <c r="AQ25" i="2"/>
  <c r="M25" i="2"/>
  <c r="DO24" i="2"/>
  <c r="CP24" i="2"/>
  <c r="BO24" i="2"/>
  <c r="AI24" i="2"/>
  <c r="J24" i="2"/>
  <c r="DS23" i="2"/>
  <c r="CQ23" i="2"/>
  <c r="BN23" i="2"/>
  <c r="AQ23" i="2"/>
  <c r="K23" i="2"/>
  <c r="DV22" i="2"/>
  <c r="CU22" i="2"/>
  <c r="BQ22" i="2"/>
  <c r="AR22" i="2"/>
  <c r="O22" i="2"/>
  <c r="DU21" i="2"/>
  <c r="CV21" i="2"/>
  <c r="BS21" i="2"/>
  <c r="AO21" i="2"/>
  <c r="P21" i="2"/>
  <c r="DW20" i="2"/>
  <c r="CU20" i="2"/>
  <c r="BV20" i="2"/>
  <c r="AX20" i="2"/>
  <c r="V20" i="2"/>
  <c r="EE19" i="2"/>
  <c r="DK19" i="2"/>
  <c r="CK19" i="2"/>
  <c r="BR19" i="2"/>
  <c r="AW19" i="2"/>
  <c r="Y19" i="2"/>
  <c r="G19" i="2"/>
  <c r="DV18" i="2"/>
  <c r="CX18" i="2"/>
  <c r="CF18" i="2"/>
  <c r="BK18" i="2"/>
  <c r="AO18" i="2"/>
  <c r="T18" i="2"/>
  <c r="B18" i="2"/>
  <c r="DN17" i="2"/>
  <c r="CS17" i="2"/>
  <c r="BZ17" i="2"/>
  <c r="BB17" i="2"/>
  <c r="AJ17" i="2"/>
  <c r="O17" i="2"/>
  <c r="EA16" i="2"/>
  <c r="DI16" i="2"/>
  <c r="CN16" i="2"/>
  <c r="BP16" i="2"/>
  <c r="CZ5" i="2"/>
  <c r="CK5" i="2"/>
  <c r="BV5" i="2"/>
  <c r="BD5" i="2"/>
  <c r="AO5" i="2"/>
  <c r="Z5" i="2"/>
  <c r="H5" i="2"/>
  <c r="EC4" i="2"/>
  <c r="DN4" i="2"/>
  <c r="CV4" i="2"/>
  <c r="CG4" i="2"/>
  <c r="BR4" i="2"/>
  <c r="AZ4" i="2"/>
  <c r="AK4" i="2"/>
  <c r="V4" i="2"/>
  <c r="D4" i="2"/>
  <c r="DR26" i="2"/>
  <c r="BH26" i="2"/>
  <c r="Z26" i="2"/>
  <c r="EH25" i="2"/>
  <c r="CX25" i="2"/>
  <c r="BV25" i="2"/>
  <c r="AP25" i="2"/>
  <c r="L25" i="2"/>
  <c r="CO24" i="2"/>
  <c r="AH24" i="2"/>
  <c r="DR23" i="2"/>
  <c r="BM23" i="2"/>
  <c r="J23" i="2"/>
  <c r="CT22" i="2"/>
  <c r="AM22" i="2"/>
  <c r="DT21" i="2"/>
  <c r="BR21" i="2"/>
  <c r="O21" i="2"/>
  <c r="CT20" i="2"/>
  <c r="AW20" i="2"/>
  <c r="ED19" i="2"/>
  <c r="CJ19" i="2"/>
  <c r="AV19" i="2"/>
  <c r="F19" i="2"/>
  <c r="CW18" i="2"/>
  <c r="BJ18" i="2"/>
  <c r="S18" i="2"/>
  <c r="DM17" i="2"/>
  <c r="BY17" i="2"/>
  <c r="AG17" i="2"/>
  <c r="DZ16" i="2"/>
  <c r="CM16" i="2"/>
  <c r="BO16" i="2"/>
  <c r="AB16" i="2"/>
  <c r="DB15" i="2"/>
  <c r="CD15" i="2"/>
  <c r="AQ15" i="2"/>
  <c r="EH14" i="2"/>
  <c r="CR14" i="2"/>
  <c r="BE14" i="2"/>
  <c r="N14" i="2"/>
  <c r="DH13" i="2"/>
  <c r="BT13" i="2"/>
  <c r="AB13" i="2"/>
  <c r="DU12" i="2"/>
  <c r="CH12" i="2"/>
  <c r="AQ12" i="2"/>
  <c r="EH11" i="2"/>
  <c r="CU11" i="2"/>
  <c r="BE11" i="2"/>
  <c r="P11" i="2"/>
  <c r="DP10" i="2"/>
  <c r="CA10" i="2"/>
  <c r="AN10" i="2"/>
  <c r="D10" i="2"/>
  <c r="DA9" i="2"/>
  <c r="BO9" i="2"/>
  <c r="AH9" i="2"/>
  <c r="EH8" i="2"/>
  <c r="DR8" i="2"/>
  <c r="CX8" i="2"/>
  <c r="CH8" i="2"/>
  <c r="BQ8" i="2"/>
  <c r="AX8" i="2"/>
  <c r="AG8" i="2"/>
  <c r="Q8" i="2"/>
  <c r="EG7" i="2"/>
  <c r="DQ7" i="2"/>
  <c r="CZ7" i="2"/>
  <c r="CG7" i="2"/>
  <c r="BP7" i="2"/>
  <c r="AZ7" i="2"/>
  <c r="AF7" i="2"/>
  <c r="P7" i="2"/>
  <c r="EJ6" i="2"/>
  <c r="DP6" i="2"/>
  <c r="CZ6" i="2"/>
  <c r="CI6" i="2"/>
  <c r="BP6" i="2"/>
  <c r="AY6" i="2"/>
  <c r="AI6" i="2"/>
  <c r="O6" i="2"/>
  <c r="EI5" i="2"/>
  <c r="DS5" i="2"/>
  <c r="CY5" i="2"/>
  <c r="CJ5" i="2"/>
  <c r="BU5" i="2"/>
  <c r="BC5" i="2"/>
  <c r="AN5" i="2"/>
  <c r="G5" i="2"/>
  <c r="EB4" i="2"/>
  <c r="DM4" i="2"/>
  <c r="CF4" i="2"/>
  <c r="AY4" i="2"/>
  <c r="U4" i="2"/>
  <c r="DO26" i="2"/>
  <c r="BG26" i="2"/>
  <c r="W26" i="2"/>
  <c r="EC25" i="2"/>
  <c r="CU25" i="2"/>
  <c r="BU25" i="2"/>
  <c r="AM25" i="2"/>
  <c r="K25" i="2"/>
  <c r="DK24" i="2"/>
  <c r="CN24" i="2"/>
  <c r="BJ24" i="2"/>
  <c r="AG24" i="2"/>
  <c r="H24" i="2"/>
  <c r="DN23" i="2"/>
  <c r="CK23" i="2"/>
  <c r="BL23" i="2"/>
  <c r="AH23" i="2"/>
  <c r="G23" i="2"/>
  <c r="DP22" i="2"/>
  <c r="CL22" i="2"/>
  <c r="BK22" i="2"/>
  <c r="AL22" i="2"/>
  <c r="DZ26" i="2"/>
  <c r="CV26" i="2"/>
  <c r="BL26" i="2"/>
  <c r="AN26" i="2"/>
  <c r="D26" i="2"/>
  <c r="DL25" i="2"/>
  <c r="CD25" i="2"/>
  <c r="BD25" i="2"/>
  <c r="V25" i="2"/>
  <c r="ED24" i="2"/>
  <c r="CU24" i="2"/>
  <c r="BX24" i="2"/>
  <c r="AU24" i="2"/>
  <c r="O24" i="2"/>
  <c r="EB23" i="2"/>
  <c r="CY23" i="2"/>
  <c r="BU23" i="2"/>
  <c r="AV23" i="2"/>
  <c r="S23" i="2"/>
  <c r="EA22" i="2"/>
  <c r="CZ22" i="2"/>
  <c r="CA22" i="2"/>
  <c r="AU22" i="2"/>
  <c r="T22" i="2"/>
  <c r="EG21" i="2"/>
  <c r="CY21" i="2"/>
  <c r="CB21" i="2"/>
  <c r="BA21" i="2"/>
  <c r="U21" i="2"/>
  <c r="EF20" i="2"/>
  <c r="DE20" i="2"/>
  <c r="BY20" i="2"/>
  <c r="BA20" i="2"/>
  <c r="AB20" i="2"/>
  <c r="C20" i="2"/>
  <c r="DN19" i="2"/>
  <c r="CS19" i="2"/>
  <c r="BU19" i="2"/>
  <c r="BA19" i="2"/>
  <c r="AH19" i="2"/>
  <c r="J19" i="2"/>
  <c r="EB18" i="2"/>
  <c r="DG18" i="2"/>
  <c r="CI18" i="2"/>
  <c r="BP18" i="2"/>
  <c r="AV18" i="2"/>
  <c r="X18" i="2"/>
  <c r="E18" i="2"/>
  <c r="DT17" i="2"/>
  <c r="CX17" i="2"/>
  <c r="CD17" i="2"/>
  <c r="BK17" i="2"/>
  <c r="AM17" i="2"/>
  <c r="R17" i="2"/>
  <c r="EJ16" i="2"/>
  <c r="DL16" i="2"/>
  <c r="CS16" i="2"/>
  <c r="BY16" i="2"/>
  <c r="BA16" i="2"/>
  <c r="AH16" i="2"/>
  <c r="M16" i="2"/>
  <c r="DY15" i="2"/>
  <c r="DG15" i="2"/>
  <c r="CL15" i="2"/>
  <c r="BP15" i="2"/>
  <c r="AV15" i="2"/>
  <c r="AC15" i="2"/>
  <c r="E15" i="2"/>
  <c r="DT14" i="2"/>
  <c r="DB14" i="2"/>
  <c r="CD14" i="2"/>
  <c r="BK14" i="2"/>
  <c r="AP14" i="2"/>
  <c r="R14" i="2"/>
  <c r="EJ13" i="2"/>
  <c r="DO13" i="2"/>
  <c r="CQ13" i="2"/>
  <c r="BY13" i="2"/>
  <c r="BD13" i="2"/>
  <c r="AH13" i="2"/>
  <c r="M13" i="2"/>
  <c r="EE12" i="2"/>
  <c r="DG12" i="2"/>
  <c r="CL12" i="2"/>
  <c r="BT12" i="2"/>
  <c r="AV12" i="2"/>
  <c r="AC12" i="2"/>
  <c r="H12" i="2"/>
  <c r="DT11" i="2"/>
  <c r="DB11" i="2"/>
  <c r="CG11" i="2"/>
  <c r="BI11" i="2"/>
  <c r="AP11" i="2"/>
  <c r="W11" i="2"/>
  <c r="C11" i="2"/>
  <c r="DT10" i="2"/>
  <c r="DC10" i="2"/>
  <c r="CG10" i="2"/>
  <c r="BN10" i="2"/>
  <c r="AW10" i="2"/>
  <c r="AA10" i="2"/>
  <c r="J10" i="2"/>
  <c r="EA9" i="2"/>
  <c r="DE9" i="2"/>
  <c r="CN9" i="2"/>
  <c r="BV9" i="2"/>
  <c r="BC9" i="2"/>
  <c r="AL9" i="2"/>
  <c r="V9" i="2"/>
  <c r="B9" i="2"/>
  <c r="DV8" i="2"/>
  <c r="DF8" i="2"/>
  <c r="CL8" i="2"/>
  <c r="BV8" i="2"/>
  <c r="BE8" i="2"/>
  <c r="AL8" i="2"/>
  <c r="U8" i="2"/>
  <c r="E8" i="2"/>
  <c r="DU7" i="2"/>
  <c r="DE7" i="2"/>
  <c r="CN7" i="2"/>
  <c r="BU7" i="2"/>
  <c r="BD7" i="2"/>
  <c r="AN7" i="2"/>
  <c r="T7" i="2"/>
  <c r="D7" i="2"/>
  <c r="DX6" i="2"/>
  <c r="DD6" i="2"/>
  <c r="CN6" i="2"/>
  <c r="BW6" i="2"/>
  <c r="BD6" i="2"/>
  <c r="AM6" i="2"/>
  <c r="W6" i="2"/>
  <c r="C6" i="2"/>
  <c r="DW5" i="2"/>
  <c r="DG5" i="2"/>
  <c r="CN5" i="2"/>
  <c r="BY5" i="2"/>
  <c r="BJ5" i="2"/>
  <c r="AR5" i="2"/>
  <c r="AC5" i="2"/>
  <c r="N5" i="2"/>
  <c r="EF4" i="2"/>
  <c r="DQ4" i="2"/>
  <c r="DB4" i="2"/>
  <c r="CJ4" i="2"/>
  <c r="BU4" i="2"/>
  <c r="BF4" i="2"/>
  <c r="AN4" i="2"/>
  <c r="Y4" i="2"/>
  <c r="J4" i="2"/>
  <c r="DW26" i="2"/>
  <c r="CU26" i="2"/>
  <c r="BK26" i="2"/>
  <c r="AK26" i="2"/>
  <c r="C26" i="2"/>
  <c r="DK25" i="2"/>
  <c r="CC25" i="2"/>
  <c r="AY25" i="2"/>
  <c r="O25" i="2"/>
  <c r="DY24" i="2"/>
  <c r="CT24" i="2"/>
  <c r="BQ24" i="2"/>
  <c r="AT24" i="2"/>
  <c r="N24" i="2"/>
  <c r="EA23" i="2"/>
  <c r="CX23" i="2"/>
  <c r="BT23" i="2"/>
  <c r="AU23" i="2"/>
  <c r="R23" i="2"/>
  <c r="DZ22" i="2"/>
  <c r="CY22" i="2"/>
  <c r="BZ22" i="2"/>
  <c r="AT22" i="2"/>
  <c r="S22" i="2"/>
  <c r="EF21" i="2"/>
  <c r="CX21" i="2"/>
  <c r="BW21" i="2"/>
  <c r="AZ21" i="2"/>
  <c r="T21" i="2"/>
  <c r="EE20" i="2"/>
  <c r="DD20" i="2"/>
  <c r="BX20" i="2"/>
  <c r="AZ20" i="2"/>
  <c r="AA20" i="2"/>
  <c r="B20" i="2"/>
  <c r="DM19" i="2"/>
  <c r="CR19" i="2"/>
  <c r="BT19" i="2"/>
  <c r="AZ19" i="2"/>
  <c r="AG19" i="2"/>
  <c r="I19" i="2"/>
  <c r="DX18" i="2"/>
  <c r="DF18" i="2"/>
  <c r="CH18" i="2"/>
  <c r="BO18" i="2"/>
  <c r="AT18" i="2"/>
  <c r="V18" i="2"/>
  <c r="D18" i="2"/>
  <c r="DS17" i="2"/>
  <c r="CW17" i="2"/>
  <c r="CC17" i="2"/>
  <c r="BJ17" i="2"/>
  <c r="AL17" i="2"/>
  <c r="Q17" i="2"/>
  <c r="EI16" i="2"/>
  <c r="DK16" i="2"/>
  <c r="CP16" i="2"/>
  <c r="BX16" i="2"/>
  <c r="AZ16" i="2"/>
  <c r="AG16" i="2"/>
  <c r="L16" i="2"/>
  <c r="DX15" i="2"/>
  <c r="DF15" i="2"/>
  <c r="CK15" i="2"/>
  <c r="BO15" i="2"/>
  <c r="AT15" i="2"/>
  <c r="AB15" i="2"/>
  <c r="D15" i="2"/>
  <c r="DS14" i="2"/>
  <c r="DA14" i="2"/>
  <c r="CC14" i="2"/>
  <c r="BH14" i="2"/>
  <c r="AO14" i="2"/>
  <c r="Q14" i="2"/>
  <c r="EI13" i="2"/>
  <c r="DN13" i="2"/>
  <c r="CP13" i="2"/>
  <c r="BX13" i="2"/>
  <c r="BC13" i="2"/>
  <c r="AG13" i="2"/>
  <c r="L13" i="2"/>
  <c r="ED12" i="2"/>
  <c r="DF12" i="2"/>
  <c r="CK12" i="2"/>
  <c r="BR12" i="2"/>
  <c r="AT12" i="2"/>
  <c r="Z12" i="2"/>
  <c r="G12" i="2"/>
  <c r="DS11" i="2"/>
  <c r="DA11" i="2"/>
  <c r="CF11" i="2"/>
  <c r="BH11" i="2"/>
  <c r="AO11" i="2"/>
  <c r="V11" i="2"/>
  <c r="B11" i="2"/>
  <c r="DS10" i="2"/>
  <c r="DB10" i="2"/>
  <c r="CF10" i="2"/>
  <c r="BM10" i="2"/>
  <c r="AV10" i="2"/>
  <c r="Z10" i="2"/>
  <c r="G10" i="2"/>
  <c r="DZ9" i="2"/>
  <c r="DD9" i="2"/>
  <c r="CM9" i="2"/>
  <c r="BU9" i="2"/>
  <c r="BB9" i="2"/>
  <c r="AK9" i="2"/>
  <c r="U9" i="2"/>
  <c r="EK8" i="2"/>
  <c r="DU8" i="2"/>
  <c r="DD8" i="2"/>
  <c r="CK8" i="2"/>
  <c r="BT8" i="2"/>
  <c r="BD8" i="2"/>
  <c r="AJ8" i="2"/>
  <c r="T8" i="2"/>
  <c r="D8" i="2"/>
  <c r="DT7" i="2"/>
  <c r="DD7" i="2"/>
  <c r="CM7" i="2"/>
  <c r="BT7" i="2"/>
  <c r="BC7" i="2"/>
  <c r="AM7" i="2"/>
  <c r="S7" i="2"/>
  <c r="C7" i="2"/>
  <c r="DW6" i="2"/>
  <c r="DC6" i="2"/>
  <c r="CM6" i="2"/>
  <c r="BV6" i="2"/>
  <c r="BC6" i="2"/>
  <c r="AL6" i="2"/>
  <c r="V6" i="2"/>
  <c r="B6" i="2"/>
  <c r="DV5" i="2"/>
  <c r="DF5" i="2"/>
  <c r="CM5" i="2"/>
  <c r="BX5" i="2"/>
  <c r="BI5" i="2"/>
  <c r="AQ5" i="2"/>
  <c r="AB5" i="2"/>
  <c r="M5" i="2"/>
  <c r="EE4" i="2"/>
  <c r="DP4" i="2"/>
  <c r="DA4" i="2"/>
  <c r="CI4" i="2"/>
  <c r="BT4" i="2"/>
  <c r="BE4" i="2"/>
  <c r="AM4" i="2"/>
  <c r="X4" i="2"/>
  <c r="I4" i="2"/>
  <c r="DV26" i="2"/>
  <c r="CT26" i="2"/>
  <c r="BJ26" i="2"/>
  <c r="AJ26" i="2"/>
  <c r="B26" i="2"/>
  <c r="DJ25" i="2"/>
  <c r="CB25" i="2"/>
  <c r="AX25" i="2"/>
  <c r="N25" i="2"/>
  <c r="DX24" i="2"/>
  <c r="CQ24" i="2"/>
  <c r="BP24" i="2"/>
  <c r="AN24" i="2"/>
  <c r="K24" i="2"/>
  <c r="DZ23" i="2"/>
  <c r="CR23" i="2"/>
  <c r="BO23" i="2"/>
  <c r="AT23" i="2"/>
  <c r="N23" i="2"/>
  <c r="DW22" i="2"/>
  <c r="CX22" i="2"/>
  <c r="BR22" i="2"/>
  <c r="AS22" i="2"/>
  <c r="R22" i="2"/>
  <c r="DV21" i="2"/>
  <c r="CW21" i="2"/>
  <c r="BV21" i="2"/>
  <c r="AR21" i="2"/>
  <c r="Q21" i="2"/>
  <c r="ED20" i="2"/>
  <c r="CX20" i="2"/>
  <c r="BW20" i="2"/>
  <c r="AY20" i="2"/>
  <c r="W20" i="2"/>
  <c r="EH19" i="2"/>
  <c r="DL19" i="2"/>
  <c r="CL19" i="2"/>
  <c r="BS19" i="2"/>
  <c r="AX19" i="2"/>
  <c r="Z19" i="2"/>
  <c r="H19" i="2"/>
  <c r="DW18" i="2"/>
  <c r="DA18" i="2"/>
  <c r="CG18" i="2"/>
  <c r="BN18" i="2"/>
  <c r="AP18" i="2"/>
  <c r="U18" i="2"/>
  <c r="C18" i="2"/>
  <c r="DO17" i="2"/>
  <c r="CT17" i="2"/>
  <c r="CB17" i="2"/>
  <c r="BD17" i="2"/>
  <c r="AK17" i="2"/>
  <c r="P17" i="2"/>
  <c r="EB16" i="2"/>
  <c r="DJ16" i="2"/>
  <c r="CO16" i="2"/>
  <c r="BS16" i="2"/>
  <c r="AX16" i="2"/>
  <c r="AF16" i="2"/>
  <c r="H16" i="2"/>
  <c r="DW15" i="2"/>
  <c r="DE15" i="2"/>
  <c r="CG15" i="2"/>
  <c r="BL15" i="2"/>
  <c r="AS15" i="2"/>
  <c r="U15" i="2"/>
  <c r="C15" i="2"/>
  <c r="DR14" i="2"/>
  <c r="CT14" i="2"/>
  <c r="CB14" i="2"/>
  <c r="BG14" i="2"/>
  <c r="AK14" i="2"/>
  <c r="P14" i="2"/>
  <c r="EH13" i="2"/>
  <c r="DJ13" i="2"/>
  <c r="CO13" i="2"/>
  <c r="BV13" i="2"/>
  <c r="AX13" i="2"/>
  <c r="AD13" i="2"/>
  <c r="K13" i="2"/>
  <c r="DW12" i="2"/>
  <c r="DE12" i="2"/>
  <c r="CJ12" i="2"/>
  <c r="BL12" i="2"/>
  <c r="AS12" i="2"/>
  <c r="Y12" i="2"/>
  <c r="C12" i="2"/>
  <c r="DR11" i="2"/>
  <c r="CZ11" i="2"/>
  <c r="CB11" i="2"/>
  <c r="BG11" i="2"/>
  <c r="AN11" i="2"/>
  <c r="R11" i="2"/>
  <c r="EI10" i="2"/>
  <c r="DR10" i="2"/>
  <c r="CV10" i="2"/>
  <c r="CE10" i="2"/>
  <c r="BL10" i="2"/>
  <c r="AP10" i="2"/>
  <c r="Y10" i="2"/>
  <c r="F10" i="2"/>
  <c r="DV9" i="2"/>
  <c r="DC9" i="2"/>
  <c r="CL9" i="2"/>
  <c r="BQ9" i="2"/>
  <c r="AZ9" i="2"/>
  <c r="AJ9" i="2"/>
  <c r="P9" i="2"/>
  <c r="EJ8" i="2"/>
  <c r="DT8" i="2"/>
  <c r="CZ8" i="2"/>
  <c r="CJ8" i="2"/>
  <c r="BS8" i="2"/>
  <c r="AZ8" i="2"/>
  <c r="AI8" i="2"/>
  <c r="S8" i="2"/>
  <c r="EI7" i="2"/>
  <c r="DS7" i="2"/>
  <c r="DC7" i="2"/>
  <c r="CI7" i="2"/>
  <c r="BS7" i="2"/>
  <c r="BB7" i="2"/>
  <c r="AI7" i="2"/>
  <c r="R7" i="2"/>
  <c r="B7" i="2"/>
  <c r="DR6" i="2"/>
  <c r="DB6" i="2"/>
  <c r="CL6" i="2"/>
  <c r="BR6" i="2"/>
  <c r="BB6" i="2"/>
  <c r="AK6" i="2"/>
  <c r="R6" i="2"/>
  <c r="EK5" i="2"/>
  <c r="DU5" i="2"/>
  <c r="DA5" i="2"/>
  <c r="CL5" i="2"/>
  <c r="BW5" i="2"/>
  <c r="BE5" i="2"/>
  <c r="AP5" i="2"/>
  <c r="AA5" i="2"/>
  <c r="I5" i="2"/>
  <c r="ED4" i="2"/>
  <c r="DO4" i="2"/>
  <c r="CW4" i="2"/>
  <c r="CH4" i="2"/>
  <c r="BS4" i="2"/>
  <c r="BA4" i="2"/>
  <c r="AL4" i="2"/>
  <c r="W4" i="2"/>
  <c r="E4" i="2"/>
  <c r="DS26" i="2"/>
  <c r="AW16" i="2"/>
  <c r="AC16" i="2"/>
  <c r="G16" i="2"/>
  <c r="DV15" i="2"/>
  <c r="DD15" i="2"/>
  <c r="CF15" i="2"/>
  <c r="BK15" i="2"/>
  <c r="AR15" i="2"/>
  <c r="T15" i="2"/>
  <c r="B15" i="2"/>
  <c r="DQ14" i="2"/>
  <c r="CS14" i="2"/>
  <c r="BZ14" i="2"/>
  <c r="BF14" i="2"/>
  <c r="AH14" i="2"/>
  <c r="O14" i="2"/>
  <c r="ED13" i="2"/>
  <c r="DI13" i="2"/>
  <c r="CN13" i="2"/>
  <c r="BU13" i="2"/>
  <c r="AW13" i="2"/>
  <c r="AC13" i="2"/>
  <c r="J13" i="2"/>
  <c r="DV12" i="2"/>
  <c r="DD12" i="2"/>
  <c r="CI12" i="2"/>
  <c r="BK12" i="2"/>
  <c r="AR12" i="2"/>
  <c r="X12" i="2"/>
  <c r="EJ11" i="2"/>
  <c r="DQ11" i="2"/>
  <c r="CV11" i="2"/>
  <c r="BZ11" i="2"/>
  <c r="BF11" i="2"/>
  <c r="AM11" i="2"/>
  <c r="Q11" i="2"/>
  <c r="EH10" i="2"/>
  <c r="DQ10" i="2"/>
  <c r="CU10" i="2"/>
  <c r="CD10" i="2"/>
  <c r="BK10" i="2"/>
  <c r="AO10" i="2"/>
  <c r="X10" i="2"/>
  <c r="E10" i="2"/>
  <c r="DS9" i="2"/>
  <c r="DB9" i="2"/>
  <c r="CI9" i="2"/>
  <c r="BP9" i="2"/>
  <c r="AY9" i="2"/>
  <c r="AI9" i="2"/>
  <c r="O9" i="2"/>
  <c r="EI8" i="2"/>
  <c r="DS8" i="2"/>
  <c r="CY8" i="2"/>
  <c r="CI8" i="2"/>
  <c r="BR8" i="2"/>
  <c r="AY8" i="2"/>
  <c r="AH8" i="2"/>
  <c r="R8" i="2"/>
  <c r="EH7" i="2"/>
  <c r="DR7" i="2"/>
  <c r="DB7" i="2"/>
  <c r="CH7" i="2"/>
  <c r="BR7" i="2"/>
  <c r="BA7" i="2"/>
  <c r="AH7" i="2"/>
  <c r="Q7" i="2"/>
  <c r="EK6" i="2"/>
  <c r="DQ6" i="2"/>
  <c r="DA6" i="2"/>
  <c r="CJ6" i="2"/>
  <c r="BQ6" i="2"/>
  <c r="AZ6" i="2"/>
  <c r="AJ6" i="2"/>
  <c r="P6" i="2"/>
  <c r="EJ5" i="2"/>
  <c r="DT5" i="2"/>
  <c r="CJ26" i="2"/>
  <c r="DN24" i="2"/>
  <c r="BN24" i="2"/>
  <c r="I24" i="2"/>
  <c r="CP23" i="2"/>
  <c r="AP23" i="2"/>
  <c r="DQ22" i="2"/>
  <c r="BP22" i="2"/>
  <c r="N22" i="2"/>
  <c r="CU21" i="2"/>
  <c r="AN21" i="2"/>
  <c r="DV20" i="2"/>
  <c r="BS20" i="2"/>
  <c r="S20" i="2"/>
  <c r="DJ19" i="2"/>
  <c r="BO19" i="2"/>
  <c r="X19" i="2"/>
  <c r="DU18" i="2"/>
  <c r="CD18" i="2"/>
  <c r="AN18" i="2"/>
  <c r="EK17" i="2"/>
  <c r="CR17" i="2"/>
  <c r="BA17" i="2"/>
  <c r="N17" i="2"/>
  <c r="DH16" i="2"/>
  <c r="AV16" i="2"/>
  <c r="F16" i="2"/>
  <c r="DU15" i="2"/>
  <c r="BJ15" i="2"/>
  <c r="S15" i="2"/>
  <c r="DP14" i="2"/>
  <c r="BY14" i="2"/>
  <c r="AG14" i="2"/>
  <c r="EC13" i="2"/>
  <c r="CM13" i="2"/>
  <c r="AV13" i="2"/>
  <c r="I13" i="2"/>
  <c r="CZ12" i="2"/>
  <c r="BJ12" i="2"/>
  <c r="V12" i="2"/>
  <c r="DP11" i="2"/>
  <c r="BY11" i="2"/>
  <c r="AL11" i="2"/>
  <c r="EG10" i="2"/>
  <c r="CT10" i="2"/>
  <c r="BJ10" i="2"/>
  <c r="W10" i="2"/>
  <c r="DR9" i="2"/>
  <c r="CH9" i="2"/>
  <c r="AX9" i="2"/>
  <c r="N9" i="2"/>
  <c r="Y5" i="2"/>
  <c r="CU4" i="2"/>
  <c r="BQ4" i="2"/>
  <c r="AJ4" i="2"/>
  <c r="C4" i="2"/>
  <c r="CG26" i="2"/>
  <c r="S10" i="2"/>
  <c r="B4" i="2"/>
  <c r="AI4" i="2"/>
  <c r="BM4" i="2"/>
  <c r="CT4" i="2"/>
  <c r="EA4" i="2"/>
  <c r="U5" i="2"/>
  <c r="BB5" i="2"/>
  <c r="CI5" i="2"/>
  <c r="DN5" i="2"/>
  <c r="N6" i="2"/>
  <c r="AX6" i="2"/>
  <c r="CE6" i="2"/>
  <c r="DO6" i="2"/>
  <c r="O7" i="2"/>
  <c r="AV7" i="2"/>
  <c r="CF7" i="2"/>
  <c r="DP7" i="2"/>
  <c r="L8" i="2"/>
  <c r="AV8" i="2"/>
  <c r="CF8" i="2"/>
  <c r="DM8" i="2"/>
  <c r="M9" i="2"/>
  <c r="AW9" i="2"/>
  <c r="CD9" i="2"/>
  <c r="DQ9" i="2"/>
  <c r="V10" i="2"/>
  <c r="BF10" i="2"/>
  <c r="CS10" i="2"/>
  <c r="EF10" i="2"/>
  <c r="AF11" i="2"/>
  <c r="BV11" i="2"/>
  <c r="DO11" i="2"/>
  <c r="R12" i="2"/>
  <c r="BI12" i="2"/>
  <c r="CY12" i="2"/>
  <c r="B13" i="2"/>
  <c r="AU13" i="2"/>
  <c r="CL13" i="2"/>
  <c r="DY13" i="2"/>
  <c r="AF14" i="2"/>
  <c r="BX14" i="2"/>
  <c r="DL14" i="2"/>
  <c r="R15" i="2"/>
  <c r="BI15" i="2"/>
  <c r="CV15" i="2"/>
  <c r="B16" i="2"/>
  <c r="AU16" i="2"/>
  <c r="CH16" i="2"/>
  <c r="DY16" i="2"/>
  <c r="AF17" i="2"/>
  <c r="BS17" i="2"/>
  <c r="DL17" i="2"/>
  <c r="R18" i="2"/>
  <c r="BE18" i="2"/>
  <c r="L4" i="2"/>
  <c r="AS4" i="2"/>
  <c r="BW4" i="2"/>
  <c r="DD4" i="2"/>
  <c r="EK4" i="2"/>
  <c r="AE5" i="2"/>
  <c r="BL5" i="2"/>
  <c r="CS5" i="2"/>
  <c r="DY5" i="2"/>
  <c r="Y6" i="2"/>
  <c r="BI6" i="2"/>
  <c r="CP6" i="2"/>
  <c r="DZ6" i="2"/>
  <c r="Z7" i="2"/>
  <c r="BG7" i="2"/>
  <c r="CQ7" i="2"/>
  <c r="EA7" i="2"/>
  <c r="W8" i="2"/>
  <c r="BG8" i="2"/>
  <c r="CQ8" i="2"/>
  <c r="DX8" i="2"/>
  <c r="X9" i="2"/>
  <c r="BH9" i="2"/>
  <c r="CP9" i="2"/>
  <c r="EC9" i="2"/>
  <c r="AH10" i="2"/>
  <c r="BR10" i="2"/>
  <c r="DE10" i="2"/>
  <c r="H11" i="2"/>
  <c r="AS11" i="2"/>
  <c r="CI11" i="2"/>
  <c r="EB11" i="2"/>
  <c r="AE12" i="2"/>
  <c r="BV12" i="2"/>
  <c r="DL12" i="2"/>
  <c r="P13" i="2"/>
  <c r="BH13" i="2"/>
  <c r="CY13" i="2"/>
  <c r="B14" i="2"/>
  <c r="AS14" i="2"/>
  <c r="CK14" i="2"/>
  <c r="DY14" i="2"/>
  <c r="AE15" i="2"/>
  <c r="BV15" i="2"/>
  <c r="DI15" i="2"/>
  <c r="P16" i="2"/>
  <c r="BH16" i="2"/>
  <c r="CV16" i="2"/>
  <c r="B17" i="2"/>
  <c r="AS17" i="2"/>
  <c r="CF17" i="2"/>
  <c r="DY17" i="2"/>
  <c r="AE18" i="2"/>
  <c r="BR18" i="2"/>
  <c r="DI18" i="2"/>
  <c r="R19" i="2"/>
  <c r="BE19" i="2"/>
  <c r="CV19" i="2"/>
  <c r="J20" i="2"/>
  <c r="BC20" i="2"/>
  <c r="DG20" i="2"/>
  <c r="AD21" i="2"/>
  <c r="CD21" i="2"/>
  <c r="EI21" i="2"/>
  <c r="BE22" i="2"/>
  <c r="DN22" i="2"/>
  <c r="AX23" i="2"/>
  <c r="DG23" i="2"/>
  <c r="AF24" i="2"/>
  <c r="DG24" i="2"/>
  <c r="AG25" i="2"/>
  <c r="DN25" i="2"/>
  <c r="AT26" i="2"/>
  <c r="DN26" i="2"/>
</calcChain>
</file>

<file path=xl/sharedStrings.xml><?xml version="1.0" encoding="utf-8"?>
<sst xmlns="http://schemas.openxmlformats.org/spreadsheetml/2006/main" count="13009" uniqueCount="66">
  <si>
    <t>COD_ENTE</t>
  </si>
  <si>
    <t>MUN</t>
  </si>
  <si>
    <t>NUM_ANO</t>
  </si>
  <si>
    <t>NUM_PERI</t>
  </si>
  <si>
    <t>COD_INDI</t>
  </si>
  <si>
    <t>COD_EXIB</t>
  </si>
  <si>
    <t>CATEG</t>
  </si>
  <si>
    <t>INDICADOR</t>
  </si>
  <si>
    <t>VAL_INDI</t>
  </si>
  <si>
    <t>Águas Formosas</t>
  </si>
  <si>
    <t>1.1</t>
  </si>
  <si>
    <t>Indicador legal</t>
  </si>
  <si>
    <t>1.1 - Percentual de aplicação das receitas de impostos e transferências vinculadas à educação em MDE (mínimo de 25% para estados, DF e municípios)</t>
  </si>
  <si>
    <t>1.2</t>
  </si>
  <si>
    <t>1.2 - Percentual de aplicação do FUNDEB na remuneração dos profissionais da educação (mínimo de 70%) - Inciso XXII, Portaria Conjunta MGI/MF/CGU Nº 33 de30-08-2023</t>
  </si>
  <si>
    <t>1.3</t>
  </si>
  <si>
    <t>1.3 - Percentual de aplicação do FUNDEB em despesas com MDE, que não remuneração dos profissionais da educação (máximo de 30%)</t>
  </si>
  <si>
    <t>2.1</t>
  </si>
  <si>
    <t>Indicador de dispêndio financeiro</t>
  </si>
  <si>
    <t>2.1 - Percentual dos recursos do FUNDEB aplicados na educação infantil</t>
  </si>
  <si>
    <t>2.2</t>
  </si>
  <si>
    <t>2.2 - Percentual dos recursos do FUNDEB aplicados no ensino fundamental</t>
  </si>
  <si>
    <t>2.4</t>
  </si>
  <si>
    <t>2.4 - Percentual das despesas com educação infantil em relação à despesa total com educação</t>
  </si>
  <si>
    <t>2.5</t>
  </si>
  <si>
    <t>2.5 - Percentual das despesas com ensino fundamental em relação à despesa total com educação</t>
  </si>
  <si>
    <t>2.8</t>
  </si>
  <si>
    <t>2.8 - Percentual das despesas em educação em relação às despesas de todas as áreas</t>
  </si>
  <si>
    <t>4.1</t>
  </si>
  <si>
    <t>Indicador de investimento por aluno</t>
  </si>
  <si>
    <t>4.1 - Investimento educacional por aluno da educação infantil</t>
  </si>
  <si>
    <t>4.10</t>
  </si>
  <si>
    <t>4.10 - Despesa com professores por aluno da educação básica</t>
  </si>
  <si>
    <t>4.11</t>
  </si>
  <si>
    <t>4.11 - Despesas com profissionais não docentes da área educacional por aluno da educação básica</t>
  </si>
  <si>
    <t>4.2</t>
  </si>
  <si>
    <t>4.2 - Investimento educacional por aluno do ensino fundamental</t>
  </si>
  <si>
    <t>4.8</t>
  </si>
  <si>
    <t>4.8 - Investimento educacional por aluno da educação básica</t>
  </si>
  <si>
    <t>4.9</t>
  </si>
  <si>
    <t>4.9 - Investimento educacional por aluno</t>
  </si>
  <si>
    <t>Ataléia</t>
  </si>
  <si>
    <t>Bertópolis</t>
  </si>
  <si>
    <t>Carlos Chagas</t>
  </si>
  <si>
    <t>Catuji</t>
  </si>
  <si>
    <t>Crisólita</t>
  </si>
  <si>
    <t>Franciscópolis</t>
  </si>
  <si>
    <t>Frei Gaspar</t>
  </si>
  <si>
    <t>Fronteira dos Vales</t>
  </si>
  <si>
    <t>Itaipé</t>
  </si>
  <si>
    <t>Ladainha</t>
  </si>
  <si>
    <t>Machacalis</t>
  </si>
  <si>
    <t>Malacacheta</t>
  </si>
  <si>
    <t>Nanuque</t>
  </si>
  <si>
    <t>Novo Oriente de Minas</t>
  </si>
  <si>
    <t>Ouro Verde de Minas</t>
  </si>
  <si>
    <t>Pavão</t>
  </si>
  <si>
    <t>Poté</t>
  </si>
  <si>
    <t>Santa Helena de Minas</t>
  </si>
  <si>
    <t>Serra dos Aimorés</t>
  </si>
  <si>
    <t>Setubinha</t>
  </si>
  <si>
    <t>Teófilo Otoni</t>
  </si>
  <si>
    <t>Umburatiba</t>
  </si>
  <si>
    <t>KEY</t>
  </si>
  <si>
    <t>CIDADE</t>
  </si>
  <si>
    <t>GASTO POR ALUNO DO EF - SIOPE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</si>
</sst>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43" fontId="0" fillId="0" borderId="0" xfId="1" applyFont="1"/>
    <xf numFmtId="0" fontId="3" fillId="0" borderId="2" xfId="0" applyFont="1" applyBorder="1"/>
    <xf numFmtId="0" fontId="1" fillId="2" borderId="0" xfId="0" applyFont="1" applyFill="1"/>
    <xf numFmtId="43" fontId="0" fillId="2" borderId="0" xfId="1" applyFont="1" applyFill="1"/>
    <xf numFmtId="0" fontId="3" fillId="6" borderId="2" xfId="0" applyFont="1" applyFill="1" applyBorder="1"/>
    <xf numFmtId="43" fontId="0" fillId="0" borderId="0" xfId="0" applyNumberFormat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5" borderId="0" xfId="0" applyFill="1" applyAlignment="1">
      <alignment horizontal="left"/>
    </xf>
  </cellXfs>
  <cellStyles count="2">
    <cellStyle name="Normal" xfId="0" builtinId="0"/>
    <cellStyle name="Vírgula" xfId="1" builtinId="3"/>
  </cellStyles>
  <dxfs count="2"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647D0-A34C-4FC4-8D0E-7E191AC98DAE}">
  <sheetPr filterMode="1"/>
  <dimension ref="A1:L3207"/>
  <sheetViews>
    <sheetView tabSelected="1" topLeftCell="B1" workbookViewId="0">
      <selection activeCell="H3211" sqref="H3211"/>
    </sheetView>
  </sheetViews>
  <sheetFormatPr defaultRowHeight="14.5" x14ac:dyDescent="0.35"/>
  <cols>
    <col min="1" max="1" width="0" hidden="1" customWidth="1"/>
    <col min="2" max="2" width="12" bestFit="1" customWidth="1"/>
    <col min="3" max="3" width="19.26953125" bestFit="1" customWidth="1"/>
    <col min="5" max="7" width="0" hidden="1" customWidth="1"/>
    <col min="8" max="8" width="29.81640625" bestFit="1" customWidth="1"/>
    <col min="9" max="9" width="52.453125" customWidth="1"/>
    <col min="10" max="10" width="9.1796875" bestFit="1" customWidth="1"/>
    <col min="12" max="12" width="13.81640625" bestFit="1" customWidth="1"/>
  </cols>
  <sheetData>
    <row r="1" spans="1:10" x14ac:dyDescent="0.35">
      <c r="B1" s="11" t="s">
        <v>65</v>
      </c>
      <c r="C1" s="11"/>
      <c r="D1" s="11"/>
      <c r="E1" s="12"/>
      <c r="F1" s="12"/>
      <c r="G1" s="12"/>
      <c r="H1" s="11"/>
      <c r="I1" s="11"/>
      <c r="J1" s="11"/>
    </row>
    <row r="2" spans="1:10" x14ac:dyDescent="0.35">
      <c r="A2" t="s">
        <v>63</v>
      </c>
      <c r="B2" s="6" t="s">
        <v>0</v>
      </c>
      <c r="C2" s="6" t="s">
        <v>1</v>
      </c>
      <c r="D2" s="6" t="s">
        <v>2</v>
      </c>
      <c r="E2" t="s">
        <v>3</v>
      </c>
      <c r="F2" t="s">
        <v>4</v>
      </c>
      <c r="G2" t="s">
        <v>5</v>
      </c>
      <c r="H2" s="6" t="s">
        <v>6</v>
      </c>
      <c r="I2" s="6" t="s">
        <v>7</v>
      </c>
      <c r="J2" s="9" t="s">
        <v>8</v>
      </c>
    </row>
    <row r="3" spans="1:10" hidden="1" x14ac:dyDescent="0.35">
      <c r="A3" t="str">
        <f>C3&amp;D3&amp;G3</f>
        <v>Águas Formosas20151.1</v>
      </c>
      <c r="B3">
        <v>3100906</v>
      </c>
      <c r="C3" t="s">
        <v>9</v>
      </c>
      <c r="D3">
        <v>2015</v>
      </c>
      <c r="E3">
        <v>1</v>
      </c>
      <c r="F3">
        <v>24</v>
      </c>
      <c r="G3" t="s">
        <v>10</v>
      </c>
      <c r="H3" t="s">
        <v>11</v>
      </c>
      <c r="I3" s="1" t="s">
        <v>12</v>
      </c>
      <c r="J3">
        <v>0.28199999999999997</v>
      </c>
    </row>
    <row r="4" spans="1:10" hidden="1" x14ac:dyDescent="0.35">
      <c r="A4" t="str">
        <f t="shared" ref="A4:A67" si="0">C4&amp;D4&amp;G4</f>
        <v>Águas Formosas20151.2</v>
      </c>
      <c r="B4">
        <v>3100906</v>
      </c>
      <c r="C4" t="s">
        <v>9</v>
      </c>
      <c r="D4">
        <v>2015</v>
      </c>
      <c r="E4">
        <v>1</v>
      </c>
      <c r="F4">
        <v>67</v>
      </c>
      <c r="G4" t="s">
        <v>13</v>
      </c>
      <c r="H4" t="s">
        <v>11</v>
      </c>
      <c r="I4" s="1" t="s">
        <v>14</v>
      </c>
      <c r="J4">
        <v>0.71940000000000004</v>
      </c>
    </row>
    <row r="5" spans="1:10" hidden="1" x14ac:dyDescent="0.35">
      <c r="A5" t="str">
        <f t="shared" si="0"/>
        <v>Águas Formosas20151.3</v>
      </c>
      <c r="B5">
        <v>3100906</v>
      </c>
      <c r="C5" t="s">
        <v>9</v>
      </c>
      <c r="D5">
        <v>2015</v>
      </c>
      <c r="E5">
        <v>1</v>
      </c>
      <c r="F5">
        <v>68</v>
      </c>
      <c r="G5" t="s">
        <v>15</v>
      </c>
      <c r="H5" t="s">
        <v>11</v>
      </c>
      <c r="I5" s="1" t="s">
        <v>16</v>
      </c>
      <c r="J5">
        <v>0.27279999999999999</v>
      </c>
    </row>
    <row r="6" spans="1:10" hidden="1" x14ac:dyDescent="0.35">
      <c r="A6" t="str">
        <f t="shared" si="0"/>
        <v>Águas Formosas20152.1</v>
      </c>
      <c r="B6">
        <v>3100906</v>
      </c>
      <c r="C6" t="s">
        <v>9</v>
      </c>
      <c r="D6">
        <v>2015</v>
      </c>
      <c r="E6">
        <v>1</v>
      </c>
      <c r="F6">
        <v>28</v>
      </c>
      <c r="G6" t="s">
        <v>17</v>
      </c>
      <c r="H6" t="s">
        <v>18</v>
      </c>
      <c r="I6" s="1" t="s">
        <v>19</v>
      </c>
      <c r="J6">
        <v>0.22059999999999999</v>
      </c>
    </row>
    <row r="7" spans="1:10" hidden="1" x14ac:dyDescent="0.35">
      <c r="A7" t="str">
        <f t="shared" si="0"/>
        <v>Águas Formosas20152.2</v>
      </c>
      <c r="B7">
        <v>3100906</v>
      </c>
      <c r="C7" t="s">
        <v>9</v>
      </c>
      <c r="D7">
        <v>2015</v>
      </c>
      <c r="E7">
        <v>1</v>
      </c>
      <c r="F7">
        <v>29</v>
      </c>
      <c r="G7" t="s">
        <v>20</v>
      </c>
      <c r="H7" t="s">
        <v>18</v>
      </c>
      <c r="I7" s="1" t="s">
        <v>21</v>
      </c>
      <c r="J7">
        <v>0.67469999999999997</v>
      </c>
    </row>
    <row r="8" spans="1:10" hidden="1" x14ac:dyDescent="0.35">
      <c r="A8" t="str">
        <f t="shared" si="0"/>
        <v>Águas Formosas20152.4</v>
      </c>
      <c r="B8">
        <v>3100906</v>
      </c>
      <c r="C8" t="s">
        <v>9</v>
      </c>
      <c r="D8">
        <v>2015</v>
      </c>
      <c r="E8">
        <v>1</v>
      </c>
      <c r="F8">
        <v>31</v>
      </c>
      <c r="G8" t="s">
        <v>22</v>
      </c>
      <c r="H8" t="s">
        <v>18</v>
      </c>
      <c r="I8" s="1" t="s">
        <v>23</v>
      </c>
      <c r="J8">
        <v>0.37109999999999999</v>
      </c>
    </row>
    <row r="9" spans="1:10" hidden="1" x14ac:dyDescent="0.35">
      <c r="A9" t="str">
        <f t="shared" si="0"/>
        <v>Águas Formosas20152.5</v>
      </c>
      <c r="B9">
        <v>3100906</v>
      </c>
      <c r="C9" t="s">
        <v>9</v>
      </c>
      <c r="D9">
        <v>2015</v>
      </c>
      <c r="E9">
        <v>1</v>
      </c>
      <c r="F9">
        <v>32</v>
      </c>
      <c r="G9" t="s">
        <v>24</v>
      </c>
      <c r="H9" t="s">
        <v>18</v>
      </c>
      <c r="I9" s="1" t="s">
        <v>25</v>
      </c>
      <c r="J9">
        <v>0.59850000000000003</v>
      </c>
    </row>
    <row r="10" spans="1:10" hidden="1" x14ac:dyDescent="0.35">
      <c r="A10" t="str">
        <f t="shared" si="0"/>
        <v>Águas Formosas20152.8</v>
      </c>
      <c r="B10">
        <v>3100906</v>
      </c>
      <c r="C10" t="s">
        <v>9</v>
      </c>
      <c r="D10">
        <v>2015</v>
      </c>
      <c r="E10">
        <v>1</v>
      </c>
      <c r="F10">
        <v>35</v>
      </c>
      <c r="G10" t="s">
        <v>26</v>
      </c>
      <c r="H10" t="s">
        <v>18</v>
      </c>
      <c r="I10" s="1" t="s">
        <v>27</v>
      </c>
      <c r="J10">
        <v>0.30869999999999997</v>
      </c>
    </row>
    <row r="11" spans="1:10" hidden="1" x14ac:dyDescent="0.35">
      <c r="A11" t="str">
        <f t="shared" si="0"/>
        <v>Águas Formosas20154.1</v>
      </c>
      <c r="B11">
        <v>3100906</v>
      </c>
      <c r="C11" t="s">
        <v>9</v>
      </c>
      <c r="D11">
        <v>2015</v>
      </c>
      <c r="E11">
        <v>1</v>
      </c>
      <c r="F11">
        <v>44</v>
      </c>
      <c r="G11" t="s">
        <v>28</v>
      </c>
      <c r="H11" t="s">
        <v>29</v>
      </c>
      <c r="I11" s="1" t="s">
        <v>30</v>
      </c>
      <c r="J11">
        <v>4090.75</v>
      </c>
    </row>
    <row r="12" spans="1:10" hidden="1" x14ac:dyDescent="0.35">
      <c r="A12" t="str">
        <f t="shared" si="0"/>
        <v>Águas Formosas20154.10</v>
      </c>
      <c r="B12">
        <v>3100906</v>
      </c>
      <c r="C12" t="s">
        <v>9</v>
      </c>
      <c r="D12">
        <v>2015</v>
      </c>
      <c r="E12">
        <v>1</v>
      </c>
      <c r="F12">
        <v>58</v>
      </c>
      <c r="G12" t="s">
        <v>31</v>
      </c>
      <c r="H12" t="s">
        <v>29</v>
      </c>
      <c r="I12" s="1" t="s">
        <v>32</v>
      </c>
      <c r="J12">
        <v>2413.48</v>
      </c>
    </row>
    <row r="13" spans="1:10" hidden="1" x14ac:dyDescent="0.35">
      <c r="A13" t="str">
        <f t="shared" si="0"/>
        <v>Águas Formosas20154.11</v>
      </c>
      <c r="B13">
        <v>3100906</v>
      </c>
      <c r="C13" t="s">
        <v>9</v>
      </c>
      <c r="D13">
        <v>2015</v>
      </c>
      <c r="E13">
        <v>1</v>
      </c>
      <c r="F13">
        <v>59</v>
      </c>
      <c r="G13" t="s">
        <v>33</v>
      </c>
      <c r="H13" t="s">
        <v>29</v>
      </c>
      <c r="I13" s="1" t="s">
        <v>34</v>
      </c>
      <c r="J13">
        <v>1824.29</v>
      </c>
    </row>
    <row r="14" spans="1:10" hidden="1" x14ac:dyDescent="0.35">
      <c r="A14" t="str">
        <f t="shared" si="0"/>
        <v>Águas Formosas20154.2</v>
      </c>
      <c r="B14">
        <v>3100906</v>
      </c>
      <c r="C14" t="s">
        <v>9</v>
      </c>
      <c r="D14">
        <v>2015</v>
      </c>
      <c r="E14">
        <v>1</v>
      </c>
      <c r="F14">
        <v>45</v>
      </c>
      <c r="G14" t="s">
        <v>35</v>
      </c>
      <c r="H14" t="s">
        <v>29</v>
      </c>
      <c r="I14" s="1" t="s">
        <v>36</v>
      </c>
      <c r="J14">
        <v>10390.98</v>
      </c>
    </row>
    <row r="15" spans="1:10" hidden="1" x14ac:dyDescent="0.35">
      <c r="A15" t="str">
        <f t="shared" si="0"/>
        <v>Águas Formosas20154.8</v>
      </c>
      <c r="B15">
        <v>3100906</v>
      </c>
      <c r="C15" t="s">
        <v>9</v>
      </c>
      <c r="D15">
        <v>2015</v>
      </c>
      <c r="E15">
        <v>1</v>
      </c>
      <c r="F15">
        <v>56</v>
      </c>
      <c r="G15" t="s">
        <v>37</v>
      </c>
      <c r="H15" t="s">
        <v>29</v>
      </c>
      <c r="I15" s="1" t="s">
        <v>38</v>
      </c>
      <c r="J15">
        <v>6113.04</v>
      </c>
    </row>
    <row r="16" spans="1:10" hidden="1" x14ac:dyDescent="0.35">
      <c r="A16" t="str">
        <f t="shared" si="0"/>
        <v>Águas Formosas20154.9</v>
      </c>
      <c r="B16">
        <v>3100906</v>
      </c>
      <c r="C16" t="s">
        <v>9</v>
      </c>
      <c r="D16">
        <v>2015</v>
      </c>
      <c r="E16">
        <v>1</v>
      </c>
      <c r="F16">
        <v>57</v>
      </c>
      <c r="G16" t="s">
        <v>39</v>
      </c>
      <c r="H16" t="s">
        <v>29</v>
      </c>
      <c r="I16" s="1" t="s">
        <v>40</v>
      </c>
      <c r="J16">
        <v>6113.04</v>
      </c>
    </row>
    <row r="17" spans="1:10" hidden="1" x14ac:dyDescent="0.35">
      <c r="A17" t="str">
        <f t="shared" si="0"/>
        <v>Ataléia20151.1</v>
      </c>
      <c r="B17">
        <v>3104700</v>
      </c>
      <c r="C17" t="s">
        <v>41</v>
      </c>
      <c r="D17">
        <v>2015</v>
      </c>
      <c r="E17">
        <v>1</v>
      </c>
      <c r="F17">
        <v>24</v>
      </c>
      <c r="G17" t="s">
        <v>10</v>
      </c>
      <c r="H17" t="s">
        <v>11</v>
      </c>
      <c r="I17" s="1" t="s">
        <v>12</v>
      </c>
      <c r="J17">
        <v>0.308</v>
      </c>
    </row>
    <row r="18" spans="1:10" hidden="1" x14ac:dyDescent="0.35">
      <c r="A18" t="str">
        <f t="shared" si="0"/>
        <v>Ataléia20151.2</v>
      </c>
      <c r="B18">
        <v>3104700</v>
      </c>
      <c r="C18" t="s">
        <v>41</v>
      </c>
      <c r="D18">
        <v>2015</v>
      </c>
      <c r="E18">
        <v>1</v>
      </c>
      <c r="F18">
        <v>67</v>
      </c>
      <c r="G18" t="s">
        <v>13</v>
      </c>
      <c r="H18" t="s">
        <v>11</v>
      </c>
      <c r="I18" s="1" t="s">
        <v>14</v>
      </c>
      <c r="J18">
        <v>0.95440000000000003</v>
      </c>
    </row>
    <row r="19" spans="1:10" hidden="1" x14ac:dyDescent="0.35">
      <c r="A19" t="str">
        <f t="shared" si="0"/>
        <v>Ataléia20151.3</v>
      </c>
      <c r="B19">
        <v>3104700</v>
      </c>
      <c r="C19" t="s">
        <v>41</v>
      </c>
      <c r="D19">
        <v>2015</v>
      </c>
      <c r="E19">
        <v>1</v>
      </c>
      <c r="F19">
        <v>68</v>
      </c>
      <c r="G19" t="s">
        <v>15</v>
      </c>
      <c r="H19" t="s">
        <v>11</v>
      </c>
      <c r="I19" s="1" t="s">
        <v>16</v>
      </c>
      <c r="J19">
        <v>4.5499999999999999E-2</v>
      </c>
    </row>
    <row r="20" spans="1:10" hidden="1" x14ac:dyDescent="0.35">
      <c r="A20" t="str">
        <f t="shared" si="0"/>
        <v>Ataléia20152.1</v>
      </c>
      <c r="B20">
        <v>3104700</v>
      </c>
      <c r="C20" t="s">
        <v>41</v>
      </c>
      <c r="D20">
        <v>2015</v>
      </c>
      <c r="E20">
        <v>1</v>
      </c>
      <c r="F20">
        <v>28</v>
      </c>
      <c r="G20" t="s">
        <v>17</v>
      </c>
      <c r="H20" t="s">
        <v>18</v>
      </c>
      <c r="I20" s="1" t="s">
        <v>19</v>
      </c>
      <c r="J20">
        <v>0.12820000000000001</v>
      </c>
    </row>
    <row r="21" spans="1:10" hidden="1" x14ac:dyDescent="0.35">
      <c r="A21" t="str">
        <f t="shared" si="0"/>
        <v>Ataléia20152.2</v>
      </c>
      <c r="B21">
        <v>3104700</v>
      </c>
      <c r="C21" t="s">
        <v>41</v>
      </c>
      <c r="D21">
        <v>2015</v>
      </c>
      <c r="E21">
        <v>1</v>
      </c>
      <c r="F21">
        <v>29</v>
      </c>
      <c r="G21" t="s">
        <v>20</v>
      </c>
      <c r="H21" t="s">
        <v>18</v>
      </c>
      <c r="I21" s="1" t="s">
        <v>21</v>
      </c>
      <c r="J21">
        <v>0.7863</v>
      </c>
    </row>
    <row r="22" spans="1:10" hidden="1" x14ac:dyDescent="0.35">
      <c r="A22" t="str">
        <f t="shared" si="0"/>
        <v>Ataléia20152.4</v>
      </c>
      <c r="B22">
        <v>3104700</v>
      </c>
      <c r="C22" t="s">
        <v>41</v>
      </c>
      <c r="D22">
        <v>2015</v>
      </c>
      <c r="E22">
        <v>1</v>
      </c>
      <c r="F22">
        <v>31</v>
      </c>
      <c r="G22" t="s">
        <v>22</v>
      </c>
      <c r="H22" t="s">
        <v>18</v>
      </c>
      <c r="I22" s="1" t="s">
        <v>23</v>
      </c>
      <c r="J22">
        <v>0.15029999999999999</v>
      </c>
    </row>
    <row r="23" spans="1:10" hidden="1" x14ac:dyDescent="0.35">
      <c r="A23" t="str">
        <f t="shared" si="0"/>
        <v>Ataléia20152.5</v>
      </c>
      <c r="B23">
        <v>3104700</v>
      </c>
      <c r="C23" t="s">
        <v>41</v>
      </c>
      <c r="D23">
        <v>2015</v>
      </c>
      <c r="E23">
        <v>1</v>
      </c>
      <c r="F23">
        <v>32</v>
      </c>
      <c r="G23" t="s">
        <v>24</v>
      </c>
      <c r="H23" t="s">
        <v>18</v>
      </c>
      <c r="I23" s="1" t="s">
        <v>25</v>
      </c>
      <c r="J23">
        <v>0.79530000000000001</v>
      </c>
    </row>
    <row r="24" spans="1:10" hidden="1" x14ac:dyDescent="0.35">
      <c r="A24" t="str">
        <f t="shared" si="0"/>
        <v>Ataléia20152.8</v>
      </c>
      <c r="B24">
        <v>3104700</v>
      </c>
      <c r="C24" t="s">
        <v>41</v>
      </c>
      <c r="D24">
        <v>2015</v>
      </c>
      <c r="E24">
        <v>1</v>
      </c>
      <c r="F24">
        <v>35</v>
      </c>
      <c r="G24" t="s">
        <v>26</v>
      </c>
      <c r="H24" t="s">
        <v>18</v>
      </c>
      <c r="I24" s="1" t="s">
        <v>27</v>
      </c>
      <c r="J24">
        <v>0.24940000000000001</v>
      </c>
    </row>
    <row r="25" spans="1:10" hidden="1" x14ac:dyDescent="0.35">
      <c r="A25" t="str">
        <f t="shared" si="0"/>
        <v>Ataléia20154.1</v>
      </c>
      <c r="B25">
        <v>3104700</v>
      </c>
      <c r="C25" t="s">
        <v>41</v>
      </c>
      <c r="D25">
        <v>2015</v>
      </c>
      <c r="E25">
        <v>1</v>
      </c>
      <c r="F25">
        <v>44</v>
      </c>
      <c r="G25" t="s">
        <v>28</v>
      </c>
      <c r="H25" t="s">
        <v>29</v>
      </c>
      <c r="I25" s="1" t="s">
        <v>30</v>
      </c>
      <c r="J25">
        <v>2701</v>
      </c>
    </row>
    <row r="26" spans="1:10" hidden="1" x14ac:dyDescent="0.35">
      <c r="A26" t="str">
        <f t="shared" si="0"/>
        <v>Ataléia20154.10</v>
      </c>
      <c r="B26">
        <v>3104700</v>
      </c>
      <c r="C26" t="s">
        <v>41</v>
      </c>
      <c r="D26">
        <v>2015</v>
      </c>
      <c r="E26">
        <v>1</v>
      </c>
      <c r="F26">
        <v>58</v>
      </c>
      <c r="G26" t="s">
        <v>31</v>
      </c>
      <c r="H26" t="s">
        <v>29</v>
      </c>
      <c r="I26" s="1" t="s">
        <v>32</v>
      </c>
      <c r="J26">
        <v>4298.71</v>
      </c>
    </row>
    <row r="27" spans="1:10" hidden="1" x14ac:dyDescent="0.35">
      <c r="A27" t="str">
        <f t="shared" si="0"/>
        <v>Ataléia20154.11</v>
      </c>
      <c r="B27">
        <v>3104700</v>
      </c>
      <c r="C27" t="s">
        <v>41</v>
      </c>
      <c r="D27">
        <v>2015</v>
      </c>
      <c r="E27">
        <v>1</v>
      </c>
      <c r="F27">
        <v>59</v>
      </c>
      <c r="G27" t="s">
        <v>33</v>
      </c>
      <c r="H27" t="s">
        <v>29</v>
      </c>
      <c r="I27" s="1" t="s">
        <v>34</v>
      </c>
      <c r="J27">
        <v>875.58</v>
      </c>
    </row>
    <row r="28" spans="1:10" hidden="1" x14ac:dyDescent="0.35">
      <c r="A28" t="str">
        <f t="shared" si="0"/>
        <v>Ataléia20154.2</v>
      </c>
      <c r="B28">
        <v>3104700</v>
      </c>
      <c r="C28" t="s">
        <v>41</v>
      </c>
      <c r="D28">
        <v>2015</v>
      </c>
      <c r="E28">
        <v>1</v>
      </c>
      <c r="F28">
        <v>45</v>
      </c>
      <c r="G28" t="s">
        <v>35</v>
      </c>
      <c r="H28" t="s">
        <v>29</v>
      </c>
      <c r="I28" s="1" t="s">
        <v>36</v>
      </c>
      <c r="J28">
        <v>7240.53</v>
      </c>
    </row>
    <row r="29" spans="1:10" hidden="1" x14ac:dyDescent="0.35">
      <c r="A29" t="str">
        <f t="shared" si="0"/>
        <v>Ataléia20154.8</v>
      </c>
      <c r="B29">
        <v>3104700</v>
      </c>
      <c r="C29" t="s">
        <v>41</v>
      </c>
      <c r="D29">
        <v>2015</v>
      </c>
      <c r="E29">
        <v>1</v>
      </c>
      <c r="F29">
        <v>56</v>
      </c>
      <c r="G29" t="s">
        <v>37</v>
      </c>
      <c r="H29" t="s">
        <v>29</v>
      </c>
      <c r="I29" s="1" t="s">
        <v>38</v>
      </c>
      <c r="J29">
        <v>5523.82</v>
      </c>
    </row>
    <row r="30" spans="1:10" hidden="1" x14ac:dyDescent="0.35">
      <c r="A30" t="str">
        <f t="shared" si="0"/>
        <v>Ataléia20154.9</v>
      </c>
      <c r="B30">
        <v>3104700</v>
      </c>
      <c r="C30" t="s">
        <v>41</v>
      </c>
      <c r="D30">
        <v>2015</v>
      </c>
      <c r="E30">
        <v>1</v>
      </c>
      <c r="F30">
        <v>57</v>
      </c>
      <c r="G30" t="s">
        <v>39</v>
      </c>
      <c r="H30" t="s">
        <v>29</v>
      </c>
      <c r="I30" s="1" t="s">
        <v>40</v>
      </c>
      <c r="J30">
        <v>5523.82</v>
      </c>
    </row>
    <row r="31" spans="1:10" hidden="1" x14ac:dyDescent="0.35">
      <c r="A31" t="str">
        <f t="shared" si="0"/>
        <v>Bertópolis20151.1</v>
      </c>
      <c r="B31">
        <v>3106606</v>
      </c>
      <c r="C31" t="s">
        <v>42</v>
      </c>
      <c r="D31">
        <v>2015</v>
      </c>
      <c r="E31">
        <v>1</v>
      </c>
      <c r="F31">
        <v>24</v>
      </c>
      <c r="G31" t="s">
        <v>10</v>
      </c>
      <c r="H31" t="s">
        <v>11</v>
      </c>
      <c r="I31" s="1" t="s">
        <v>12</v>
      </c>
      <c r="J31">
        <v>0.30320000000000003</v>
      </c>
    </row>
    <row r="32" spans="1:10" hidden="1" x14ac:dyDescent="0.35">
      <c r="A32" t="str">
        <f t="shared" si="0"/>
        <v>Bertópolis20151.2</v>
      </c>
      <c r="B32">
        <v>3106606</v>
      </c>
      <c r="C32" t="s">
        <v>42</v>
      </c>
      <c r="D32">
        <v>2015</v>
      </c>
      <c r="E32">
        <v>1</v>
      </c>
      <c r="F32">
        <v>67</v>
      </c>
      <c r="G32" t="s">
        <v>13</v>
      </c>
      <c r="H32" t="s">
        <v>11</v>
      </c>
      <c r="I32" s="1" t="s">
        <v>14</v>
      </c>
      <c r="J32">
        <v>0.8014</v>
      </c>
    </row>
    <row r="33" spans="1:10" hidden="1" x14ac:dyDescent="0.35">
      <c r="A33" t="str">
        <f t="shared" si="0"/>
        <v>Bertópolis20151.3</v>
      </c>
      <c r="B33">
        <v>3106606</v>
      </c>
      <c r="C33" t="s">
        <v>42</v>
      </c>
      <c r="D33">
        <v>2015</v>
      </c>
      <c r="E33">
        <v>1</v>
      </c>
      <c r="F33">
        <v>68</v>
      </c>
      <c r="G33" t="s">
        <v>15</v>
      </c>
      <c r="H33" t="s">
        <v>11</v>
      </c>
      <c r="I33" s="1" t="s">
        <v>16</v>
      </c>
      <c r="J33">
        <v>0.1565</v>
      </c>
    </row>
    <row r="34" spans="1:10" hidden="1" x14ac:dyDescent="0.35">
      <c r="A34" t="str">
        <f t="shared" si="0"/>
        <v>Bertópolis20152.1</v>
      </c>
      <c r="B34">
        <v>3106606</v>
      </c>
      <c r="C34" t="s">
        <v>42</v>
      </c>
      <c r="D34">
        <v>2015</v>
      </c>
      <c r="E34">
        <v>1</v>
      </c>
      <c r="F34">
        <v>28</v>
      </c>
      <c r="G34" t="s">
        <v>17</v>
      </c>
      <c r="H34" t="s">
        <v>18</v>
      </c>
      <c r="I34" s="1" t="s">
        <v>19</v>
      </c>
    </row>
    <row r="35" spans="1:10" hidden="1" x14ac:dyDescent="0.35">
      <c r="A35" t="str">
        <f t="shared" si="0"/>
        <v>Bertópolis20152.2</v>
      </c>
      <c r="B35">
        <v>3106606</v>
      </c>
      <c r="C35" t="s">
        <v>42</v>
      </c>
      <c r="D35">
        <v>2015</v>
      </c>
      <c r="E35">
        <v>1</v>
      </c>
      <c r="F35">
        <v>29</v>
      </c>
      <c r="G35" t="s">
        <v>20</v>
      </c>
      <c r="H35" t="s">
        <v>18</v>
      </c>
      <c r="I35" s="1" t="s">
        <v>21</v>
      </c>
      <c r="J35">
        <v>0.73229999999999995</v>
      </c>
    </row>
    <row r="36" spans="1:10" hidden="1" x14ac:dyDescent="0.35">
      <c r="A36" t="str">
        <f t="shared" si="0"/>
        <v>Bertópolis20152.4</v>
      </c>
      <c r="B36">
        <v>3106606</v>
      </c>
      <c r="C36" t="s">
        <v>42</v>
      </c>
      <c r="D36">
        <v>2015</v>
      </c>
      <c r="E36">
        <v>1</v>
      </c>
      <c r="F36">
        <v>31</v>
      </c>
      <c r="G36" t="s">
        <v>22</v>
      </c>
      <c r="H36" t="s">
        <v>18</v>
      </c>
      <c r="I36" s="1" t="s">
        <v>23</v>
      </c>
      <c r="J36">
        <v>0.1928</v>
      </c>
    </row>
    <row r="37" spans="1:10" hidden="1" x14ac:dyDescent="0.35">
      <c r="A37" t="str">
        <f t="shared" si="0"/>
        <v>Bertópolis20152.5</v>
      </c>
      <c r="B37">
        <v>3106606</v>
      </c>
      <c r="C37" t="s">
        <v>42</v>
      </c>
      <c r="D37">
        <v>2015</v>
      </c>
      <c r="E37">
        <v>1</v>
      </c>
      <c r="F37">
        <v>32</v>
      </c>
      <c r="G37" t="s">
        <v>24</v>
      </c>
      <c r="H37" t="s">
        <v>18</v>
      </c>
      <c r="I37" s="1" t="s">
        <v>25</v>
      </c>
      <c r="J37">
        <v>0.7742</v>
      </c>
    </row>
    <row r="38" spans="1:10" hidden="1" x14ac:dyDescent="0.35">
      <c r="A38" t="str">
        <f t="shared" si="0"/>
        <v>Bertópolis20152.8</v>
      </c>
      <c r="B38">
        <v>3106606</v>
      </c>
      <c r="C38" t="s">
        <v>42</v>
      </c>
      <c r="D38">
        <v>2015</v>
      </c>
      <c r="E38">
        <v>1</v>
      </c>
      <c r="F38">
        <v>35</v>
      </c>
      <c r="G38" t="s">
        <v>26</v>
      </c>
      <c r="H38" t="s">
        <v>18</v>
      </c>
      <c r="I38" s="1" t="s">
        <v>27</v>
      </c>
      <c r="J38">
        <v>0.22239999999999999</v>
      </c>
    </row>
    <row r="39" spans="1:10" hidden="1" x14ac:dyDescent="0.35">
      <c r="A39" t="str">
        <f t="shared" si="0"/>
        <v>Bertópolis20154.1</v>
      </c>
      <c r="B39">
        <v>3106606</v>
      </c>
      <c r="C39" t="s">
        <v>42</v>
      </c>
      <c r="D39">
        <v>2015</v>
      </c>
      <c r="E39">
        <v>1</v>
      </c>
      <c r="F39">
        <v>44</v>
      </c>
      <c r="G39" t="s">
        <v>28</v>
      </c>
      <c r="H39" t="s">
        <v>29</v>
      </c>
      <c r="I39" s="1" t="s">
        <v>30</v>
      </c>
      <c r="J39">
        <v>4123.82</v>
      </c>
    </row>
    <row r="40" spans="1:10" hidden="1" x14ac:dyDescent="0.35">
      <c r="A40" t="str">
        <f t="shared" si="0"/>
        <v>Bertópolis20154.10</v>
      </c>
      <c r="B40">
        <v>3106606</v>
      </c>
      <c r="C40" t="s">
        <v>42</v>
      </c>
      <c r="D40">
        <v>2015</v>
      </c>
      <c r="E40">
        <v>1</v>
      </c>
      <c r="F40">
        <v>58</v>
      </c>
      <c r="G40" t="s">
        <v>31</v>
      </c>
      <c r="H40" t="s">
        <v>29</v>
      </c>
      <c r="I40" s="1" t="s">
        <v>32</v>
      </c>
      <c r="J40">
        <v>4240.5200000000004</v>
      </c>
    </row>
    <row r="41" spans="1:10" hidden="1" x14ac:dyDescent="0.35">
      <c r="A41" t="str">
        <f t="shared" si="0"/>
        <v>Bertópolis20154.11</v>
      </c>
      <c r="B41">
        <v>3106606</v>
      </c>
      <c r="C41" t="s">
        <v>42</v>
      </c>
      <c r="D41">
        <v>2015</v>
      </c>
      <c r="E41">
        <v>1</v>
      </c>
      <c r="F41">
        <v>59</v>
      </c>
      <c r="G41" t="s">
        <v>33</v>
      </c>
      <c r="H41" t="s">
        <v>29</v>
      </c>
      <c r="I41" s="1" t="s">
        <v>34</v>
      </c>
      <c r="J41">
        <v>706.77</v>
      </c>
    </row>
    <row r="42" spans="1:10" hidden="1" x14ac:dyDescent="0.35">
      <c r="A42" t="str">
        <f t="shared" si="0"/>
        <v>Bertópolis20154.2</v>
      </c>
      <c r="B42">
        <v>3106606</v>
      </c>
      <c r="C42" t="s">
        <v>42</v>
      </c>
      <c r="D42">
        <v>2015</v>
      </c>
      <c r="E42">
        <v>1</v>
      </c>
      <c r="F42">
        <v>45</v>
      </c>
      <c r="G42" t="s">
        <v>35</v>
      </c>
      <c r="H42" t="s">
        <v>29</v>
      </c>
      <c r="I42" s="1" t="s">
        <v>36</v>
      </c>
      <c r="J42">
        <v>8207.5</v>
      </c>
    </row>
    <row r="43" spans="1:10" hidden="1" x14ac:dyDescent="0.35">
      <c r="A43" t="str">
        <f t="shared" si="0"/>
        <v>Bertópolis20154.8</v>
      </c>
      <c r="B43">
        <v>3106606</v>
      </c>
      <c r="C43" t="s">
        <v>42</v>
      </c>
      <c r="D43">
        <v>2015</v>
      </c>
      <c r="E43">
        <v>1</v>
      </c>
      <c r="F43">
        <v>56</v>
      </c>
      <c r="G43" t="s">
        <v>37</v>
      </c>
      <c r="H43" t="s">
        <v>29</v>
      </c>
      <c r="I43" s="1" t="s">
        <v>38</v>
      </c>
      <c r="J43">
        <v>6853.99</v>
      </c>
    </row>
    <row r="44" spans="1:10" hidden="1" x14ac:dyDescent="0.35">
      <c r="A44" t="str">
        <f t="shared" si="0"/>
        <v>Bertópolis20154.9</v>
      </c>
      <c r="B44">
        <v>3106606</v>
      </c>
      <c r="C44" t="s">
        <v>42</v>
      </c>
      <c r="D44">
        <v>2015</v>
      </c>
      <c r="E44">
        <v>1</v>
      </c>
      <c r="F44">
        <v>57</v>
      </c>
      <c r="G44" t="s">
        <v>39</v>
      </c>
      <c r="H44" t="s">
        <v>29</v>
      </c>
      <c r="I44" s="1" t="s">
        <v>40</v>
      </c>
      <c r="J44">
        <v>6853.99</v>
      </c>
    </row>
    <row r="45" spans="1:10" hidden="1" x14ac:dyDescent="0.35">
      <c r="A45" t="str">
        <f t="shared" si="0"/>
        <v>Carlos Chagas20151.1</v>
      </c>
      <c r="B45">
        <v>3113701</v>
      </c>
      <c r="C45" t="s">
        <v>43</v>
      </c>
      <c r="D45">
        <v>2015</v>
      </c>
      <c r="E45">
        <v>1</v>
      </c>
      <c r="F45">
        <v>24</v>
      </c>
      <c r="G45" t="s">
        <v>10</v>
      </c>
      <c r="H45" t="s">
        <v>11</v>
      </c>
      <c r="I45" s="1" t="s">
        <v>12</v>
      </c>
      <c r="J45">
        <v>0.30209999999999998</v>
      </c>
    </row>
    <row r="46" spans="1:10" hidden="1" x14ac:dyDescent="0.35">
      <c r="A46" t="str">
        <f t="shared" si="0"/>
        <v>Carlos Chagas20151.2</v>
      </c>
      <c r="B46">
        <v>3113701</v>
      </c>
      <c r="C46" t="s">
        <v>43</v>
      </c>
      <c r="D46">
        <v>2015</v>
      </c>
      <c r="E46">
        <v>1</v>
      </c>
      <c r="F46">
        <v>67</v>
      </c>
      <c r="G46" t="s">
        <v>13</v>
      </c>
      <c r="H46" t="s">
        <v>11</v>
      </c>
      <c r="I46" s="1" t="s">
        <v>14</v>
      </c>
      <c r="J46">
        <v>0.87519999999999998</v>
      </c>
    </row>
    <row r="47" spans="1:10" hidden="1" x14ac:dyDescent="0.35">
      <c r="A47" t="str">
        <f t="shared" si="0"/>
        <v>Carlos Chagas20151.3</v>
      </c>
      <c r="B47">
        <v>3113701</v>
      </c>
      <c r="C47" t="s">
        <v>43</v>
      </c>
      <c r="D47">
        <v>2015</v>
      </c>
      <c r="E47">
        <v>1</v>
      </c>
      <c r="F47">
        <v>68</v>
      </c>
      <c r="G47" t="s">
        <v>15</v>
      </c>
      <c r="H47" t="s">
        <v>11</v>
      </c>
      <c r="I47" s="1" t="s">
        <v>16</v>
      </c>
      <c r="J47">
        <v>0.1236</v>
      </c>
    </row>
    <row r="48" spans="1:10" hidden="1" x14ac:dyDescent="0.35">
      <c r="A48" t="str">
        <f t="shared" si="0"/>
        <v>Carlos Chagas20152.1</v>
      </c>
      <c r="B48">
        <v>3113701</v>
      </c>
      <c r="C48" t="s">
        <v>43</v>
      </c>
      <c r="D48">
        <v>2015</v>
      </c>
      <c r="E48">
        <v>1</v>
      </c>
      <c r="F48">
        <v>28</v>
      </c>
      <c r="G48" t="s">
        <v>17</v>
      </c>
      <c r="H48" t="s">
        <v>18</v>
      </c>
      <c r="I48" s="1" t="s">
        <v>19</v>
      </c>
      <c r="J48">
        <v>2.6599999999999999E-2</v>
      </c>
    </row>
    <row r="49" spans="1:10" hidden="1" x14ac:dyDescent="0.35">
      <c r="A49" t="str">
        <f t="shared" si="0"/>
        <v>Carlos Chagas20152.2</v>
      </c>
      <c r="B49">
        <v>3113701</v>
      </c>
      <c r="C49" t="s">
        <v>43</v>
      </c>
      <c r="D49">
        <v>2015</v>
      </c>
      <c r="E49">
        <v>1</v>
      </c>
      <c r="F49">
        <v>29</v>
      </c>
      <c r="G49" t="s">
        <v>20</v>
      </c>
      <c r="H49" t="s">
        <v>18</v>
      </c>
      <c r="I49" s="1" t="s">
        <v>21</v>
      </c>
      <c r="J49">
        <v>0.82469999999999999</v>
      </c>
    </row>
    <row r="50" spans="1:10" hidden="1" x14ac:dyDescent="0.35">
      <c r="A50" t="str">
        <f t="shared" si="0"/>
        <v>Carlos Chagas20152.4</v>
      </c>
      <c r="B50">
        <v>3113701</v>
      </c>
      <c r="C50" t="s">
        <v>43</v>
      </c>
      <c r="D50">
        <v>2015</v>
      </c>
      <c r="E50">
        <v>1</v>
      </c>
      <c r="F50">
        <v>31</v>
      </c>
      <c r="G50" t="s">
        <v>22</v>
      </c>
      <c r="H50" t="s">
        <v>18</v>
      </c>
      <c r="I50" s="1" t="s">
        <v>23</v>
      </c>
      <c r="J50">
        <v>0.1075</v>
      </c>
    </row>
    <row r="51" spans="1:10" hidden="1" x14ac:dyDescent="0.35">
      <c r="A51" t="str">
        <f t="shared" si="0"/>
        <v>Carlos Chagas20152.5</v>
      </c>
      <c r="B51">
        <v>3113701</v>
      </c>
      <c r="C51" t="s">
        <v>43</v>
      </c>
      <c r="D51">
        <v>2015</v>
      </c>
      <c r="E51">
        <v>1</v>
      </c>
      <c r="F51">
        <v>32</v>
      </c>
      <c r="G51" t="s">
        <v>24</v>
      </c>
      <c r="H51" t="s">
        <v>18</v>
      </c>
      <c r="I51" s="1" t="s">
        <v>25</v>
      </c>
      <c r="J51">
        <v>0.83420000000000005</v>
      </c>
    </row>
    <row r="52" spans="1:10" hidden="1" x14ac:dyDescent="0.35">
      <c r="A52" t="str">
        <f t="shared" si="0"/>
        <v>Carlos Chagas20152.8</v>
      </c>
      <c r="B52">
        <v>3113701</v>
      </c>
      <c r="C52" t="s">
        <v>43</v>
      </c>
      <c r="D52">
        <v>2015</v>
      </c>
      <c r="E52">
        <v>1</v>
      </c>
      <c r="F52">
        <v>35</v>
      </c>
      <c r="G52" t="s">
        <v>26</v>
      </c>
      <c r="H52" t="s">
        <v>18</v>
      </c>
      <c r="I52" s="1" t="s">
        <v>27</v>
      </c>
      <c r="J52">
        <v>0.29049999999999998</v>
      </c>
    </row>
    <row r="53" spans="1:10" hidden="1" x14ac:dyDescent="0.35">
      <c r="A53" t="str">
        <f t="shared" si="0"/>
        <v>Carlos Chagas20154.1</v>
      </c>
      <c r="B53">
        <v>3113701</v>
      </c>
      <c r="C53" t="s">
        <v>43</v>
      </c>
      <c r="D53">
        <v>2015</v>
      </c>
      <c r="E53">
        <v>1</v>
      </c>
      <c r="F53">
        <v>44</v>
      </c>
      <c r="G53" t="s">
        <v>28</v>
      </c>
      <c r="H53" t="s">
        <v>29</v>
      </c>
      <c r="I53" s="1" t="s">
        <v>30</v>
      </c>
      <c r="J53">
        <v>2468.4899999999998</v>
      </c>
    </row>
    <row r="54" spans="1:10" hidden="1" x14ac:dyDescent="0.35">
      <c r="A54" t="str">
        <f t="shared" si="0"/>
        <v>Carlos Chagas20154.10</v>
      </c>
      <c r="B54">
        <v>3113701</v>
      </c>
      <c r="C54" t="s">
        <v>43</v>
      </c>
      <c r="D54">
        <v>2015</v>
      </c>
      <c r="E54">
        <v>1</v>
      </c>
      <c r="F54">
        <v>58</v>
      </c>
      <c r="G54" t="s">
        <v>31</v>
      </c>
      <c r="H54" t="s">
        <v>29</v>
      </c>
      <c r="I54" s="1" t="s">
        <v>32</v>
      </c>
      <c r="J54">
        <v>2768.44</v>
      </c>
    </row>
    <row r="55" spans="1:10" hidden="1" x14ac:dyDescent="0.35">
      <c r="A55" t="str">
        <f t="shared" si="0"/>
        <v>Carlos Chagas20154.11</v>
      </c>
      <c r="B55">
        <v>3113701</v>
      </c>
      <c r="C55" t="s">
        <v>43</v>
      </c>
      <c r="D55">
        <v>2015</v>
      </c>
      <c r="E55">
        <v>1</v>
      </c>
      <c r="F55">
        <v>59</v>
      </c>
      <c r="G55" t="s">
        <v>33</v>
      </c>
      <c r="H55" t="s">
        <v>29</v>
      </c>
      <c r="I55" s="1" t="s">
        <v>34</v>
      </c>
      <c r="J55">
        <v>358.88</v>
      </c>
    </row>
    <row r="56" spans="1:10" hidden="1" x14ac:dyDescent="0.35">
      <c r="A56" t="str">
        <f t="shared" si="0"/>
        <v>Carlos Chagas20154.2</v>
      </c>
      <c r="B56">
        <v>3113701</v>
      </c>
      <c r="C56" t="s">
        <v>43</v>
      </c>
      <c r="D56">
        <v>2015</v>
      </c>
      <c r="E56">
        <v>1</v>
      </c>
      <c r="F56">
        <v>45</v>
      </c>
      <c r="G56" t="s">
        <v>35</v>
      </c>
      <c r="H56" t="s">
        <v>29</v>
      </c>
      <c r="I56" s="1" t="s">
        <v>36</v>
      </c>
      <c r="J56">
        <v>5643.97</v>
      </c>
    </row>
    <row r="57" spans="1:10" hidden="1" x14ac:dyDescent="0.35">
      <c r="A57" t="str">
        <f t="shared" si="0"/>
        <v>Carlos Chagas20154.8</v>
      </c>
      <c r="B57">
        <v>3113701</v>
      </c>
      <c r="C57" t="s">
        <v>43</v>
      </c>
      <c r="D57">
        <v>2015</v>
      </c>
      <c r="E57">
        <v>1</v>
      </c>
      <c r="F57">
        <v>56</v>
      </c>
      <c r="G57" t="s">
        <v>37</v>
      </c>
      <c r="H57" t="s">
        <v>29</v>
      </c>
      <c r="I57" s="1" t="s">
        <v>38</v>
      </c>
      <c r="J57">
        <v>4790.17</v>
      </c>
    </row>
    <row r="58" spans="1:10" hidden="1" x14ac:dyDescent="0.35">
      <c r="A58" t="str">
        <f t="shared" si="0"/>
        <v>Carlos Chagas20154.9</v>
      </c>
      <c r="B58">
        <v>3113701</v>
      </c>
      <c r="C58" t="s">
        <v>43</v>
      </c>
      <c r="D58">
        <v>2015</v>
      </c>
      <c r="E58">
        <v>1</v>
      </c>
      <c r="F58">
        <v>57</v>
      </c>
      <c r="G58" t="s">
        <v>39</v>
      </c>
      <c r="H58" t="s">
        <v>29</v>
      </c>
      <c r="I58" s="1" t="s">
        <v>40</v>
      </c>
      <c r="J58">
        <v>4790.41</v>
      </c>
    </row>
    <row r="59" spans="1:10" hidden="1" x14ac:dyDescent="0.35">
      <c r="A59" t="str">
        <f t="shared" si="0"/>
        <v>Catuji20151.1</v>
      </c>
      <c r="B59">
        <v>3115458</v>
      </c>
      <c r="C59" t="s">
        <v>44</v>
      </c>
      <c r="D59">
        <v>2015</v>
      </c>
      <c r="E59">
        <v>1</v>
      </c>
      <c r="F59">
        <v>24</v>
      </c>
      <c r="G59" t="s">
        <v>10</v>
      </c>
      <c r="H59" t="s">
        <v>11</v>
      </c>
      <c r="I59" s="1" t="s">
        <v>12</v>
      </c>
      <c r="J59">
        <v>0.2571</v>
      </c>
    </row>
    <row r="60" spans="1:10" hidden="1" x14ac:dyDescent="0.35">
      <c r="A60" t="str">
        <f t="shared" si="0"/>
        <v>Catuji20151.2</v>
      </c>
      <c r="B60">
        <v>3115458</v>
      </c>
      <c r="C60" t="s">
        <v>44</v>
      </c>
      <c r="D60">
        <v>2015</v>
      </c>
      <c r="E60">
        <v>1</v>
      </c>
      <c r="F60">
        <v>67</v>
      </c>
      <c r="G60" t="s">
        <v>13</v>
      </c>
      <c r="H60" t="s">
        <v>11</v>
      </c>
      <c r="I60" s="1" t="s">
        <v>14</v>
      </c>
      <c r="J60">
        <v>0.67589999999999995</v>
      </c>
    </row>
    <row r="61" spans="1:10" hidden="1" x14ac:dyDescent="0.35">
      <c r="A61" t="str">
        <f t="shared" si="0"/>
        <v>Catuji20151.3</v>
      </c>
      <c r="B61">
        <v>3115458</v>
      </c>
      <c r="C61" t="s">
        <v>44</v>
      </c>
      <c r="D61">
        <v>2015</v>
      </c>
      <c r="E61">
        <v>1</v>
      </c>
      <c r="F61">
        <v>68</v>
      </c>
      <c r="G61" t="s">
        <v>15</v>
      </c>
      <c r="H61" t="s">
        <v>11</v>
      </c>
      <c r="I61" s="1" t="s">
        <v>16</v>
      </c>
      <c r="J61">
        <v>0.32400000000000001</v>
      </c>
    </row>
    <row r="62" spans="1:10" hidden="1" x14ac:dyDescent="0.35">
      <c r="A62" t="str">
        <f t="shared" si="0"/>
        <v>Catuji20152.1</v>
      </c>
      <c r="B62">
        <v>3115458</v>
      </c>
      <c r="C62" t="s">
        <v>44</v>
      </c>
      <c r="D62">
        <v>2015</v>
      </c>
      <c r="E62">
        <v>1</v>
      </c>
      <c r="F62">
        <v>28</v>
      </c>
      <c r="G62" t="s">
        <v>17</v>
      </c>
      <c r="H62" t="s">
        <v>18</v>
      </c>
      <c r="I62" s="1" t="s">
        <v>19</v>
      </c>
      <c r="J62">
        <v>5.0900000000000001E-2</v>
      </c>
    </row>
    <row r="63" spans="1:10" hidden="1" x14ac:dyDescent="0.35">
      <c r="A63" t="str">
        <f t="shared" si="0"/>
        <v>Catuji20152.2</v>
      </c>
      <c r="B63">
        <v>3115458</v>
      </c>
      <c r="C63" t="s">
        <v>44</v>
      </c>
      <c r="D63">
        <v>2015</v>
      </c>
      <c r="E63">
        <v>1</v>
      </c>
      <c r="F63">
        <v>29</v>
      </c>
      <c r="G63" t="s">
        <v>20</v>
      </c>
      <c r="H63" t="s">
        <v>18</v>
      </c>
      <c r="I63" s="1" t="s">
        <v>21</v>
      </c>
      <c r="J63">
        <v>0.78879999999999995</v>
      </c>
    </row>
    <row r="64" spans="1:10" hidden="1" x14ac:dyDescent="0.35">
      <c r="A64" t="str">
        <f t="shared" si="0"/>
        <v>Catuji20152.4</v>
      </c>
      <c r="B64">
        <v>3115458</v>
      </c>
      <c r="C64" t="s">
        <v>44</v>
      </c>
      <c r="D64">
        <v>2015</v>
      </c>
      <c r="E64">
        <v>1</v>
      </c>
      <c r="F64">
        <v>31</v>
      </c>
      <c r="G64" t="s">
        <v>22</v>
      </c>
      <c r="H64" t="s">
        <v>18</v>
      </c>
      <c r="I64" s="1" t="s">
        <v>23</v>
      </c>
      <c r="J64">
        <v>0.13389999999999999</v>
      </c>
    </row>
    <row r="65" spans="1:10" hidden="1" x14ac:dyDescent="0.35">
      <c r="A65" t="str">
        <f t="shared" si="0"/>
        <v>Catuji20152.5</v>
      </c>
      <c r="B65">
        <v>3115458</v>
      </c>
      <c r="C65" t="s">
        <v>44</v>
      </c>
      <c r="D65">
        <v>2015</v>
      </c>
      <c r="E65">
        <v>1</v>
      </c>
      <c r="F65">
        <v>32</v>
      </c>
      <c r="G65" t="s">
        <v>24</v>
      </c>
      <c r="H65" t="s">
        <v>18</v>
      </c>
      <c r="I65" s="1" t="s">
        <v>25</v>
      </c>
      <c r="J65">
        <v>0.76149999999999995</v>
      </c>
    </row>
    <row r="66" spans="1:10" hidden="1" x14ac:dyDescent="0.35">
      <c r="A66" t="str">
        <f t="shared" si="0"/>
        <v>Catuji20152.8</v>
      </c>
      <c r="B66">
        <v>3115458</v>
      </c>
      <c r="C66" t="s">
        <v>44</v>
      </c>
      <c r="D66">
        <v>2015</v>
      </c>
      <c r="E66">
        <v>1</v>
      </c>
      <c r="F66">
        <v>35</v>
      </c>
      <c r="G66" t="s">
        <v>26</v>
      </c>
      <c r="H66" t="s">
        <v>18</v>
      </c>
      <c r="I66" s="1" t="s">
        <v>27</v>
      </c>
      <c r="J66">
        <v>0.26519999999999999</v>
      </c>
    </row>
    <row r="67" spans="1:10" hidden="1" x14ac:dyDescent="0.35">
      <c r="A67" t="str">
        <f t="shared" si="0"/>
        <v>Catuji20154.1</v>
      </c>
      <c r="B67">
        <v>3115458</v>
      </c>
      <c r="C67" t="s">
        <v>44</v>
      </c>
      <c r="D67">
        <v>2015</v>
      </c>
      <c r="E67">
        <v>1</v>
      </c>
      <c r="F67">
        <v>44</v>
      </c>
      <c r="G67" t="s">
        <v>28</v>
      </c>
      <c r="H67" t="s">
        <v>29</v>
      </c>
      <c r="I67" s="1" t="s">
        <v>30</v>
      </c>
      <c r="J67">
        <v>2116.7800000000002</v>
      </c>
    </row>
    <row r="68" spans="1:10" hidden="1" x14ac:dyDescent="0.35">
      <c r="A68" t="str">
        <f t="shared" ref="A68:A131" si="1">C68&amp;D68&amp;G68</f>
        <v>Catuji20154.10</v>
      </c>
      <c r="B68">
        <v>3115458</v>
      </c>
      <c r="C68" t="s">
        <v>44</v>
      </c>
      <c r="D68">
        <v>2015</v>
      </c>
      <c r="E68">
        <v>1</v>
      </c>
      <c r="F68">
        <v>58</v>
      </c>
      <c r="G68" t="s">
        <v>31</v>
      </c>
      <c r="H68" t="s">
        <v>29</v>
      </c>
      <c r="I68" s="1" t="s">
        <v>32</v>
      </c>
      <c r="J68">
        <v>2150.48</v>
      </c>
    </row>
    <row r="69" spans="1:10" hidden="1" x14ac:dyDescent="0.35">
      <c r="A69" t="str">
        <f t="shared" si="1"/>
        <v>Catuji20154.11</v>
      </c>
      <c r="B69">
        <v>3115458</v>
      </c>
      <c r="C69" t="s">
        <v>44</v>
      </c>
      <c r="D69">
        <v>2015</v>
      </c>
      <c r="E69">
        <v>1</v>
      </c>
      <c r="F69">
        <v>59</v>
      </c>
      <c r="G69" t="s">
        <v>33</v>
      </c>
      <c r="H69" t="s">
        <v>29</v>
      </c>
      <c r="I69" s="1" t="s">
        <v>34</v>
      </c>
      <c r="J69">
        <v>1106.6500000000001</v>
      </c>
    </row>
    <row r="70" spans="1:10" hidden="1" x14ac:dyDescent="0.35">
      <c r="A70" t="str">
        <f t="shared" si="1"/>
        <v>Catuji20154.2</v>
      </c>
      <c r="B70">
        <v>3115458</v>
      </c>
      <c r="C70" t="s">
        <v>44</v>
      </c>
      <c r="D70">
        <v>2015</v>
      </c>
      <c r="E70">
        <v>1</v>
      </c>
      <c r="F70">
        <v>45</v>
      </c>
      <c r="G70" t="s">
        <v>35</v>
      </c>
      <c r="H70" t="s">
        <v>29</v>
      </c>
      <c r="I70" s="1" t="s">
        <v>36</v>
      </c>
      <c r="J70">
        <v>4783.7</v>
      </c>
    </row>
    <row r="71" spans="1:10" hidden="1" x14ac:dyDescent="0.35">
      <c r="A71" t="str">
        <f t="shared" si="1"/>
        <v>Catuji20154.8</v>
      </c>
      <c r="B71">
        <v>3115458</v>
      </c>
      <c r="C71" t="s">
        <v>44</v>
      </c>
      <c r="D71">
        <v>2015</v>
      </c>
      <c r="E71">
        <v>1</v>
      </c>
      <c r="F71">
        <v>56</v>
      </c>
      <c r="G71" t="s">
        <v>37</v>
      </c>
      <c r="H71" t="s">
        <v>29</v>
      </c>
      <c r="I71" s="1" t="s">
        <v>38</v>
      </c>
      <c r="J71">
        <v>4027.6</v>
      </c>
    </row>
    <row r="72" spans="1:10" hidden="1" x14ac:dyDescent="0.35">
      <c r="A72" t="str">
        <f t="shared" si="1"/>
        <v>Catuji20154.9</v>
      </c>
      <c r="B72">
        <v>3115458</v>
      </c>
      <c r="C72" t="s">
        <v>44</v>
      </c>
      <c r="D72">
        <v>2015</v>
      </c>
      <c r="E72">
        <v>1</v>
      </c>
      <c r="F72">
        <v>57</v>
      </c>
      <c r="G72" t="s">
        <v>39</v>
      </c>
      <c r="H72" t="s">
        <v>29</v>
      </c>
      <c r="I72" s="1" t="s">
        <v>40</v>
      </c>
      <c r="J72">
        <v>4027.6</v>
      </c>
    </row>
    <row r="73" spans="1:10" hidden="1" x14ac:dyDescent="0.35">
      <c r="A73" t="str">
        <f t="shared" si="1"/>
        <v>Crisólita20151.1</v>
      </c>
      <c r="B73">
        <v>3120151</v>
      </c>
      <c r="C73" t="s">
        <v>45</v>
      </c>
      <c r="D73">
        <v>2015</v>
      </c>
      <c r="E73">
        <v>1</v>
      </c>
      <c r="F73">
        <v>24</v>
      </c>
      <c r="G73" t="s">
        <v>10</v>
      </c>
      <c r="H73" t="s">
        <v>11</v>
      </c>
      <c r="I73" s="1" t="s">
        <v>12</v>
      </c>
      <c r="J73">
        <v>0.25580000000000003</v>
      </c>
    </row>
    <row r="74" spans="1:10" hidden="1" x14ac:dyDescent="0.35">
      <c r="A74" t="str">
        <f t="shared" si="1"/>
        <v>Crisólita20151.2</v>
      </c>
      <c r="B74">
        <v>3120151</v>
      </c>
      <c r="C74" t="s">
        <v>45</v>
      </c>
      <c r="D74">
        <v>2015</v>
      </c>
      <c r="E74">
        <v>1</v>
      </c>
      <c r="F74">
        <v>67</v>
      </c>
      <c r="G74" t="s">
        <v>13</v>
      </c>
      <c r="H74" t="s">
        <v>11</v>
      </c>
      <c r="I74" s="1" t="s">
        <v>14</v>
      </c>
      <c r="J74">
        <v>0.61080000000000001</v>
      </c>
    </row>
    <row r="75" spans="1:10" hidden="1" x14ac:dyDescent="0.35">
      <c r="A75" t="str">
        <f t="shared" si="1"/>
        <v>Crisólita20151.3</v>
      </c>
      <c r="B75">
        <v>3120151</v>
      </c>
      <c r="C75" t="s">
        <v>45</v>
      </c>
      <c r="D75">
        <v>2015</v>
      </c>
      <c r="E75">
        <v>1</v>
      </c>
      <c r="F75">
        <v>68</v>
      </c>
      <c r="G75" t="s">
        <v>15</v>
      </c>
      <c r="H75" t="s">
        <v>11</v>
      </c>
      <c r="I75" s="1" t="s">
        <v>16</v>
      </c>
      <c r="J75">
        <v>0.3861</v>
      </c>
    </row>
    <row r="76" spans="1:10" hidden="1" x14ac:dyDescent="0.35">
      <c r="A76" t="str">
        <f t="shared" si="1"/>
        <v>Crisólita20152.1</v>
      </c>
      <c r="B76">
        <v>3120151</v>
      </c>
      <c r="C76" t="s">
        <v>45</v>
      </c>
      <c r="D76">
        <v>2015</v>
      </c>
      <c r="E76">
        <v>1</v>
      </c>
      <c r="F76">
        <v>28</v>
      </c>
      <c r="G76" t="s">
        <v>17</v>
      </c>
      <c r="H76" t="s">
        <v>18</v>
      </c>
      <c r="I76" s="1" t="s">
        <v>19</v>
      </c>
      <c r="J76">
        <v>6.4299999999999996E-2</v>
      </c>
    </row>
    <row r="77" spans="1:10" hidden="1" x14ac:dyDescent="0.35">
      <c r="A77" t="str">
        <f t="shared" si="1"/>
        <v>Crisólita20152.2</v>
      </c>
      <c r="B77">
        <v>3120151</v>
      </c>
      <c r="C77" t="s">
        <v>45</v>
      </c>
      <c r="D77">
        <v>2015</v>
      </c>
      <c r="E77">
        <v>1</v>
      </c>
      <c r="F77">
        <v>29</v>
      </c>
      <c r="G77" t="s">
        <v>20</v>
      </c>
      <c r="H77" t="s">
        <v>18</v>
      </c>
      <c r="I77" s="1" t="s">
        <v>21</v>
      </c>
      <c r="J77">
        <v>0.87919999999999998</v>
      </c>
    </row>
    <row r="78" spans="1:10" hidden="1" x14ac:dyDescent="0.35">
      <c r="A78" t="str">
        <f t="shared" si="1"/>
        <v>Crisólita20152.4</v>
      </c>
      <c r="B78">
        <v>3120151</v>
      </c>
      <c r="C78" t="s">
        <v>45</v>
      </c>
      <c r="D78">
        <v>2015</v>
      </c>
      <c r="E78">
        <v>1</v>
      </c>
      <c r="F78">
        <v>31</v>
      </c>
      <c r="G78" t="s">
        <v>22</v>
      </c>
      <c r="H78" t="s">
        <v>18</v>
      </c>
      <c r="I78" s="1" t="s">
        <v>23</v>
      </c>
      <c r="J78">
        <v>0.11210000000000001</v>
      </c>
    </row>
    <row r="79" spans="1:10" hidden="1" x14ac:dyDescent="0.35">
      <c r="A79" t="str">
        <f t="shared" si="1"/>
        <v>Crisólita20152.5</v>
      </c>
      <c r="B79">
        <v>3120151</v>
      </c>
      <c r="C79" t="s">
        <v>45</v>
      </c>
      <c r="D79">
        <v>2015</v>
      </c>
      <c r="E79">
        <v>1</v>
      </c>
      <c r="F79">
        <v>32</v>
      </c>
      <c r="G79" t="s">
        <v>24</v>
      </c>
      <c r="H79" t="s">
        <v>18</v>
      </c>
      <c r="I79" s="1" t="s">
        <v>25</v>
      </c>
      <c r="J79">
        <v>0.81810000000000005</v>
      </c>
    </row>
    <row r="80" spans="1:10" hidden="1" x14ac:dyDescent="0.35">
      <c r="A80" t="str">
        <f t="shared" si="1"/>
        <v>Crisólita20152.8</v>
      </c>
      <c r="B80">
        <v>3120151</v>
      </c>
      <c r="C80" t="s">
        <v>45</v>
      </c>
      <c r="D80">
        <v>2015</v>
      </c>
      <c r="E80">
        <v>1</v>
      </c>
      <c r="F80">
        <v>35</v>
      </c>
      <c r="G80" t="s">
        <v>26</v>
      </c>
      <c r="H80" t="s">
        <v>18</v>
      </c>
      <c r="I80" s="1" t="s">
        <v>27</v>
      </c>
      <c r="J80">
        <v>0.32</v>
      </c>
    </row>
    <row r="81" spans="1:10" hidden="1" x14ac:dyDescent="0.35">
      <c r="A81" t="str">
        <f t="shared" si="1"/>
        <v>Crisólita20154.1</v>
      </c>
      <c r="B81">
        <v>3120151</v>
      </c>
      <c r="C81" t="s">
        <v>45</v>
      </c>
      <c r="D81">
        <v>2015</v>
      </c>
      <c r="E81">
        <v>1</v>
      </c>
      <c r="F81">
        <v>44</v>
      </c>
      <c r="G81" t="s">
        <v>28</v>
      </c>
      <c r="H81" t="s">
        <v>29</v>
      </c>
      <c r="I81" s="1" t="s">
        <v>30</v>
      </c>
      <c r="J81">
        <v>2578.54</v>
      </c>
    </row>
    <row r="82" spans="1:10" hidden="1" x14ac:dyDescent="0.35">
      <c r="A82" t="str">
        <f t="shared" si="1"/>
        <v>Crisólita20154.10</v>
      </c>
      <c r="B82">
        <v>3120151</v>
      </c>
      <c r="C82" t="s">
        <v>45</v>
      </c>
      <c r="D82">
        <v>2015</v>
      </c>
      <c r="E82">
        <v>1</v>
      </c>
      <c r="F82">
        <v>58</v>
      </c>
      <c r="G82" t="s">
        <v>31</v>
      </c>
      <c r="H82" t="s">
        <v>29</v>
      </c>
      <c r="I82" s="1" t="s">
        <v>32</v>
      </c>
      <c r="J82">
        <v>1833.66</v>
      </c>
    </row>
    <row r="83" spans="1:10" hidden="1" x14ac:dyDescent="0.35">
      <c r="A83" t="str">
        <f t="shared" si="1"/>
        <v>Crisólita20154.11</v>
      </c>
      <c r="B83">
        <v>3120151</v>
      </c>
      <c r="C83" t="s">
        <v>45</v>
      </c>
      <c r="D83">
        <v>2015</v>
      </c>
      <c r="E83">
        <v>1</v>
      </c>
      <c r="F83">
        <v>59</v>
      </c>
      <c r="G83" t="s">
        <v>33</v>
      </c>
      <c r="H83" t="s">
        <v>29</v>
      </c>
      <c r="I83" s="1" t="s">
        <v>34</v>
      </c>
      <c r="J83">
        <v>911.88</v>
      </c>
    </row>
    <row r="84" spans="1:10" hidden="1" x14ac:dyDescent="0.35">
      <c r="A84" t="str">
        <f t="shared" si="1"/>
        <v>Crisólita20154.2</v>
      </c>
      <c r="B84">
        <v>3120151</v>
      </c>
      <c r="C84" t="s">
        <v>45</v>
      </c>
      <c r="D84">
        <v>2015</v>
      </c>
      <c r="E84">
        <v>1</v>
      </c>
      <c r="F84">
        <v>45</v>
      </c>
      <c r="G84" t="s">
        <v>35</v>
      </c>
      <c r="H84" t="s">
        <v>29</v>
      </c>
      <c r="I84" s="1" t="s">
        <v>36</v>
      </c>
      <c r="J84">
        <v>4437.67</v>
      </c>
    </row>
    <row r="85" spans="1:10" hidden="1" x14ac:dyDescent="0.35">
      <c r="A85" t="str">
        <f t="shared" si="1"/>
        <v>Crisólita20154.8</v>
      </c>
      <c r="B85">
        <v>3120151</v>
      </c>
      <c r="C85" t="s">
        <v>45</v>
      </c>
      <c r="D85">
        <v>2015</v>
      </c>
      <c r="E85">
        <v>1</v>
      </c>
      <c r="F85">
        <v>56</v>
      </c>
      <c r="G85" t="s">
        <v>37</v>
      </c>
      <c r="H85" t="s">
        <v>29</v>
      </c>
      <c r="I85" s="1" t="s">
        <v>38</v>
      </c>
      <c r="J85">
        <v>4082.9</v>
      </c>
    </row>
    <row r="86" spans="1:10" hidden="1" x14ac:dyDescent="0.35">
      <c r="A86" t="str">
        <f t="shared" si="1"/>
        <v>Crisólita20154.9</v>
      </c>
      <c r="B86">
        <v>3120151</v>
      </c>
      <c r="C86" t="s">
        <v>45</v>
      </c>
      <c r="D86">
        <v>2015</v>
      </c>
      <c r="E86">
        <v>1</v>
      </c>
      <c r="F86">
        <v>57</v>
      </c>
      <c r="G86" t="s">
        <v>39</v>
      </c>
      <c r="H86" t="s">
        <v>29</v>
      </c>
      <c r="I86" s="1" t="s">
        <v>40</v>
      </c>
      <c r="J86">
        <v>4082.9</v>
      </c>
    </row>
    <row r="87" spans="1:10" hidden="1" x14ac:dyDescent="0.35">
      <c r="A87" t="str">
        <f t="shared" si="1"/>
        <v>Franciscópolis20151.1</v>
      </c>
      <c r="B87">
        <v>3126752</v>
      </c>
      <c r="C87" t="s">
        <v>46</v>
      </c>
      <c r="D87">
        <v>2015</v>
      </c>
      <c r="E87">
        <v>1</v>
      </c>
      <c r="F87">
        <v>24</v>
      </c>
      <c r="G87" t="s">
        <v>10</v>
      </c>
      <c r="H87" t="s">
        <v>11</v>
      </c>
      <c r="I87" s="1" t="s">
        <v>12</v>
      </c>
      <c r="J87">
        <v>0.30830000000000002</v>
      </c>
    </row>
    <row r="88" spans="1:10" hidden="1" x14ac:dyDescent="0.35">
      <c r="A88" t="str">
        <f t="shared" si="1"/>
        <v>Franciscópolis20151.2</v>
      </c>
      <c r="B88">
        <v>3126752</v>
      </c>
      <c r="C88" t="s">
        <v>46</v>
      </c>
      <c r="D88">
        <v>2015</v>
      </c>
      <c r="E88">
        <v>1</v>
      </c>
      <c r="F88">
        <v>67</v>
      </c>
      <c r="G88" t="s">
        <v>13</v>
      </c>
      <c r="H88" t="s">
        <v>11</v>
      </c>
      <c r="I88" s="1" t="s">
        <v>14</v>
      </c>
      <c r="J88">
        <v>0.63119999999999998</v>
      </c>
    </row>
    <row r="89" spans="1:10" hidden="1" x14ac:dyDescent="0.35">
      <c r="A89" t="str">
        <f t="shared" si="1"/>
        <v>Franciscópolis20151.3</v>
      </c>
      <c r="B89">
        <v>3126752</v>
      </c>
      <c r="C89" t="s">
        <v>46</v>
      </c>
      <c r="D89">
        <v>2015</v>
      </c>
      <c r="E89">
        <v>1</v>
      </c>
      <c r="F89">
        <v>68</v>
      </c>
      <c r="G89" t="s">
        <v>15</v>
      </c>
      <c r="H89" t="s">
        <v>11</v>
      </c>
      <c r="I89" s="1" t="s">
        <v>16</v>
      </c>
      <c r="J89">
        <v>0.34689999999999999</v>
      </c>
    </row>
    <row r="90" spans="1:10" hidden="1" x14ac:dyDescent="0.35">
      <c r="A90" t="str">
        <f t="shared" si="1"/>
        <v>Franciscópolis20152.1</v>
      </c>
      <c r="B90">
        <v>3126752</v>
      </c>
      <c r="C90" t="s">
        <v>46</v>
      </c>
      <c r="D90">
        <v>2015</v>
      </c>
      <c r="E90">
        <v>1</v>
      </c>
      <c r="F90">
        <v>28</v>
      </c>
      <c r="G90" t="s">
        <v>17</v>
      </c>
      <c r="H90" t="s">
        <v>18</v>
      </c>
      <c r="I90" s="1" t="s">
        <v>19</v>
      </c>
    </row>
    <row r="91" spans="1:10" hidden="1" x14ac:dyDescent="0.35">
      <c r="A91" t="str">
        <f t="shared" si="1"/>
        <v>Franciscópolis20152.2</v>
      </c>
      <c r="B91">
        <v>3126752</v>
      </c>
      <c r="C91" t="s">
        <v>46</v>
      </c>
      <c r="D91">
        <v>2015</v>
      </c>
      <c r="E91">
        <v>1</v>
      </c>
      <c r="F91">
        <v>29</v>
      </c>
      <c r="G91" t="s">
        <v>20</v>
      </c>
      <c r="H91" t="s">
        <v>18</v>
      </c>
      <c r="I91" s="1" t="s">
        <v>21</v>
      </c>
      <c r="J91">
        <v>0.69199999999999995</v>
      </c>
    </row>
    <row r="92" spans="1:10" hidden="1" x14ac:dyDescent="0.35">
      <c r="A92" t="str">
        <f t="shared" si="1"/>
        <v>Franciscópolis20152.4</v>
      </c>
      <c r="B92">
        <v>3126752</v>
      </c>
      <c r="C92" t="s">
        <v>46</v>
      </c>
      <c r="D92">
        <v>2015</v>
      </c>
      <c r="E92">
        <v>1</v>
      </c>
      <c r="F92">
        <v>31</v>
      </c>
      <c r="G92" t="s">
        <v>22</v>
      </c>
      <c r="H92" t="s">
        <v>18</v>
      </c>
      <c r="I92" s="1" t="s">
        <v>23</v>
      </c>
      <c r="J92">
        <v>0.1278</v>
      </c>
    </row>
    <row r="93" spans="1:10" hidden="1" x14ac:dyDescent="0.35">
      <c r="A93" t="str">
        <f t="shared" si="1"/>
        <v>Franciscópolis20152.5</v>
      </c>
      <c r="B93">
        <v>3126752</v>
      </c>
      <c r="C93" t="s">
        <v>46</v>
      </c>
      <c r="D93">
        <v>2015</v>
      </c>
      <c r="E93">
        <v>1</v>
      </c>
      <c r="F93">
        <v>32</v>
      </c>
      <c r="G93" t="s">
        <v>24</v>
      </c>
      <c r="H93" t="s">
        <v>18</v>
      </c>
      <c r="I93" s="1" t="s">
        <v>25</v>
      </c>
      <c r="J93">
        <v>0.83779999999999999</v>
      </c>
    </row>
    <row r="94" spans="1:10" hidden="1" x14ac:dyDescent="0.35">
      <c r="A94" t="str">
        <f t="shared" si="1"/>
        <v>Franciscópolis20152.8</v>
      </c>
      <c r="B94">
        <v>3126752</v>
      </c>
      <c r="C94" t="s">
        <v>46</v>
      </c>
      <c r="D94">
        <v>2015</v>
      </c>
      <c r="E94">
        <v>1</v>
      </c>
      <c r="F94">
        <v>35</v>
      </c>
      <c r="G94" t="s">
        <v>26</v>
      </c>
      <c r="H94" t="s">
        <v>18</v>
      </c>
      <c r="I94" s="1" t="s">
        <v>27</v>
      </c>
      <c r="J94">
        <v>0.24210000000000001</v>
      </c>
    </row>
    <row r="95" spans="1:10" hidden="1" x14ac:dyDescent="0.35">
      <c r="A95" t="str">
        <f t="shared" si="1"/>
        <v>Franciscópolis20154.1</v>
      </c>
      <c r="B95">
        <v>3126752</v>
      </c>
      <c r="C95" t="s">
        <v>46</v>
      </c>
      <c r="D95">
        <v>2015</v>
      </c>
      <c r="E95">
        <v>1</v>
      </c>
      <c r="F95">
        <v>44</v>
      </c>
      <c r="G95" t="s">
        <v>28</v>
      </c>
      <c r="H95" t="s">
        <v>29</v>
      </c>
      <c r="I95" s="1" t="s">
        <v>30</v>
      </c>
      <c r="J95">
        <v>3594.3</v>
      </c>
    </row>
    <row r="96" spans="1:10" hidden="1" x14ac:dyDescent="0.35">
      <c r="A96" t="str">
        <f t="shared" si="1"/>
        <v>Franciscópolis20154.10</v>
      </c>
      <c r="B96">
        <v>3126752</v>
      </c>
      <c r="C96" t="s">
        <v>46</v>
      </c>
      <c r="D96">
        <v>2015</v>
      </c>
      <c r="E96">
        <v>1</v>
      </c>
      <c r="F96">
        <v>58</v>
      </c>
      <c r="G96" t="s">
        <v>31</v>
      </c>
      <c r="H96" t="s">
        <v>29</v>
      </c>
      <c r="I96" s="1" t="s">
        <v>32</v>
      </c>
      <c r="J96">
        <v>1722.39</v>
      </c>
    </row>
    <row r="97" spans="1:10" hidden="1" x14ac:dyDescent="0.35">
      <c r="A97" t="str">
        <f t="shared" si="1"/>
        <v>Franciscópolis20154.11</v>
      </c>
      <c r="B97">
        <v>3126752</v>
      </c>
      <c r="C97" t="s">
        <v>46</v>
      </c>
      <c r="D97">
        <v>2015</v>
      </c>
      <c r="E97">
        <v>1</v>
      </c>
      <c r="F97">
        <v>59</v>
      </c>
      <c r="G97" t="s">
        <v>33</v>
      </c>
      <c r="H97" t="s">
        <v>29</v>
      </c>
      <c r="I97" s="1" t="s">
        <v>34</v>
      </c>
      <c r="J97">
        <v>1439.11</v>
      </c>
    </row>
    <row r="98" spans="1:10" hidden="1" x14ac:dyDescent="0.35">
      <c r="A98" t="str">
        <f t="shared" si="1"/>
        <v>Franciscópolis20154.2</v>
      </c>
      <c r="B98">
        <v>3126752</v>
      </c>
      <c r="C98" t="s">
        <v>46</v>
      </c>
      <c r="D98">
        <v>2015</v>
      </c>
      <c r="E98">
        <v>1</v>
      </c>
      <c r="F98">
        <v>45</v>
      </c>
      <c r="G98" t="s">
        <v>35</v>
      </c>
      <c r="H98" t="s">
        <v>29</v>
      </c>
      <c r="I98" s="1" t="s">
        <v>36</v>
      </c>
      <c r="J98">
        <v>6533.76</v>
      </c>
    </row>
    <row r="99" spans="1:10" hidden="1" x14ac:dyDescent="0.35">
      <c r="A99" t="str">
        <f t="shared" si="1"/>
        <v>Franciscópolis20154.8</v>
      </c>
      <c r="B99">
        <v>3126752</v>
      </c>
      <c r="C99" t="s">
        <v>46</v>
      </c>
      <c r="D99">
        <v>2015</v>
      </c>
      <c r="E99">
        <v>1</v>
      </c>
      <c r="F99">
        <v>56</v>
      </c>
      <c r="G99" t="s">
        <v>37</v>
      </c>
      <c r="H99" t="s">
        <v>29</v>
      </c>
      <c r="I99" s="1" t="s">
        <v>38</v>
      </c>
      <c r="J99">
        <v>5895.48</v>
      </c>
    </row>
    <row r="100" spans="1:10" hidden="1" x14ac:dyDescent="0.35">
      <c r="A100" t="str">
        <f t="shared" si="1"/>
        <v>Franciscópolis20154.9</v>
      </c>
      <c r="B100">
        <v>3126752</v>
      </c>
      <c r="C100" t="s">
        <v>46</v>
      </c>
      <c r="D100">
        <v>2015</v>
      </c>
      <c r="E100">
        <v>1</v>
      </c>
      <c r="F100">
        <v>57</v>
      </c>
      <c r="G100" t="s">
        <v>39</v>
      </c>
      <c r="H100" t="s">
        <v>29</v>
      </c>
      <c r="I100" s="1" t="s">
        <v>40</v>
      </c>
      <c r="J100">
        <v>5895.48</v>
      </c>
    </row>
    <row r="101" spans="1:10" hidden="1" x14ac:dyDescent="0.35">
      <c r="A101" t="str">
        <f t="shared" si="1"/>
        <v>Frei Gaspar20151.1</v>
      </c>
      <c r="B101">
        <v>3126802</v>
      </c>
      <c r="C101" t="s">
        <v>47</v>
      </c>
      <c r="D101">
        <v>2015</v>
      </c>
      <c r="E101">
        <v>1</v>
      </c>
      <c r="F101">
        <v>24</v>
      </c>
      <c r="G101" t="s">
        <v>10</v>
      </c>
      <c r="H101" t="s">
        <v>11</v>
      </c>
      <c r="I101" s="1" t="s">
        <v>12</v>
      </c>
      <c r="J101">
        <v>0.25040000000000001</v>
      </c>
    </row>
    <row r="102" spans="1:10" hidden="1" x14ac:dyDescent="0.35">
      <c r="A102" t="str">
        <f t="shared" si="1"/>
        <v>Frei Gaspar20151.2</v>
      </c>
      <c r="B102">
        <v>3126802</v>
      </c>
      <c r="C102" t="s">
        <v>47</v>
      </c>
      <c r="D102">
        <v>2015</v>
      </c>
      <c r="E102">
        <v>1</v>
      </c>
      <c r="F102">
        <v>67</v>
      </c>
      <c r="G102" t="s">
        <v>13</v>
      </c>
      <c r="H102" t="s">
        <v>11</v>
      </c>
      <c r="I102" s="1" t="s">
        <v>14</v>
      </c>
      <c r="J102">
        <v>0.91679999999999995</v>
      </c>
    </row>
    <row r="103" spans="1:10" hidden="1" x14ac:dyDescent="0.35">
      <c r="A103" t="str">
        <f t="shared" si="1"/>
        <v>Frei Gaspar20151.3</v>
      </c>
      <c r="B103">
        <v>3126802</v>
      </c>
      <c r="C103" t="s">
        <v>47</v>
      </c>
      <c r="D103">
        <v>2015</v>
      </c>
      <c r="E103">
        <v>1</v>
      </c>
      <c r="F103">
        <v>68</v>
      </c>
      <c r="G103" t="s">
        <v>15</v>
      </c>
      <c r="H103" t="s">
        <v>11</v>
      </c>
      <c r="I103" s="1" t="s">
        <v>16</v>
      </c>
      <c r="J103">
        <v>6.3100000000000003E-2</v>
      </c>
    </row>
    <row r="104" spans="1:10" hidden="1" x14ac:dyDescent="0.35">
      <c r="A104" t="str">
        <f t="shared" si="1"/>
        <v>Frei Gaspar20152.1</v>
      </c>
      <c r="B104">
        <v>3126802</v>
      </c>
      <c r="C104" t="s">
        <v>47</v>
      </c>
      <c r="D104">
        <v>2015</v>
      </c>
      <c r="E104">
        <v>1</v>
      </c>
      <c r="F104">
        <v>28</v>
      </c>
      <c r="G104" t="s">
        <v>17</v>
      </c>
      <c r="H104" t="s">
        <v>18</v>
      </c>
      <c r="I104" s="1" t="s">
        <v>19</v>
      </c>
      <c r="J104">
        <v>3.2899999999999999E-2</v>
      </c>
    </row>
    <row r="105" spans="1:10" hidden="1" x14ac:dyDescent="0.35">
      <c r="A105" t="str">
        <f t="shared" si="1"/>
        <v>Frei Gaspar20152.2</v>
      </c>
      <c r="B105">
        <v>3126802</v>
      </c>
      <c r="C105" t="s">
        <v>47</v>
      </c>
      <c r="D105">
        <v>2015</v>
      </c>
      <c r="E105">
        <v>1</v>
      </c>
      <c r="F105">
        <v>29</v>
      </c>
      <c r="G105" t="s">
        <v>20</v>
      </c>
      <c r="H105" t="s">
        <v>18</v>
      </c>
      <c r="I105" s="1" t="s">
        <v>21</v>
      </c>
      <c r="J105">
        <v>0.96489999999999998</v>
      </c>
    </row>
    <row r="106" spans="1:10" hidden="1" x14ac:dyDescent="0.35">
      <c r="A106" t="str">
        <f t="shared" si="1"/>
        <v>Frei Gaspar20152.4</v>
      </c>
      <c r="B106">
        <v>3126802</v>
      </c>
      <c r="C106" t="s">
        <v>47</v>
      </c>
      <c r="D106">
        <v>2015</v>
      </c>
      <c r="E106">
        <v>1</v>
      </c>
      <c r="F106">
        <v>31</v>
      </c>
      <c r="G106" t="s">
        <v>22</v>
      </c>
      <c r="H106" t="s">
        <v>18</v>
      </c>
      <c r="I106" s="1" t="s">
        <v>23</v>
      </c>
      <c r="J106">
        <v>0.11169999999999999</v>
      </c>
    </row>
    <row r="107" spans="1:10" hidden="1" x14ac:dyDescent="0.35">
      <c r="A107" t="str">
        <f t="shared" si="1"/>
        <v>Frei Gaspar20152.5</v>
      </c>
      <c r="B107">
        <v>3126802</v>
      </c>
      <c r="C107" t="s">
        <v>47</v>
      </c>
      <c r="D107">
        <v>2015</v>
      </c>
      <c r="E107">
        <v>1</v>
      </c>
      <c r="F107">
        <v>32</v>
      </c>
      <c r="G107" t="s">
        <v>24</v>
      </c>
      <c r="H107" t="s">
        <v>18</v>
      </c>
      <c r="I107" s="1" t="s">
        <v>25</v>
      </c>
      <c r="J107">
        <v>0.82089999999999996</v>
      </c>
    </row>
    <row r="108" spans="1:10" hidden="1" x14ac:dyDescent="0.35">
      <c r="A108" t="str">
        <f t="shared" si="1"/>
        <v>Frei Gaspar20152.8</v>
      </c>
      <c r="B108">
        <v>3126802</v>
      </c>
      <c r="C108" t="s">
        <v>47</v>
      </c>
      <c r="D108">
        <v>2015</v>
      </c>
      <c r="E108">
        <v>1</v>
      </c>
      <c r="F108">
        <v>35</v>
      </c>
      <c r="G108" t="s">
        <v>26</v>
      </c>
      <c r="H108" t="s">
        <v>18</v>
      </c>
      <c r="I108" s="1" t="s">
        <v>27</v>
      </c>
      <c r="J108">
        <v>0.33829999999999999</v>
      </c>
    </row>
    <row r="109" spans="1:10" hidden="1" x14ac:dyDescent="0.35">
      <c r="A109" t="str">
        <f t="shared" si="1"/>
        <v>Frei Gaspar20154.1</v>
      </c>
      <c r="B109">
        <v>3126802</v>
      </c>
      <c r="C109" t="s">
        <v>47</v>
      </c>
      <c r="D109">
        <v>2015</v>
      </c>
      <c r="E109">
        <v>1</v>
      </c>
      <c r="F109">
        <v>44</v>
      </c>
      <c r="G109" t="s">
        <v>28</v>
      </c>
      <c r="H109" t="s">
        <v>29</v>
      </c>
      <c r="I109" s="1" t="s">
        <v>30</v>
      </c>
      <c r="J109">
        <v>2545.38</v>
      </c>
    </row>
    <row r="110" spans="1:10" hidden="1" x14ac:dyDescent="0.35">
      <c r="A110" t="str">
        <f t="shared" si="1"/>
        <v>Frei Gaspar20154.10</v>
      </c>
      <c r="B110">
        <v>3126802</v>
      </c>
      <c r="C110" t="s">
        <v>47</v>
      </c>
      <c r="D110">
        <v>2015</v>
      </c>
      <c r="E110">
        <v>1</v>
      </c>
      <c r="F110">
        <v>58</v>
      </c>
      <c r="G110" t="s">
        <v>31</v>
      </c>
      <c r="H110" t="s">
        <v>29</v>
      </c>
      <c r="I110" s="1" t="s">
        <v>32</v>
      </c>
      <c r="J110">
        <v>3024.16</v>
      </c>
    </row>
    <row r="111" spans="1:10" hidden="1" x14ac:dyDescent="0.35">
      <c r="A111" t="str">
        <f t="shared" si="1"/>
        <v>Frei Gaspar20154.11</v>
      </c>
      <c r="B111">
        <v>3126802</v>
      </c>
      <c r="C111" t="s">
        <v>47</v>
      </c>
      <c r="D111">
        <v>2015</v>
      </c>
      <c r="E111">
        <v>1</v>
      </c>
      <c r="F111">
        <v>59</v>
      </c>
      <c r="G111" t="s">
        <v>33</v>
      </c>
      <c r="H111" t="s">
        <v>29</v>
      </c>
      <c r="I111" s="1" t="s">
        <v>34</v>
      </c>
      <c r="J111">
        <v>412.35</v>
      </c>
    </row>
    <row r="112" spans="1:10" hidden="1" x14ac:dyDescent="0.35">
      <c r="A112" t="str">
        <f t="shared" si="1"/>
        <v>Frei Gaspar20154.2</v>
      </c>
      <c r="B112">
        <v>3126802</v>
      </c>
      <c r="C112" t="s">
        <v>47</v>
      </c>
      <c r="D112">
        <v>2015</v>
      </c>
      <c r="E112">
        <v>1</v>
      </c>
      <c r="F112">
        <v>45</v>
      </c>
      <c r="G112" t="s">
        <v>35</v>
      </c>
      <c r="H112" t="s">
        <v>29</v>
      </c>
      <c r="I112" s="1" t="s">
        <v>36</v>
      </c>
      <c r="J112">
        <v>5474.87</v>
      </c>
    </row>
    <row r="113" spans="1:10" hidden="1" x14ac:dyDescent="0.35">
      <c r="A113" t="str">
        <f t="shared" si="1"/>
        <v>Frei Gaspar20154.8</v>
      </c>
      <c r="B113">
        <v>3126802</v>
      </c>
      <c r="C113" t="s">
        <v>47</v>
      </c>
      <c r="D113">
        <v>2015</v>
      </c>
      <c r="E113">
        <v>1</v>
      </c>
      <c r="F113">
        <v>56</v>
      </c>
      <c r="G113" t="s">
        <v>37</v>
      </c>
      <c r="H113" t="s">
        <v>29</v>
      </c>
      <c r="I113" s="1" t="s">
        <v>38</v>
      </c>
      <c r="J113">
        <v>4811.28</v>
      </c>
    </row>
    <row r="114" spans="1:10" hidden="1" x14ac:dyDescent="0.35">
      <c r="A114" t="str">
        <f t="shared" si="1"/>
        <v>Frei Gaspar20154.9</v>
      </c>
      <c r="B114">
        <v>3126802</v>
      </c>
      <c r="C114" t="s">
        <v>47</v>
      </c>
      <c r="D114">
        <v>2015</v>
      </c>
      <c r="E114">
        <v>1</v>
      </c>
      <c r="F114">
        <v>57</v>
      </c>
      <c r="G114" t="s">
        <v>39</v>
      </c>
      <c r="H114" t="s">
        <v>29</v>
      </c>
      <c r="I114" s="1" t="s">
        <v>40</v>
      </c>
      <c r="J114">
        <v>4811.28</v>
      </c>
    </row>
    <row r="115" spans="1:10" hidden="1" x14ac:dyDescent="0.35">
      <c r="A115" t="str">
        <f t="shared" si="1"/>
        <v>Fronteira dos Vales20151.1</v>
      </c>
      <c r="B115">
        <v>3127057</v>
      </c>
      <c r="C115" t="s">
        <v>48</v>
      </c>
      <c r="D115">
        <v>2015</v>
      </c>
      <c r="E115">
        <v>1</v>
      </c>
      <c r="F115">
        <v>24</v>
      </c>
      <c r="G115" t="s">
        <v>10</v>
      </c>
      <c r="H115" t="s">
        <v>11</v>
      </c>
      <c r="I115" s="1" t="s">
        <v>12</v>
      </c>
      <c r="J115">
        <v>0.32</v>
      </c>
    </row>
    <row r="116" spans="1:10" hidden="1" x14ac:dyDescent="0.35">
      <c r="A116" t="str">
        <f t="shared" si="1"/>
        <v>Fronteira dos Vales20151.2</v>
      </c>
      <c r="B116">
        <v>3127057</v>
      </c>
      <c r="C116" t="s">
        <v>48</v>
      </c>
      <c r="D116">
        <v>2015</v>
      </c>
      <c r="E116">
        <v>1</v>
      </c>
      <c r="F116">
        <v>67</v>
      </c>
      <c r="G116" t="s">
        <v>13</v>
      </c>
      <c r="H116" t="s">
        <v>11</v>
      </c>
      <c r="I116" s="1" t="s">
        <v>14</v>
      </c>
      <c r="J116">
        <v>0.82550000000000001</v>
      </c>
    </row>
    <row r="117" spans="1:10" hidden="1" x14ac:dyDescent="0.35">
      <c r="A117" t="str">
        <f t="shared" si="1"/>
        <v>Fronteira dos Vales20151.3</v>
      </c>
      <c r="B117">
        <v>3127057</v>
      </c>
      <c r="C117" t="s">
        <v>48</v>
      </c>
      <c r="D117">
        <v>2015</v>
      </c>
      <c r="E117">
        <v>1</v>
      </c>
      <c r="F117">
        <v>68</v>
      </c>
      <c r="G117" t="s">
        <v>15</v>
      </c>
      <c r="H117" t="s">
        <v>11</v>
      </c>
      <c r="I117" s="1" t="s">
        <v>16</v>
      </c>
      <c r="J117">
        <v>0.17449999999999999</v>
      </c>
    </row>
    <row r="118" spans="1:10" hidden="1" x14ac:dyDescent="0.35">
      <c r="A118" t="str">
        <f t="shared" si="1"/>
        <v>Fronteira dos Vales20152.1</v>
      </c>
      <c r="B118">
        <v>3127057</v>
      </c>
      <c r="C118" t="s">
        <v>48</v>
      </c>
      <c r="D118">
        <v>2015</v>
      </c>
      <c r="E118">
        <v>1</v>
      </c>
      <c r="F118">
        <v>28</v>
      </c>
      <c r="G118" t="s">
        <v>17</v>
      </c>
      <c r="H118" t="s">
        <v>18</v>
      </c>
      <c r="I118" s="1" t="s">
        <v>19</v>
      </c>
    </row>
    <row r="119" spans="1:10" hidden="1" x14ac:dyDescent="0.35">
      <c r="A119" t="str">
        <f t="shared" si="1"/>
        <v>Fronteira dos Vales20152.2</v>
      </c>
      <c r="B119">
        <v>3127057</v>
      </c>
      <c r="C119" t="s">
        <v>48</v>
      </c>
      <c r="D119">
        <v>2015</v>
      </c>
      <c r="E119">
        <v>1</v>
      </c>
      <c r="F119">
        <v>29</v>
      </c>
      <c r="G119" t="s">
        <v>20</v>
      </c>
      <c r="H119" t="s">
        <v>18</v>
      </c>
      <c r="I119" s="1" t="s">
        <v>21</v>
      </c>
      <c r="J119">
        <v>0.94879999999999998</v>
      </c>
    </row>
    <row r="120" spans="1:10" hidden="1" x14ac:dyDescent="0.35">
      <c r="A120" t="str">
        <f t="shared" si="1"/>
        <v>Fronteira dos Vales20152.4</v>
      </c>
      <c r="B120">
        <v>3127057</v>
      </c>
      <c r="C120" t="s">
        <v>48</v>
      </c>
      <c r="D120">
        <v>2015</v>
      </c>
      <c r="E120">
        <v>1</v>
      </c>
      <c r="F120">
        <v>31</v>
      </c>
      <c r="G120" t="s">
        <v>22</v>
      </c>
      <c r="H120" t="s">
        <v>18</v>
      </c>
      <c r="I120" s="1" t="s">
        <v>23</v>
      </c>
      <c r="J120">
        <v>6.1699999999999998E-2</v>
      </c>
    </row>
    <row r="121" spans="1:10" hidden="1" x14ac:dyDescent="0.35">
      <c r="A121" t="str">
        <f t="shared" si="1"/>
        <v>Fronteira dos Vales20152.5</v>
      </c>
      <c r="B121">
        <v>3127057</v>
      </c>
      <c r="C121" t="s">
        <v>48</v>
      </c>
      <c r="D121">
        <v>2015</v>
      </c>
      <c r="E121">
        <v>1</v>
      </c>
      <c r="F121">
        <v>32</v>
      </c>
      <c r="G121" t="s">
        <v>24</v>
      </c>
      <c r="H121" t="s">
        <v>18</v>
      </c>
      <c r="I121" s="1" t="s">
        <v>25</v>
      </c>
      <c r="J121">
        <v>0.86070000000000002</v>
      </c>
    </row>
    <row r="122" spans="1:10" hidden="1" x14ac:dyDescent="0.35">
      <c r="A122" t="str">
        <f t="shared" si="1"/>
        <v>Fronteira dos Vales20152.8</v>
      </c>
      <c r="B122">
        <v>3127057</v>
      </c>
      <c r="C122" t="s">
        <v>48</v>
      </c>
      <c r="D122">
        <v>2015</v>
      </c>
      <c r="E122">
        <v>1</v>
      </c>
      <c r="F122">
        <v>35</v>
      </c>
      <c r="G122" t="s">
        <v>26</v>
      </c>
      <c r="H122" t="s">
        <v>18</v>
      </c>
      <c r="I122" s="1" t="s">
        <v>27</v>
      </c>
      <c r="J122">
        <v>0.29020000000000001</v>
      </c>
    </row>
    <row r="123" spans="1:10" hidden="1" x14ac:dyDescent="0.35">
      <c r="A123" t="str">
        <f t="shared" si="1"/>
        <v>Fronteira dos Vales20154.1</v>
      </c>
      <c r="B123">
        <v>3127057</v>
      </c>
      <c r="C123" t="s">
        <v>48</v>
      </c>
      <c r="D123">
        <v>2015</v>
      </c>
      <c r="E123">
        <v>1</v>
      </c>
      <c r="F123">
        <v>44</v>
      </c>
      <c r="G123" t="s">
        <v>28</v>
      </c>
      <c r="H123" t="s">
        <v>29</v>
      </c>
      <c r="I123" s="1" t="s">
        <v>30</v>
      </c>
      <c r="J123">
        <v>1800.03</v>
      </c>
    </row>
    <row r="124" spans="1:10" hidden="1" x14ac:dyDescent="0.35">
      <c r="A124" t="str">
        <f t="shared" si="1"/>
        <v>Fronteira dos Vales20154.10</v>
      </c>
      <c r="B124">
        <v>3127057</v>
      </c>
      <c r="C124" t="s">
        <v>48</v>
      </c>
      <c r="D124">
        <v>2015</v>
      </c>
      <c r="E124">
        <v>1</v>
      </c>
      <c r="F124">
        <v>58</v>
      </c>
      <c r="G124" t="s">
        <v>31</v>
      </c>
      <c r="H124" t="s">
        <v>29</v>
      </c>
      <c r="I124" s="1" t="s">
        <v>32</v>
      </c>
      <c r="J124">
        <v>2216.65</v>
      </c>
    </row>
    <row r="125" spans="1:10" hidden="1" x14ac:dyDescent="0.35">
      <c r="A125" t="str">
        <f t="shared" si="1"/>
        <v>Fronteira dos Vales20154.11</v>
      </c>
      <c r="B125">
        <v>3127057</v>
      </c>
      <c r="C125" t="s">
        <v>48</v>
      </c>
      <c r="D125">
        <v>2015</v>
      </c>
      <c r="E125">
        <v>1</v>
      </c>
      <c r="F125">
        <v>59</v>
      </c>
      <c r="G125" t="s">
        <v>33</v>
      </c>
      <c r="H125" t="s">
        <v>29</v>
      </c>
      <c r="I125" s="1" t="s">
        <v>34</v>
      </c>
      <c r="J125">
        <v>2862.24</v>
      </c>
    </row>
    <row r="126" spans="1:10" hidden="1" x14ac:dyDescent="0.35">
      <c r="A126" t="str">
        <f t="shared" si="1"/>
        <v>Fronteira dos Vales20154.2</v>
      </c>
      <c r="B126">
        <v>3127057</v>
      </c>
      <c r="C126" t="s">
        <v>48</v>
      </c>
      <c r="D126">
        <v>2015</v>
      </c>
      <c r="E126">
        <v>1</v>
      </c>
      <c r="F126">
        <v>45</v>
      </c>
      <c r="G126" t="s">
        <v>35</v>
      </c>
      <c r="H126" t="s">
        <v>29</v>
      </c>
      <c r="I126" s="1" t="s">
        <v>36</v>
      </c>
      <c r="J126">
        <v>8410.91</v>
      </c>
    </row>
    <row r="127" spans="1:10" hidden="1" x14ac:dyDescent="0.35">
      <c r="A127" t="str">
        <f t="shared" si="1"/>
        <v>Fronteira dos Vales20154.8</v>
      </c>
      <c r="B127">
        <v>3127057</v>
      </c>
      <c r="C127" t="s">
        <v>48</v>
      </c>
      <c r="D127">
        <v>2015</v>
      </c>
      <c r="E127">
        <v>1</v>
      </c>
      <c r="F127">
        <v>56</v>
      </c>
      <c r="G127" t="s">
        <v>37</v>
      </c>
      <c r="H127" t="s">
        <v>29</v>
      </c>
      <c r="I127" s="1" t="s">
        <v>38</v>
      </c>
      <c r="J127">
        <v>6369.41</v>
      </c>
    </row>
    <row r="128" spans="1:10" hidden="1" x14ac:dyDescent="0.35">
      <c r="A128" t="str">
        <f t="shared" si="1"/>
        <v>Fronteira dos Vales20154.9</v>
      </c>
      <c r="B128">
        <v>3127057</v>
      </c>
      <c r="C128" t="s">
        <v>48</v>
      </c>
      <c r="D128">
        <v>2015</v>
      </c>
      <c r="E128">
        <v>1</v>
      </c>
      <c r="F128">
        <v>57</v>
      </c>
      <c r="G128" t="s">
        <v>39</v>
      </c>
      <c r="H128" t="s">
        <v>29</v>
      </c>
      <c r="I128" s="1" t="s">
        <v>40</v>
      </c>
      <c r="J128">
        <v>6369.41</v>
      </c>
    </row>
    <row r="129" spans="1:10" hidden="1" x14ac:dyDescent="0.35">
      <c r="A129" t="str">
        <f t="shared" si="1"/>
        <v>Itaipé20151.1</v>
      </c>
      <c r="B129">
        <v>3132305</v>
      </c>
      <c r="C129" t="s">
        <v>49</v>
      </c>
      <c r="D129">
        <v>2015</v>
      </c>
      <c r="E129">
        <v>1</v>
      </c>
      <c r="F129">
        <v>24</v>
      </c>
      <c r="G129" t="s">
        <v>10</v>
      </c>
      <c r="H129" t="s">
        <v>11</v>
      </c>
      <c r="I129" s="1" t="s">
        <v>12</v>
      </c>
      <c r="J129">
        <v>0.25240000000000001</v>
      </c>
    </row>
    <row r="130" spans="1:10" hidden="1" x14ac:dyDescent="0.35">
      <c r="A130" t="str">
        <f t="shared" si="1"/>
        <v>Itaipé20151.2</v>
      </c>
      <c r="B130">
        <v>3132305</v>
      </c>
      <c r="C130" t="s">
        <v>49</v>
      </c>
      <c r="D130">
        <v>2015</v>
      </c>
      <c r="E130">
        <v>1</v>
      </c>
      <c r="F130">
        <v>67</v>
      </c>
      <c r="G130" t="s">
        <v>13</v>
      </c>
      <c r="H130" t="s">
        <v>11</v>
      </c>
      <c r="I130" s="1" t="s">
        <v>14</v>
      </c>
      <c r="J130">
        <v>0.60419999999999996</v>
      </c>
    </row>
    <row r="131" spans="1:10" hidden="1" x14ac:dyDescent="0.35">
      <c r="A131" t="str">
        <f t="shared" si="1"/>
        <v>Itaipé20151.3</v>
      </c>
      <c r="B131">
        <v>3132305</v>
      </c>
      <c r="C131" t="s">
        <v>49</v>
      </c>
      <c r="D131">
        <v>2015</v>
      </c>
      <c r="E131">
        <v>1</v>
      </c>
      <c r="F131">
        <v>68</v>
      </c>
      <c r="G131" t="s">
        <v>15</v>
      </c>
      <c r="H131" t="s">
        <v>11</v>
      </c>
      <c r="I131" s="1" t="s">
        <v>16</v>
      </c>
      <c r="J131">
        <v>0.38400000000000001</v>
      </c>
    </row>
    <row r="132" spans="1:10" hidden="1" x14ac:dyDescent="0.35">
      <c r="A132" t="str">
        <f t="shared" ref="A132:A195" si="2">C132&amp;D132&amp;G132</f>
        <v>Itaipé20152.1</v>
      </c>
      <c r="B132">
        <v>3132305</v>
      </c>
      <c r="C132" t="s">
        <v>49</v>
      </c>
      <c r="D132">
        <v>2015</v>
      </c>
      <c r="E132">
        <v>1</v>
      </c>
      <c r="F132">
        <v>28</v>
      </c>
      <c r="G132" t="s">
        <v>17</v>
      </c>
      <c r="H132" t="s">
        <v>18</v>
      </c>
      <c r="I132" s="1" t="s">
        <v>19</v>
      </c>
      <c r="J132">
        <v>7.2700000000000001E-2</v>
      </c>
    </row>
    <row r="133" spans="1:10" hidden="1" x14ac:dyDescent="0.35">
      <c r="A133" t="str">
        <f t="shared" si="2"/>
        <v>Itaipé20152.2</v>
      </c>
      <c r="B133">
        <v>3132305</v>
      </c>
      <c r="C133" t="s">
        <v>49</v>
      </c>
      <c r="D133">
        <v>2015</v>
      </c>
      <c r="E133">
        <v>1</v>
      </c>
      <c r="F133">
        <v>29</v>
      </c>
      <c r="G133" t="s">
        <v>20</v>
      </c>
      <c r="H133" t="s">
        <v>18</v>
      </c>
      <c r="I133" s="1" t="s">
        <v>21</v>
      </c>
      <c r="J133">
        <v>0.83540000000000003</v>
      </c>
    </row>
    <row r="134" spans="1:10" hidden="1" x14ac:dyDescent="0.35">
      <c r="A134" t="str">
        <f t="shared" si="2"/>
        <v>Itaipé20152.4</v>
      </c>
      <c r="B134">
        <v>3132305</v>
      </c>
      <c r="C134" t="s">
        <v>49</v>
      </c>
      <c r="D134">
        <v>2015</v>
      </c>
      <c r="E134">
        <v>1</v>
      </c>
      <c r="F134">
        <v>31</v>
      </c>
      <c r="G134" t="s">
        <v>22</v>
      </c>
      <c r="H134" t="s">
        <v>18</v>
      </c>
      <c r="I134" s="1" t="s">
        <v>23</v>
      </c>
      <c r="J134">
        <v>0.1241</v>
      </c>
    </row>
    <row r="135" spans="1:10" hidden="1" x14ac:dyDescent="0.35">
      <c r="A135" t="str">
        <f t="shared" si="2"/>
        <v>Itaipé20152.5</v>
      </c>
      <c r="B135">
        <v>3132305</v>
      </c>
      <c r="C135" t="s">
        <v>49</v>
      </c>
      <c r="D135">
        <v>2015</v>
      </c>
      <c r="E135">
        <v>1</v>
      </c>
      <c r="F135">
        <v>32</v>
      </c>
      <c r="G135" t="s">
        <v>24</v>
      </c>
      <c r="H135" t="s">
        <v>18</v>
      </c>
      <c r="I135" s="1" t="s">
        <v>25</v>
      </c>
      <c r="J135">
        <v>0.78129999999999999</v>
      </c>
    </row>
    <row r="136" spans="1:10" hidden="1" x14ac:dyDescent="0.35">
      <c r="A136" t="str">
        <f t="shared" si="2"/>
        <v>Itaipé20152.8</v>
      </c>
      <c r="B136">
        <v>3132305</v>
      </c>
      <c r="C136" t="s">
        <v>49</v>
      </c>
      <c r="D136">
        <v>2015</v>
      </c>
      <c r="E136">
        <v>1</v>
      </c>
      <c r="F136">
        <v>35</v>
      </c>
      <c r="G136" t="s">
        <v>26</v>
      </c>
      <c r="H136" t="s">
        <v>18</v>
      </c>
      <c r="I136" s="1" t="s">
        <v>27</v>
      </c>
      <c r="J136">
        <v>0.42270000000000002</v>
      </c>
    </row>
    <row r="137" spans="1:10" hidden="1" x14ac:dyDescent="0.35">
      <c r="A137" t="str">
        <f t="shared" si="2"/>
        <v>Itaipé20154.1</v>
      </c>
      <c r="B137">
        <v>3132305</v>
      </c>
      <c r="C137" t="s">
        <v>49</v>
      </c>
      <c r="D137">
        <v>2015</v>
      </c>
      <c r="E137">
        <v>1</v>
      </c>
      <c r="F137">
        <v>44</v>
      </c>
      <c r="G137" t="s">
        <v>28</v>
      </c>
      <c r="H137" t="s">
        <v>29</v>
      </c>
      <c r="I137" s="1" t="s">
        <v>30</v>
      </c>
      <c r="J137">
        <v>3651.31</v>
      </c>
    </row>
    <row r="138" spans="1:10" hidden="1" x14ac:dyDescent="0.35">
      <c r="A138" t="str">
        <f t="shared" si="2"/>
        <v>Itaipé20154.10</v>
      </c>
      <c r="B138">
        <v>3132305</v>
      </c>
      <c r="C138" t="s">
        <v>49</v>
      </c>
      <c r="D138">
        <v>2015</v>
      </c>
      <c r="E138">
        <v>1</v>
      </c>
      <c r="F138">
        <v>58</v>
      </c>
      <c r="G138" t="s">
        <v>31</v>
      </c>
      <c r="H138" t="s">
        <v>29</v>
      </c>
      <c r="I138" s="1" t="s">
        <v>32</v>
      </c>
      <c r="J138">
        <v>1953.83</v>
      </c>
    </row>
    <row r="139" spans="1:10" hidden="1" x14ac:dyDescent="0.35">
      <c r="A139" t="str">
        <f t="shared" si="2"/>
        <v>Itaipé20154.11</v>
      </c>
      <c r="B139">
        <v>3132305</v>
      </c>
      <c r="C139" t="s">
        <v>49</v>
      </c>
      <c r="D139">
        <v>2015</v>
      </c>
      <c r="E139">
        <v>1</v>
      </c>
      <c r="F139">
        <v>59</v>
      </c>
      <c r="G139" t="s">
        <v>33</v>
      </c>
      <c r="H139" t="s">
        <v>29</v>
      </c>
      <c r="I139" s="1" t="s">
        <v>34</v>
      </c>
      <c r="J139">
        <v>693.63</v>
      </c>
    </row>
    <row r="140" spans="1:10" hidden="1" x14ac:dyDescent="0.35">
      <c r="A140" t="str">
        <f t="shared" si="2"/>
        <v>Itaipé20154.2</v>
      </c>
      <c r="B140">
        <v>3132305</v>
      </c>
      <c r="C140" t="s">
        <v>49</v>
      </c>
      <c r="D140">
        <v>2015</v>
      </c>
      <c r="E140">
        <v>1</v>
      </c>
      <c r="F140">
        <v>45</v>
      </c>
      <c r="G140" t="s">
        <v>35</v>
      </c>
      <c r="H140" t="s">
        <v>29</v>
      </c>
      <c r="I140" s="1" t="s">
        <v>36</v>
      </c>
      <c r="J140">
        <v>5278.54</v>
      </c>
    </row>
    <row r="141" spans="1:10" hidden="1" x14ac:dyDescent="0.35">
      <c r="A141" t="str">
        <f t="shared" si="2"/>
        <v>Itaipé20154.8</v>
      </c>
      <c r="B141">
        <v>3132305</v>
      </c>
      <c r="C141" t="s">
        <v>49</v>
      </c>
      <c r="D141">
        <v>2015</v>
      </c>
      <c r="E141">
        <v>1</v>
      </c>
      <c r="F141">
        <v>56</v>
      </c>
      <c r="G141" t="s">
        <v>37</v>
      </c>
      <c r="H141" t="s">
        <v>29</v>
      </c>
      <c r="I141" s="1" t="s">
        <v>38</v>
      </c>
      <c r="J141">
        <v>4655.18</v>
      </c>
    </row>
    <row r="142" spans="1:10" hidden="1" x14ac:dyDescent="0.35">
      <c r="A142" t="str">
        <f t="shared" si="2"/>
        <v>Itaipé20154.9</v>
      </c>
      <c r="B142">
        <v>3132305</v>
      </c>
      <c r="C142" t="s">
        <v>49</v>
      </c>
      <c r="D142">
        <v>2015</v>
      </c>
      <c r="E142">
        <v>1</v>
      </c>
      <c r="F142">
        <v>57</v>
      </c>
      <c r="G142" t="s">
        <v>39</v>
      </c>
      <c r="H142" t="s">
        <v>29</v>
      </c>
      <c r="I142" s="1" t="s">
        <v>40</v>
      </c>
      <c r="J142">
        <v>4655.18</v>
      </c>
    </row>
    <row r="143" spans="1:10" hidden="1" x14ac:dyDescent="0.35">
      <c r="A143" t="str">
        <f t="shared" si="2"/>
        <v>Ladainha20151.1</v>
      </c>
      <c r="B143">
        <v>3137007</v>
      </c>
      <c r="C143" t="s">
        <v>50</v>
      </c>
      <c r="D143">
        <v>2015</v>
      </c>
      <c r="E143">
        <v>1</v>
      </c>
      <c r="F143">
        <v>24</v>
      </c>
      <c r="G143" t="s">
        <v>10</v>
      </c>
      <c r="H143" t="s">
        <v>11</v>
      </c>
      <c r="I143" s="1" t="s">
        <v>12</v>
      </c>
      <c r="J143">
        <v>0.25140000000000001</v>
      </c>
    </row>
    <row r="144" spans="1:10" hidden="1" x14ac:dyDescent="0.35">
      <c r="A144" t="str">
        <f t="shared" si="2"/>
        <v>Ladainha20151.2</v>
      </c>
      <c r="B144">
        <v>3137007</v>
      </c>
      <c r="C144" t="s">
        <v>50</v>
      </c>
      <c r="D144">
        <v>2015</v>
      </c>
      <c r="E144">
        <v>1</v>
      </c>
      <c r="F144">
        <v>67</v>
      </c>
      <c r="G144" t="s">
        <v>13</v>
      </c>
      <c r="H144" t="s">
        <v>11</v>
      </c>
      <c r="I144" s="1" t="s">
        <v>14</v>
      </c>
      <c r="J144">
        <v>0.72589999999999999</v>
      </c>
    </row>
    <row r="145" spans="1:10" hidden="1" x14ac:dyDescent="0.35">
      <c r="A145" t="str">
        <f t="shared" si="2"/>
        <v>Ladainha20151.3</v>
      </c>
      <c r="B145">
        <v>3137007</v>
      </c>
      <c r="C145" t="s">
        <v>50</v>
      </c>
      <c r="D145">
        <v>2015</v>
      </c>
      <c r="E145">
        <v>1</v>
      </c>
      <c r="F145">
        <v>68</v>
      </c>
      <c r="G145" t="s">
        <v>15</v>
      </c>
      <c r="H145" t="s">
        <v>11</v>
      </c>
      <c r="I145" s="1" t="s">
        <v>16</v>
      </c>
      <c r="J145">
        <v>0.2606</v>
      </c>
    </row>
    <row r="146" spans="1:10" hidden="1" x14ac:dyDescent="0.35">
      <c r="A146" t="str">
        <f t="shared" si="2"/>
        <v>Ladainha20152.1</v>
      </c>
      <c r="B146">
        <v>3137007</v>
      </c>
      <c r="C146" t="s">
        <v>50</v>
      </c>
      <c r="D146">
        <v>2015</v>
      </c>
      <c r="E146">
        <v>1</v>
      </c>
      <c r="F146">
        <v>28</v>
      </c>
      <c r="G146" t="s">
        <v>17</v>
      </c>
      <c r="H146" t="s">
        <v>18</v>
      </c>
      <c r="I146" s="1" t="s">
        <v>19</v>
      </c>
      <c r="J146">
        <v>0.1021</v>
      </c>
    </row>
    <row r="147" spans="1:10" hidden="1" x14ac:dyDescent="0.35">
      <c r="A147" t="str">
        <f t="shared" si="2"/>
        <v>Ladainha20152.2</v>
      </c>
      <c r="B147">
        <v>3137007</v>
      </c>
      <c r="C147" t="s">
        <v>50</v>
      </c>
      <c r="D147">
        <v>2015</v>
      </c>
      <c r="E147">
        <v>1</v>
      </c>
      <c r="F147">
        <v>29</v>
      </c>
      <c r="G147" t="s">
        <v>20</v>
      </c>
      <c r="H147" t="s">
        <v>18</v>
      </c>
      <c r="I147" s="1" t="s">
        <v>21</v>
      </c>
      <c r="J147">
        <v>0.85570000000000002</v>
      </c>
    </row>
    <row r="148" spans="1:10" hidden="1" x14ac:dyDescent="0.35">
      <c r="A148" t="str">
        <f t="shared" si="2"/>
        <v>Ladainha20152.4</v>
      </c>
      <c r="B148">
        <v>3137007</v>
      </c>
      <c r="C148" t="s">
        <v>50</v>
      </c>
      <c r="D148">
        <v>2015</v>
      </c>
      <c r="E148">
        <v>1</v>
      </c>
      <c r="F148">
        <v>31</v>
      </c>
      <c r="G148" t="s">
        <v>22</v>
      </c>
      <c r="H148" t="s">
        <v>18</v>
      </c>
      <c r="I148" s="1" t="s">
        <v>23</v>
      </c>
      <c r="J148">
        <v>0.27389999999999998</v>
      </c>
    </row>
    <row r="149" spans="1:10" hidden="1" x14ac:dyDescent="0.35">
      <c r="A149" t="str">
        <f t="shared" si="2"/>
        <v>Ladainha20152.5</v>
      </c>
      <c r="B149">
        <v>3137007</v>
      </c>
      <c r="C149" t="s">
        <v>50</v>
      </c>
      <c r="D149">
        <v>2015</v>
      </c>
      <c r="E149">
        <v>1</v>
      </c>
      <c r="F149">
        <v>32</v>
      </c>
      <c r="G149" t="s">
        <v>24</v>
      </c>
      <c r="H149" t="s">
        <v>18</v>
      </c>
      <c r="I149" s="1" t="s">
        <v>25</v>
      </c>
      <c r="J149">
        <v>0.66449999999999998</v>
      </c>
    </row>
    <row r="150" spans="1:10" hidden="1" x14ac:dyDescent="0.35">
      <c r="A150" t="str">
        <f t="shared" si="2"/>
        <v>Ladainha20152.8</v>
      </c>
      <c r="B150">
        <v>3137007</v>
      </c>
      <c r="C150" t="s">
        <v>50</v>
      </c>
      <c r="D150">
        <v>2015</v>
      </c>
      <c r="E150">
        <v>1</v>
      </c>
      <c r="F150">
        <v>35</v>
      </c>
      <c r="G150" t="s">
        <v>26</v>
      </c>
      <c r="H150" t="s">
        <v>18</v>
      </c>
      <c r="I150" s="1" t="s">
        <v>27</v>
      </c>
      <c r="J150">
        <v>0.27350000000000002</v>
      </c>
    </row>
    <row r="151" spans="1:10" hidden="1" x14ac:dyDescent="0.35">
      <c r="A151" t="str">
        <f t="shared" si="2"/>
        <v>Ladainha20154.1</v>
      </c>
      <c r="B151">
        <v>3137007</v>
      </c>
      <c r="C151" t="s">
        <v>50</v>
      </c>
      <c r="D151">
        <v>2015</v>
      </c>
      <c r="E151">
        <v>1</v>
      </c>
      <c r="F151">
        <v>44</v>
      </c>
      <c r="G151" t="s">
        <v>28</v>
      </c>
      <c r="H151" t="s">
        <v>29</v>
      </c>
      <c r="I151" s="1" t="s">
        <v>30</v>
      </c>
      <c r="J151">
        <v>5364.83</v>
      </c>
    </row>
    <row r="152" spans="1:10" hidden="1" x14ac:dyDescent="0.35">
      <c r="A152" t="str">
        <f t="shared" si="2"/>
        <v>Ladainha20154.10</v>
      </c>
      <c r="B152">
        <v>3137007</v>
      </c>
      <c r="C152" t="s">
        <v>50</v>
      </c>
      <c r="D152">
        <v>2015</v>
      </c>
      <c r="E152">
        <v>1</v>
      </c>
      <c r="F152">
        <v>58</v>
      </c>
      <c r="G152" t="s">
        <v>31</v>
      </c>
      <c r="H152" t="s">
        <v>29</v>
      </c>
      <c r="I152" s="1" t="s">
        <v>32</v>
      </c>
      <c r="J152">
        <v>2648.84</v>
      </c>
    </row>
    <row r="153" spans="1:10" hidden="1" x14ac:dyDescent="0.35">
      <c r="A153" t="str">
        <f t="shared" si="2"/>
        <v>Ladainha20154.11</v>
      </c>
      <c r="B153">
        <v>3137007</v>
      </c>
      <c r="C153" t="s">
        <v>50</v>
      </c>
      <c r="D153">
        <v>2015</v>
      </c>
      <c r="E153">
        <v>1</v>
      </c>
      <c r="F153">
        <v>59</v>
      </c>
      <c r="G153" t="s">
        <v>33</v>
      </c>
      <c r="H153" t="s">
        <v>29</v>
      </c>
      <c r="I153" s="1" t="s">
        <v>34</v>
      </c>
      <c r="J153">
        <v>804.2</v>
      </c>
    </row>
    <row r="154" spans="1:10" hidden="1" x14ac:dyDescent="0.35">
      <c r="A154" t="str">
        <f t="shared" si="2"/>
        <v>Ladainha20154.2</v>
      </c>
      <c r="B154">
        <v>3137007</v>
      </c>
      <c r="C154" t="s">
        <v>50</v>
      </c>
      <c r="D154">
        <v>2015</v>
      </c>
      <c r="E154">
        <v>1</v>
      </c>
      <c r="F154">
        <v>45</v>
      </c>
      <c r="G154" t="s">
        <v>35</v>
      </c>
      <c r="H154" t="s">
        <v>29</v>
      </c>
      <c r="I154" s="1" t="s">
        <v>36</v>
      </c>
      <c r="J154">
        <v>3815.82</v>
      </c>
    </row>
    <row r="155" spans="1:10" hidden="1" x14ac:dyDescent="0.35">
      <c r="A155" t="str">
        <f t="shared" si="2"/>
        <v>Ladainha20154.8</v>
      </c>
      <c r="B155">
        <v>3137007</v>
      </c>
      <c r="C155" t="s">
        <v>50</v>
      </c>
      <c r="D155">
        <v>2015</v>
      </c>
      <c r="E155">
        <v>1</v>
      </c>
      <c r="F155">
        <v>56</v>
      </c>
      <c r="G155" t="s">
        <v>37</v>
      </c>
      <c r="H155" t="s">
        <v>29</v>
      </c>
      <c r="I155" s="1" t="s">
        <v>38</v>
      </c>
      <c r="J155">
        <v>4257.67</v>
      </c>
    </row>
    <row r="156" spans="1:10" hidden="1" x14ac:dyDescent="0.35">
      <c r="A156" t="str">
        <f t="shared" si="2"/>
        <v>Ladainha20154.9</v>
      </c>
      <c r="B156">
        <v>3137007</v>
      </c>
      <c r="C156" t="s">
        <v>50</v>
      </c>
      <c r="D156">
        <v>2015</v>
      </c>
      <c r="E156">
        <v>1</v>
      </c>
      <c r="F156">
        <v>57</v>
      </c>
      <c r="G156" t="s">
        <v>39</v>
      </c>
      <c r="H156" t="s">
        <v>29</v>
      </c>
      <c r="I156" s="1" t="s">
        <v>40</v>
      </c>
      <c r="J156">
        <v>4257.67</v>
      </c>
    </row>
    <row r="157" spans="1:10" hidden="1" x14ac:dyDescent="0.35">
      <c r="A157" t="str">
        <f t="shared" si="2"/>
        <v>Machacalis20151.1</v>
      </c>
      <c r="B157">
        <v>3138906</v>
      </c>
      <c r="C157" t="s">
        <v>51</v>
      </c>
      <c r="D157">
        <v>2015</v>
      </c>
      <c r="E157">
        <v>1</v>
      </c>
      <c r="F157">
        <v>24</v>
      </c>
      <c r="G157" t="s">
        <v>10</v>
      </c>
      <c r="H157" t="s">
        <v>11</v>
      </c>
      <c r="I157" s="1" t="s">
        <v>12</v>
      </c>
      <c r="J157">
        <v>0.25380000000000003</v>
      </c>
    </row>
    <row r="158" spans="1:10" hidden="1" x14ac:dyDescent="0.35">
      <c r="A158" t="str">
        <f t="shared" si="2"/>
        <v>Machacalis20151.2</v>
      </c>
      <c r="B158">
        <v>3138906</v>
      </c>
      <c r="C158" t="s">
        <v>51</v>
      </c>
      <c r="D158">
        <v>2015</v>
      </c>
      <c r="E158">
        <v>1</v>
      </c>
      <c r="F158">
        <v>67</v>
      </c>
      <c r="G158" t="s">
        <v>13</v>
      </c>
      <c r="H158" t="s">
        <v>11</v>
      </c>
      <c r="I158" s="1" t="s">
        <v>14</v>
      </c>
      <c r="J158">
        <v>0.71399999999999997</v>
      </c>
    </row>
    <row r="159" spans="1:10" hidden="1" x14ac:dyDescent="0.35">
      <c r="A159" t="str">
        <f t="shared" si="2"/>
        <v>Machacalis20151.3</v>
      </c>
      <c r="B159">
        <v>3138906</v>
      </c>
      <c r="C159" t="s">
        <v>51</v>
      </c>
      <c r="D159">
        <v>2015</v>
      </c>
      <c r="E159">
        <v>1</v>
      </c>
      <c r="F159">
        <v>68</v>
      </c>
      <c r="G159" t="s">
        <v>15</v>
      </c>
      <c r="H159" t="s">
        <v>11</v>
      </c>
      <c r="I159" s="1" t="s">
        <v>16</v>
      </c>
      <c r="J159">
        <v>0.28599999999999998</v>
      </c>
    </row>
    <row r="160" spans="1:10" hidden="1" x14ac:dyDescent="0.35">
      <c r="A160" t="str">
        <f t="shared" si="2"/>
        <v>Machacalis20152.1</v>
      </c>
      <c r="B160">
        <v>3138906</v>
      </c>
      <c r="C160" t="s">
        <v>51</v>
      </c>
      <c r="D160">
        <v>2015</v>
      </c>
      <c r="E160">
        <v>1</v>
      </c>
      <c r="F160">
        <v>28</v>
      </c>
      <c r="G160" t="s">
        <v>17</v>
      </c>
      <c r="H160" t="s">
        <v>18</v>
      </c>
      <c r="I160" s="1" t="s">
        <v>19</v>
      </c>
      <c r="J160">
        <v>0.13070000000000001</v>
      </c>
    </row>
    <row r="161" spans="1:10" hidden="1" x14ac:dyDescent="0.35">
      <c r="A161" t="str">
        <f t="shared" si="2"/>
        <v>Machacalis20152.2</v>
      </c>
      <c r="B161">
        <v>3138906</v>
      </c>
      <c r="C161" t="s">
        <v>51</v>
      </c>
      <c r="D161">
        <v>2015</v>
      </c>
      <c r="E161">
        <v>1</v>
      </c>
      <c r="F161">
        <v>29</v>
      </c>
      <c r="G161" t="s">
        <v>20</v>
      </c>
      <c r="H161" t="s">
        <v>18</v>
      </c>
      <c r="I161" s="1" t="s">
        <v>21</v>
      </c>
      <c r="J161">
        <v>0.82599999999999996</v>
      </c>
    </row>
    <row r="162" spans="1:10" hidden="1" x14ac:dyDescent="0.35">
      <c r="A162" t="str">
        <f t="shared" si="2"/>
        <v>Machacalis20152.4</v>
      </c>
      <c r="B162">
        <v>3138906</v>
      </c>
      <c r="C162" t="s">
        <v>51</v>
      </c>
      <c r="D162">
        <v>2015</v>
      </c>
      <c r="E162">
        <v>1</v>
      </c>
      <c r="F162">
        <v>31</v>
      </c>
      <c r="G162" t="s">
        <v>22</v>
      </c>
      <c r="H162" t="s">
        <v>18</v>
      </c>
      <c r="I162" s="1" t="s">
        <v>23</v>
      </c>
      <c r="J162">
        <v>0.1867</v>
      </c>
    </row>
    <row r="163" spans="1:10" hidden="1" x14ac:dyDescent="0.35">
      <c r="A163" t="str">
        <f t="shared" si="2"/>
        <v>Machacalis20152.5</v>
      </c>
      <c r="B163">
        <v>3138906</v>
      </c>
      <c r="C163" t="s">
        <v>51</v>
      </c>
      <c r="D163">
        <v>2015</v>
      </c>
      <c r="E163">
        <v>1</v>
      </c>
      <c r="F163">
        <v>32</v>
      </c>
      <c r="G163" t="s">
        <v>24</v>
      </c>
      <c r="H163" t="s">
        <v>18</v>
      </c>
      <c r="I163" s="1" t="s">
        <v>25</v>
      </c>
      <c r="J163">
        <v>0.72899999999999998</v>
      </c>
    </row>
    <row r="164" spans="1:10" hidden="1" x14ac:dyDescent="0.35">
      <c r="A164" t="str">
        <f t="shared" si="2"/>
        <v>Machacalis20152.8</v>
      </c>
      <c r="B164">
        <v>3138906</v>
      </c>
      <c r="C164" t="s">
        <v>51</v>
      </c>
      <c r="D164">
        <v>2015</v>
      </c>
      <c r="E164">
        <v>1</v>
      </c>
      <c r="F164">
        <v>35</v>
      </c>
      <c r="G164" t="s">
        <v>26</v>
      </c>
      <c r="H164" t="s">
        <v>18</v>
      </c>
      <c r="I164" s="1" t="s">
        <v>27</v>
      </c>
      <c r="J164">
        <v>0.23699999999999999</v>
      </c>
    </row>
    <row r="165" spans="1:10" hidden="1" x14ac:dyDescent="0.35">
      <c r="A165" t="str">
        <f t="shared" si="2"/>
        <v>Machacalis20154.1</v>
      </c>
      <c r="B165">
        <v>3138906</v>
      </c>
      <c r="C165" t="s">
        <v>51</v>
      </c>
      <c r="D165">
        <v>2015</v>
      </c>
      <c r="E165">
        <v>1</v>
      </c>
      <c r="F165">
        <v>44</v>
      </c>
      <c r="G165" t="s">
        <v>28</v>
      </c>
      <c r="H165" t="s">
        <v>29</v>
      </c>
      <c r="I165" s="1" t="s">
        <v>30</v>
      </c>
      <c r="J165">
        <v>2878.98</v>
      </c>
    </row>
    <row r="166" spans="1:10" hidden="1" x14ac:dyDescent="0.35">
      <c r="A166" t="str">
        <f t="shared" si="2"/>
        <v>Machacalis20154.10</v>
      </c>
      <c r="B166">
        <v>3138906</v>
      </c>
      <c r="C166" t="s">
        <v>51</v>
      </c>
      <c r="D166">
        <v>2015</v>
      </c>
      <c r="E166">
        <v>1</v>
      </c>
      <c r="F166">
        <v>58</v>
      </c>
      <c r="G166" t="s">
        <v>31</v>
      </c>
      <c r="H166" t="s">
        <v>29</v>
      </c>
      <c r="I166" s="1" t="s">
        <v>32</v>
      </c>
      <c r="J166">
        <v>2680.96</v>
      </c>
    </row>
    <row r="167" spans="1:10" hidden="1" x14ac:dyDescent="0.35">
      <c r="A167" t="str">
        <f t="shared" si="2"/>
        <v>Machacalis20154.11</v>
      </c>
      <c r="B167">
        <v>3138906</v>
      </c>
      <c r="C167" t="s">
        <v>51</v>
      </c>
      <c r="D167">
        <v>2015</v>
      </c>
      <c r="E167">
        <v>1</v>
      </c>
      <c r="F167">
        <v>59</v>
      </c>
      <c r="G167" t="s">
        <v>33</v>
      </c>
      <c r="H167" t="s">
        <v>29</v>
      </c>
      <c r="I167" s="1" t="s">
        <v>34</v>
      </c>
      <c r="J167">
        <v>795.5</v>
      </c>
    </row>
    <row r="168" spans="1:10" hidden="1" x14ac:dyDescent="0.35">
      <c r="A168" t="str">
        <f t="shared" si="2"/>
        <v>Machacalis20154.2</v>
      </c>
      <c r="B168">
        <v>3138906</v>
      </c>
      <c r="C168" t="s">
        <v>51</v>
      </c>
      <c r="D168">
        <v>2015</v>
      </c>
      <c r="E168">
        <v>1</v>
      </c>
      <c r="F168">
        <v>45</v>
      </c>
      <c r="G168" t="s">
        <v>35</v>
      </c>
      <c r="H168" t="s">
        <v>29</v>
      </c>
      <c r="I168" s="1" t="s">
        <v>36</v>
      </c>
      <c r="J168">
        <v>4933.1400000000003</v>
      </c>
    </row>
    <row r="169" spans="1:10" hidden="1" x14ac:dyDescent="0.35">
      <c r="A169" t="str">
        <f t="shared" si="2"/>
        <v>Machacalis20154.8</v>
      </c>
      <c r="B169">
        <v>3138906</v>
      </c>
      <c r="C169" t="s">
        <v>51</v>
      </c>
      <c r="D169">
        <v>2015</v>
      </c>
      <c r="E169">
        <v>1</v>
      </c>
      <c r="F169">
        <v>56</v>
      </c>
      <c r="G169" t="s">
        <v>37</v>
      </c>
      <c r="H169" t="s">
        <v>29</v>
      </c>
      <c r="I169" s="1" t="s">
        <v>38</v>
      </c>
      <c r="J169">
        <v>4404.95</v>
      </c>
    </row>
    <row r="170" spans="1:10" hidden="1" x14ac:dyDescent="0.35">
      <c r="A170" t="str">
        <f t="shared" si="2"/>
        <v>Machacalis20154.9</v>
      </c>
      <c r="B170">
        <v>3138906</v>
      </c>
      <c r="C170" t="s">
        <v>51</v>
      </c>
      <c r="D170">
        <v>2015</v>
      </c>
      <c r="E170">
        <v>1</v>
      </c>
      <c r="F170">
        <v>57</v>
      </c>
      <c r="G170" t="s">
        <v>39</v>
      </c>
      <c r="H170" t="s">
        <v>29</v>
      </c>
      <c r="I170" s="1" t="s">
        <v>40</v>
      </c>
      <c r="J170">
        <v>4404.95</v>
      </c>
    </row>
    <row r="171" spans="1:10" hidden="1" x14ac:dyDescent="0.35">
      <c r="A171" t="str">
        <f t="shared" si="2"/>
        <v>Malacacheta20151.1</v>
      </c>
      <c r="B171">
        <v>3139201</v>
      </c>
      <c r="C171" t="s">
        <v>52</v>
      </c>
      <c r="D171">
        <v>2015</v>
      </c>
      <c r="E171">
        <v>1</v>
      </c>
      <c r="F171">
        <v>24</v>
      </c>
      <c r="G171" t="s">
        <v>10</v>
      </c>
      <c r="H171" t="s">
        <v>11</v>
      </c>
      <c r="I171" s="1" t="s">
        <v>12</v>
      </c>
      <c r="J171">
        <v>0.29370000000000002</v>
      </c>
    </row>
    <row r="172" spans="1:10" hidden="1" x14ac:dyDescent="0.35">
      <c r="A172" t="str">
        <f t="shared" si="2"/>
        <v>Malacacheta20151.2</v>
      </c>
      <c r="B172">
        <v>3139201</v>
      </c>
      <c r="C172" t="s">
        <v>52</v>
      </c>
      <c r="D172">
        <v>2015</v>
      </c>
      <c r="E172">
        <v>1</v>
      </c>
      <c r="F172">
        <v>67</v>
      </c>
      <c r="G172" t="s">
        <v>13</v>
      </c>
      <c r="H172" t="s">
        <v>11</v>
      </c>
      <c r="I172" s="1" t="s">
        <v>14</v>
      </c>
      <c r="J172">
        <v>0.69669999999999999</v>
      </c>
    </row>
    <row r="173" spans="1:10" hidden="1" x14ac:dyDescent="0.35">
      <c r="A173" t="str">
        <f t="shared" si="2"/>
        <v>Malacacheta20151.3</v>
      </c>
      <c r="B173">
        <v>3139201</v>
      </c>
      <c r="C173" t="s">
        <v>52</v>
      </c>
      <c r="D173">
        <v>2015</v>
      </c>
      <c r="E173">
        <v>1</v>
      </c>
      <c r="F173">
        <v>68</v>
      </c>
      <c r="G173" t="s">
        <v>15</v>
      </c>
      <c r="H173" t="s">
        <v>11</v>
      </c>
      <c r="I173" s="1" t="s">
        <v>16</v>
      </c>
      <c r="J173">
        <v>0.27089999999999997</v>
      </c>
    </row>
    <row r="174" spans="1:10" hidden="1" x14ac:dyDescent="0.35">
      <c r="A174" t="str">
        <f t="shared" si="2"/>
        <v>Malacacheta20152.1</v>
      </c>
      <c r="B174">
        <v>3139201</v>
      </c>
      <c r="C174" t="s">
        <v>52</v>
      </c>
      <c r="D174">
        <v>2015</v>
      </c>
      <c r="E174">
        <v>1</v>
      </c>
      <c r="F174">
        <v>28</v>
      </c>
      <c r="G174" t="s">
        <v>17</v>
      </c>
      <c r="H174" t="s">
        <v>18</v>
      </c>
      <c r="I174" s="1" t="s">
        <v>19</v>
      </c>
      <c r="J174">
        <v>8.1900000000000001E-2</v>
      </c>
    </row>
    <row r="175" spans="1:10" hidden="1" x14ac:dyDescent="0.35">
      <c r="A175" t="str">
        <f t="shared" si="2"/>
        <v>Malacacheta20152.2</v>
      </c>
      <c r="B175">
        <v>3139201</v>
      </c>
      <c r="C175" t="s">
        <v>52</v>
      </c>
      <c r="D175">
        <v>2015</v>
      </c>
      <c r="E175">
        <v>1</v>
      </c>
      <c r="F175">
        <v>29</v>
      </c>
      <c r="G175" t="s">
        <v>20</v>
      </c>
      <c r="H175" t="s">
        <v>18</v>
      </c>
      <c r="I175" s="1" t="s">
        <v>21</v>
      </c>
      <c r="J175">
        <v>0.62</v>
      </c>
    </row>
    <row r="176" spans="1:10" hidden="1" x14ac:dyDescent="0.35">
      <c r="A176" t="str">
        <f t="shared" si="2"/>
        <v>Malacacheta20152.4</v>
      </c>
      <c r="B176">
        <v>3139201</v>
      </c>
      <c r="C176" t="s">
        <v>52</v>
      </c>
      <c r="D176">
        <v>2015</v>
      </c>
      <c r="E176">
        <v>1</v>
      </c>
      <c r="F176">
        <v>31</v>
      </c>
      <c r="G176" t="s">
        <v>22</v>
      </c>
      <c r="H176" t="s">
        <v>18</v>
      </c>
      <c r="I176" s="1" t="s">
        <v>23</v>
      </c>
      <c r="J176">
        <v>0.15770000000000001</v>
      </c>
    </row>
    <row r="177" spans="1:10" hidden="1" x14ac:dyDescent="0.35">
      <c r="A177" t="str">
        <f t="shared" si="2"/>
        <v>Malacacheta20152.5</v>
      </c>
      <c r="B177">
        <v>3139201</v>
      </c>
      <c r="C177" t="s">
        <v>52</v>
      </c>
      <c r="D177">
        <v>2015</v>
      </c>
      <c r="E177">
        <v>1</v>
      </c>
      <c r="F177">
        <v>32</v>
      </c>
      <c r="G177" t="s">
        <v>24</v>
      </c>
      <c r="H177" t="s">
        <v>18</v>
      </c>
      <c r="I177" s="1" t="s">
        <v>25</v>
      </c>
      <c r="J177">
        <v>0.78480000000000005</v>
      </c>
    </row>
    <row r="178" spans="1:10" hidden="1" x14ac:dyDescent="0.35">
      <c r="A178" t="str">
        <f t="shared" si="2"/>
        <v>Malacacheta20152.8</v>
      </c>
      <c r="B178">
        <v>3139201</v>
      </c>
      <c r="C178" t="s">
        <v>52</v>
      </c>
      <c r="D178">
        <v>2015</v>
      </c>
      <c r="E178">
        <v>1</v>
      </c>
      <c r="F178">
        <v>35</v>
      </c>
      <c r="G178" t="s">
        <v>26</v>
      </c>
      <c r="H178" t="s">
        <v>18</v>
      </c>
      <c r="I178" s="1" t="s">
        <v>27</v>
      </c>
      <c r="J178">
        <v>0.2351</v>
      </c>
    </row>
    <row r="179" spans="1:10" hidden="1" x14ac:dyDescent="0.35">
      <c r="A179" t="str">
        <f t="shared" si="2"/>
        <v>Malacacheta20154.1</v>
      </c>
      <c r="B179">
        <v>3139201</v>
      </c>
      <c r="C179" t="s">
        <v>52</v>
      </c>
      <c r="D179">
        <v>2015</v>
      </c>
      <c r="E179">
        <v>1</v>
      </c>
      <c r="F179">
        <v>44</v>
      </c>
      <c r="G179" t="s">
        <v>28</v>
      </c>
      <c r="H179" t="s">
        <v>29</v>
      </c>
      <c r="I179" s="1" t="s">
        <v>30</v>
      </c>
      <c r="J179">
        <v>2120.83</v>
      </c>
    </row>
    <row r="180" spans="1:10" hidden="1" x14ac:dyDescent="0.35">
      <c r="A180" t="str">
        <f t="shared" si="2"/>
        <v>Malacacheta20154.10</v>
      </c>
      <c r="B180">
        <v>3139201</v>
      </c>
      <c r="C180" t="s">
        <v>52</v>
      </c>
      <c r="D180">
        <v>2015</v>
      </c>
      <c r="E180">
        <v>1</v>
      </c>
      <c r="F180">
        <v>58</v>
      </c>
      <c r="G180" t="s">
        <v>31</v>
      </c>
      <c r="H180" t="s">
        <v>29</v>
      </c>
      <c r="I180" s="1" t="s">
        <v>32</v>
      </c>
      <c r="J180">
        <v>1900.47</v>
      </c>
    </row>
    <row r="181" spans="1:10" hidden="1" x14ac:dyDescent="0.35">
      <c r="A181" t="str">
        <f t="shared" si="2"/>
        <v>Malacacheta20154.11</v>
      </c>
      <c r="B181">
        <v>3139201</v>
      </c>
      <c r="C181" t="s">
        <v>52</v>
      </c>
      <c r="D181">
        <v>2015</v>
      </c>
      <c r="E181">
        <v>1</v>
      </c>
      <c r="F181">
        <v>59</v>
      </c>
      <c r="G181" t="s">
        <v>33</v>
      </c>
      <c r="H181" t="s">
        <v>29</v>
      </c>
      <c r="I181" s="1" t="s">
        <v>34</v>
      </c>
      <c r="J181">
        <v>1710.54</v>
      </c>
    </row>
    <row r="182" spans="1:10" hidden="1" x14ac:dyDescent="0.35">
      <c r="A182" t="str">
        <f t="shared" si="2"/>
        <v>Malacacheta20154.2</v>
      </c>
      <c r="B182">
        <v>3139201</v>
      </c>
      <c r="C182" t="s">
        <v>52</v>
      </c>
      <c r="D182">
        <v>2015</v>
      </c>
      <c r="E182">
        <v>1</v>
      </c>
      <c r="F182">
        <v>45</v>
      </c>
      <c r="G182" t="s">
        <v>35</v>
      </c>
      <c r="H182" t="s">
        <v>29</v>
      </c>
      <c r="I182" s="1" t="s">
        <v>36</v>
      </c>
      <c r="J182">
        <v>9507.4500000000007</v>
      </c>
    </row>
    <row r="183" spans="1:10" hidden="1" x14ac:dyDescent="0.35">
      <c r="A183" t="str">
        <f t="shared" si="2"/>
        <v>Malacacheta20154.8</v>
      </c>
      <c r="B183">
        <v>3139201</v>
      </c>
      <c r="C183" t="s">
        <v>52</v>
      </c>
      <c r="D183">
        <v>2015</v>
      </c>
      <c r="E183">
        <v>1</v>
      </c>
      <c r="F183">
        <v>56</v>
      </c>
      <c r="G183" t="s">
        <v>37</v>
      </c>
      <c r="H183" t="s">
        <v>29</v>
      </c>
      <c r="I183" s="1" t="s">
        <v>38</v>
      </c>
      <c r="J183">
        <v>5825.21</v>
      </c>
    </row>
    <row r="184" spans="1:10" hidden="1" x14ac:dyDescent="0.35">
      <c r="A184" t="str">
        <f t="shared" si="2"/>
        <v>Malacacheta20154.9</v>
      </c>
      <c r="B184">
        <v>3139201</v>
      </c>
      <c r="C184" t="s">
        <v>52</v>
      </c>
      <c r="D184">
        <v>2015</v>
      </c>
      <c r="E184">
        <v>1</v>
      </c>
      <c r="F184">
        <v>57</v>
      </c>
      <c r="G184" t="s">
        <v>39</v>
      </c>
      <c r="H184" t="s">
        <v>29</v>
      </c>
      <c r="I184" s="1" t="s">
        <v>40</v>
      </c>
      <c r="J184">
        <v>5825.21</v>
      </c>
    </row>
    <row r="185" spans="1:10" hidden="1" x14ac:dyDescent="0.35">
      <c r="A185" t="str">
        <f t="shared" si="2"/>
        <v>Nanuque20151.1</v>
      </c>
      <c r="B185">
        <v>3144300</v>
      </c>
      <c r="C185" t="s">
        <v>53</v>
      </c>
      <c r="D185">
        <v>2015</v>
      </c>
      <c r="E185">
        <v>1</v>
      </c>
      <c r="F185">
        <v>24</v>
      </c>
      <c r="G185" t="s">
        <v>10</v>
      </c>
      <c r="H185" t="s">
        <v>11</v>
      </c>
      <c r="I185" s="1" t="s">
        <v>12</v>
      </c>
      <c r="J185">
        <v>0.28620000000000001</v>
      </c>
    </row>
    <row r="186" spans="1:10" hidden="1" x14ac:dyDescent="0.35">
      <c r="A186" t="str">
        <f t="shared" si="2"/>
        <v>Nanuque20151.2</v>
      </c>
      <c r="B186">
        <v>3144300</v>
      </c>
      <c r="C186" t="s">
        <v>53</v>
      </c>
      <c r="D186">
        <v>2015</v>
      </c>
      <c r="E186">
        <v>1</v>
      </c>
      <c r="F186">
        <v>67</v>
      </c>
      <c r="G186" t="s">
        <v>13</v>
      </c>
      <c r="H186" t="s">
        <v>11</v>
      </c>
      <c r="I186" s="1" t="s">
        <v>14</v>
      </c>
      <c r="J186">
        <v>0.77549999999999997</v>
      </c>
    </row>
    <row r="187" spans="1:10" hidden="1" x14ac:dyDescent="0.35">
      <c r="A187" t="str">
        <f t="shared" si="2"/>
        <v>Nanuque20151.3</v>
      </c>
      <c r="B187">
        <v>3144300</v>
      </c>
      <c r="C187" t="s">
        <v>53</v>
      </c>
      <c r="D187">
        <v>2015</v>
      </c>
      <c r="E187">
        <v>1</v>
      </c>
      <c r="F187">
        <v>68</v>
      </c>
      <c r="G187" t="s">
        <v>15</v>
      </c>
      <c r="H187" t="s">
        <v>11</v>
      </c>
      <c r="I187" s="1" t="s">
        <v>16</v>
      </c>
      <c r="J187">
        <v>0.22450000000000001</v>
      </c>
    </row>
    <row r="188" spans="1:10" hidden="1" x14ac:dyDescent="0.35">
      <c r="A188" t="str">
        <f t="shared" si="2"/>
        <v>Nanuque20152.1</v>
      </c>
      <c r="B188">
        <v>3144300</v>
      </c>
      <c r="C188" t="s">
        <v>53</v>
      </c>
      <c r="D188">
        <v>2015</v>
      </c>
      <c r="E188">
        <v>1</v>
      </c>
      <c r="F188">
        <v>28</v>
      </c>
      <c r="G188" t="s">
        <v>17</v>
      </c>
      <c r="H188" t="s">
        <v>18</v>
      </c>
      <c r="I188" s="1" t="s">
        <v>19</v>
      </c>
      <c r="J188">
        <v>8.1799999999999998E-2</v>
      </c>
    </row>
    <row r="189" spans="1:10" hidden="1" x14ac:dyDescent="0.35">
      <c r="A189" t="str">
        <f t="shared" si="2"/>
        <v>Nanuque20152.2</v>
      </c>
      <c r="B189">
        <v>3144300</v>
      </c>
      <c r="C189" t="s">
        <v>53</v>
      </c>
      <c r="D189">
        <v>2015</v>
      </c>
      <c r="E189">
        <v>1</v>
      </c>
      <c r="F189">
        <v>29</v>
      </c>
      <c r="G189" t="s">
        <v>20</v>
      </c>
      <c r="H189" t="s">
        <v>18</v>
      </c>
      <c r="I189" s="1" t="s">
        <v>21</v>
      </c>
      <c r="J189">
        <v>0.73</v>
      </c>
    </row>
    <row r="190" spans="1:10" hidden="1" x14ac:dyDescent="0.35">
      <c r="A190" t="str">
        <f t="shared" si="2"/>
        <v>Nanuque20152.4</v>
      </c>
      <c r="B190">
        <v>3144300</v>
      </c>
      <c r="C190" t="s">
        <v>53</v>
      </c>
      <c r="D190">
        <v>2015</v>
      </c>
      <c r="E190">
        <v>1</v>
      </c>
      <c r="F190">
        <v>31</v>
      </c>
      <c r="G190" t="s">
        <v>22</v>
      </c>
      <c r="H190" t="s">
        <v>18</v>
      </c>
      <c r="I190" s="1" t="s">
        <v>23</v>
      </c>
      <c r="J190">
        <v>0.18129999999999999</v>
      </c>
    </row>
    <row r="191" spans="1:10" hidden="1" x14ac:dyDescent="0.35">
      <c r="A191" t="str">
        <f t="shared" si="2"/>
        <v>Nanuque20152.5</v>
      </c>
      <c r="B191">
        <v>3144300</v>
      </c>
      <c r="C191" t="s">
        <v>53</v>
      </c>
      <c r="D191">
        <v>2015</v>
      </c>
      <c r="E191">
        <v>1</v>
      </c>
      <c r="F191">
        <v>32</v>
      </c>
      <c r="G191" t="s">
        <v>24</v>
      </c>
      <c r="H191" t="s">
        <v>18</v>
      </c>
      <c r="I191" s="1" t="s">
        <v>25</v>
      </c>
      <c r="J191">
        <v>0.74309999999999998</v>
      </c>
    </row>
    <row r="192" spans="1:10" hidden="1" x14ac:dyDescent="0.35">
      <c r="A192" t="str">
        <f t="shared" si="2"/>
        <v>Nanuque20152.8</v>
      </c>
      <c r="B192">
        <v>3144300</v>
      </c>
      <c r="C192" t="s">
        <v>53</v>
      </c>
      <c r="D192">
        <v>2015</v>
      </c>
      <c r="E192">
        <v>1</v>
      </c>
      <c r="F192">
        <v>35</v>
      </c>
      <c r="G192" t="s">
        <v>26</v>
      </c>
      <c r="H192" t="s">
        <v>18</v>
      </c>
      <c r="I192" s="1" t="s">
        <v>27</v>
      </c>
      <c r="J192">
        <v>0.22159999999999999</v>
      </c>
    </row>
    <row r="193" spans="1:10" hidden="1" x14ac:dyDescent="0.35">
      <c r="A193" t="str">
        <f t="shared" si="2"/>
        <v>Nanuque20154.1</v>
      </c>
      <c r="B193">
        <v>3144300</v>
      </c>
      <c r="C193" t="s">
        <v>53</v>
      </c>
      <c r="D193">
        <v>2015</v>
      </c>
      <c r="E193">
        <v>1</v>
      </c>
      <c r="F193">
        <v>44</v>
      </c>
      <c r="G193" t="s">
        <v>28</v>
      </c>
      <c r="H193" t="s">
        <v>29</v>
      </c>
      <c r="I193" s="1" t="s">
        <v>30</v>
      </c>
      <c r="J193">
        <v>1909.95</v>
      </c>
    </row>
    <row r="194" spans="1:10" hidden="1" x14ac:dyDescent="0.35">
      <c r="A194" t="str">
        <f t="shared" si="2"/>
        <v>Nanuque20154.10</v>
      </c>
      <c r="B194">
        <v>3144300</v>
      </c>
      <c r="C194" t="s">
        <v>53</v>
      </c>
      <c r="D194">
        <v>2015</v>
      </c>
      <c r="E194">
        <v>1</v>
      </c>
      <c r="F194">
        <v>58</v>
      </c>
      <c r="G194" t="s">
        <v>31</v>
      </c>
      <c r="H194" t="s">
        <v>29</v>
      </c>
      <c r="I194" s="1" t="s">
        <v>32</v>
      </c>
      <c r="J194">
        <v>2420.41</v>
      </c>
    </row>
    <row r="195" spans="1:10" hidden="1" x14ac:dyDescent="0.35">
      <c r="A195" t="str">
        <f t="shared" si="2"/>
        <v>Nanuque20154.11</v>
      </c>
      <c r="B195">
        <v>3144300</v>
      </c>
      <c r="C195" t="s">
        <v>53</v>
      </c>
      <c r="D195">
        <v>2015</v>
      </c>
      <c r="E195">
        <v>1</v>
      </c>
      <c r="F195">
        <v>59</v>
      </c>
      <c r="G195" t="s">
        <v>33</v>
      </c>
      <c r="H195" t="s">
        <v>29</v>
      </c>
      <c r="I195" s="1" t="s">
        <v>34</v>
      </c>
      <c r="J195">
        <v>1118.8</v>
      </c>
    </row>
    <row r="196" spans="1:10" hidden="1" x14ac:dyDescent="0.35">
      <c r="A196" t="str">
        <f t="shared" ref="A196:A259" si="3">C196&amp;D196&amp;G196</f>
        <v>Nanuque20154.2</v>
      </c>
      <c r="B196">
        <v>3144300</v>
      </c>
      <c r="C196" t="s">
        <v>53</v>
      </c>
      <c r="D196">
        <v>2015</v>
      </c>
      <c r="E196">
        <v>1</v>
      </c>
      <c r="F196">
        <v>45</v>
      </c>
      <c r="G196" t="s">
        <v>35</v>
      </c>
      <c r="H196" t="s">
        <v>29</v>
      </c>
      <c r="I196" s="1" t="s">
        <v>36</v>
      </c>
      <c r="J196">
        <v>7606.31</v>
      </c>
    </row>
    <row r="197" spans="1:10" hidden="1" x14ac:dyDescent="0.35">
      <c r="A197" t="str">
        <f t="shared" si="3"/>
        <v>Nanuque20154.8</v>
      </c>
      <c r="B197">
        <v>3144300</v>
      </c>
      <c r="C197" t="s">
        <v>53</v>
      </c>
      <c r="D197">
        <v>2015</v>
      </c>
      <c r="E197">
        <v>1</v>
      </c>
      <c r="F197">
        <v>56</v>
      </c>
      <c r="G197" t="s">
        <v>37</v>
      </c>
      <c r="H197" t="s">
        <v>29</v>
      </c>
      <c r="I197" s="1" t="s">
        <v>38</v>
      </c>
      <c r="J197">
        <v>4603.12</v>
      </c>
    </row>
    <row r="198" spans="1:10" hidden="1" x14ac:dyDescent="0.35">
      <c r="A198" t="str">
        <f t="shared" si="3"/>
        <v>Nanuque20154.9</v>
      </c>
      <c r="B198">
        <v>3144300</v>
      </c>
      <c r="C198" t="s">
        <v>53</v>
      </c>
      <c r="D198">
        <v>2015</v>
      </c>
      <c r="E198">
        <v>1</v>
      </c>
      <c r="F198">
        <v>57</v>
      </c>
      <c r="G198" t="s">
        <v>39</v>
      </c>
      <c r="H198" t="s">
        <v>29</v>
      </c>
      <c r="I198" s="1" t="s">
        <v>40</v>
      </c>
      <c r="J198">
        <v>4603.12</v>
      </c>
    </row>
    <row r="199" spans="1:10" hidden="1" x14ac:dyDescent="0.35">
      <c r="A199" t="str">
        <f t="shared" si="3"/>
        <v>Novo Oriente de Minas20151.1</v>
      </c>
      <c r="B199">
        <v>3145356</v>
      </c>
      <c r="C199" t="s">
        <v>54</v>
      </c>
      <c r="D199">
        <v>2015</v>
      </c>
      <c r="E199">
        <v>1</v>
      </c>
      <c r="F199">
        <v>24</v>
      </c>
      <c r="G199" t="s">
        <v>10</v>
      </c>
      <c r="H199" t="s">
        <v>11</v>
      </c>
      <c r="I199" s="1" t="s">
        <v>12</v>
      </c>
      <c r="J199">
        <v>0.28029999999999999</v>
      </c>
    </row>
    <row r="200" spans="1:10" hidden="1" x14ac:dyDescent="0.35">
      <c r="A200" t="str">
        <f t="shared" si="3"/>
        <v>Novo Oriente de Minas20151.2</v>
      </c>
      <c r="B200">
        <v>3145356</v>
      </c>
      <c r="C200" t="s">
        <v>54</v>
      </c>
      <c r="D200">
        <v>2015</v>
      </c>
      <c r="E200">
        <v>1</v>
      </c>
      <c r="F200">
        <v>67</v>
      </c>
      <c r="G200" t="s">
        <v>13</v>
      </c>
      <c r="H200" t="s">
        <v>11</v>
      </c>
      <c r="I200" s="1" t="s">
        <v>14</v>
      </c>
      <c r="J200">
        <v>0.76190000000000002</v>
      </c>
    </row>
    <row r="201" spans="1:10" hidden="1" x14ac:dyDescent="0.35">
      <c r="A201" t="str">
        <f t="shared" si="3"/>
        <v>Novo Oriente de Minas20151.3</v>
      </c>
      <c r="B201">
        <v>3145356</v>
      </c>
      <c r="C201" t="s">
        <v>54</v>
      </c>
      <c r="D201">
        <v>2015</v>
      </c>
      <c r="E201">
        <v>1</v>
      </c>
      <c r="F201">
        <v>68</v>
      </c>
      <c r="G201" t="s">
        <v>15</v>
      </c>
      <c r="H201" t="s">
        <v>11</v>
      </c>
      <c r="I201" s="1" t="s">
        <v>16</v>
      </c>
      <c r="J201">
        <v>0.23810000000000001</v>
      </c>
    </row>
    <row r="202" spans="1:10" hidden="1" x14ac:dyDescent="0.35">
      <c r="A202" t="str">
        <f t="shared" si="3"/>
        <v>Novo Oriente de Minas20152.1</v>
      </c>
      <c r="B202">
        <v>3145356</v>
      </c>
      <c r="C202" t="s">
        <v>54</v>
      </c>
      <c r="D202">
        <v>2015</v>
      </c>
      <c r="E202">
        <v>1</v>
      </c>
      <c r="F202">
        <v>28</v>
      </c>
      <c r="G202" t="s">
        <v>17</v>
      </c>
      <c r="H202" t="s">
        <v>18</v>
      </c>
      <c r="I202" s="1" t="s">
        <v>19</v>
      </c>
      <c r="J202">
        <v>0.128</v>
      </c>
    </row>
    <row r="203" spans="1:10" hidden="1" x14ac:dyDescent="0.35">
      <c r="A203" t="str">
        <f t="shared" si="3"/>
        <v>Novo Oriente de Minas20152.2</v>
      </c>
      <c r="B203">
        <v>3145356</v>
      </c>
      <c r="C203" t="s">
        <v>54</v>
      </c>
      <c r="D203">
        <v>2015</v>
      </c>
      <c r="E203">
        <v>1</v>
      </c>
      <c r="F203">
        <v>29</v>
      </c>
      <c r="G203" t="s">
        <v>20</v>
      </c>
      <c r="H203" t="s">
        <v>18</v>
      </c>
      <c r="I203" s="1" t="s">
        <v>21</v>
      </c>
      <c r="J203">
        <v>0.62470000000000003</v>
      </c>
    </row>
    <row r="204" spans="1:10" hidden="1" x14ac:dyDescent="0.35">
      <c r="A204" t="str">
        <f t="shared" si="3"/>
        <v>Novo Oriente de Minas20152.4</v>
      </c>
      <c r="B204">
        <v>3145356</v>
      </c>
      <c r="C204" t="s">
        <v>54</v>
      </c>
      <c r="D204">
        <v>2015</v>
      </c>
      <c r="E204">
        <v>1</v>
      </c>
      <c r="F204">
        <v>31</v>
      </c>
      <c r="G204" t="s">
        <v>22</v>
      </c>
      <c r="H204" t="s">
        <v>18</v>
      </c>
      <c r="I204" s="1" t="s">
        <v>23</v>
      </c>
      <c r="J204">
        <v>0.20610000000000001</v>
      </c>
    </row>
    <row r="205" spans="1:10" hidden="1" x14ac:dyDescent="0.35">
      <c r="A205" t="str">
        <f t="shared" si="3"/>
        <v>Novo Oriente de Minas20152.5</v>
      </c>
      <c r="B205">
        <v>3145356</v>
      </c>
      <c r="C205" t="s">
        <v>54</v>
      </c>
      <c r="D205">
        <v>2015</v>
      </c>
      <c r="E205">
        <v>1</v>
      </c>
      <c r="F205">
        <v>32</v>
      </c>
      <c r="G205" t="s">
        <v>24</v>
      </c>
      <c r="H205" t="s">
        <v>18</v>
      </c>
      <c r="I205" s="1" t="s">
        <v>25</v>
      </c>
      <c r="J205">
        <v>0.70130000000000003</v>
      </c>
    </row>
    <row r="206" spans="1:10" hidden="1" x14ac:dyDescent="0.35">
      <c r="A206" t="str">
        <f t="shared" si="3"/>
        <v>Novo Oriente de Minas20152.8</v>
      </c>
      <c r="B206">
        <v>3145356</v>
      </c>
      <c r="C206" t="s">
        <v>54</v>
      </c>
      <c r="D206">
        <v>2015</v>
      </c>
      <c r="E206">
        <v>1</v>
      </c>
      <c r="F206">
        <v>35</v>
      </c>
      <c r="G206" t="s">
        <v>26</v>
      </c>
      <c r="H206" t="s">
        <v>18</v>
      </c>
      <c r="I206" s="1" t="s">
        <v>27</v>
      </c>
      <c r="J206">
        <v>0.31840000000000002</v>
      </c>
    </row>
    <row r="207" spans="1:10" hidden="1" x14ac:dyDescent="0.35">
      <c r="A207" t="str">
        <f t="shared" si="3"/>
        <v>Novo Oriente de Minas20154.1</v>
      </c>
      <c r="B207">
        <v>3145356</v>
      </c>
      <c r="C207" t="s">
        <v>54</v>
      </c>
      <c r="D207">
        <v>2015</v>
      </c>
      <c r="E207">
        <v>1</v>
      </c>
      <c r="F207">
        <v>44</v>
      </c>
      <c r="G207" t="s">
        <v>28</v>
      </c>
      <c r="H207" t="s">
        <v>29</v>
      </c>
      <c r="I207" s="1" t="s">
        <v>30</v>
      </c>
      <c r="J207">
        <v>3578.19</v>
      </c>
    </row>
    <row r="208" spans="1:10" hidden="1" x14ac:dyDescent="0.35">
      <c r="A208" t="str">
        <f t="shared" si="3"/>
        <v>Novo Oriente de Minas20154.10</v>
      </c>
      <c r="B208">
        <v>3145356</v>
      </c>
      <c r="C208" t="s">
        <v>54</v>
      </c>
      <c r="D208">
        <v>2015</v>
      </c>
      <c r="E208">
        <v>1</v>
      </c>
      <c r="F208">
        <v>58</v>
      </c>
      <c r="G208" t="s">
        <v>31</v>
      </c>
      <c r="H208" t="s">
        <v>29</v>
      </c>
      <c r="I208" s="1" t="s">
        <v>32</v>
      </c>
      <c r="J208">
        <v>3195.5</v>
      </c>
    </row>
    <row r="209" spans="1:10" hidden="1" x14ac:dyDescent="0.35">
      <c r="A209" t="str">
        <f t="shared" si="3"/>
        <v>Novo Oriente de Minas20154.11</v>
      </c>
      <c r="B209">
        <v>3145356</v>
      </c>
      <c r="C209" t="s">
        <v>54</v>
      </c>
      <c r="D209">
        <v>2015</v>
      </c>
      <c r="E209">
        <v>1</v>
      </c>
      <c r="F209">
        <v>59</v>
      </c>
      <c r="G209" t="s">
        <v>33</v>
      </c>
      <c r="H209" t="s">
        <v>29</v>
      </c>
      <c r="I209" s="1" t="s">
        <v>34</v>
      </c>
      <c r="J209">
        <v>521.99</v>
      </c>
    </row>
    <row r="210" spans="1:10" hidden="1" x14ac:dyDescent="0.35">
      <c r="A210" t="str">
        <f t="shared" si="3"/>
        <v>Novo Oriente de Minas20154.2</v>
      </c>
      <c r="B210">
        <v>3145356</v>
      </c>
      <c r="C210" t="s">
        <v>54</v>
      </c>
      <c r="D210">
        <v>2015</v>
      </c>
      <c r="E210">
        <v>1</v>
      </c>
      <c r="F210">
        <v>45</v>
      </c>
      <c r="G210" t="s">
        <v>35</v>
      </c>
      <c r="H210" t="s">
        <v>29</v>
      </c>
      <c r="I210" s="1" t="s">
        <v>36</v>
      </c>
      <c r="J210">
        <v>5740.98</v>
      </c>
    </row>
    <row r="211" spans="1:10" hidden="1" x14ac:dyDescent="0.35">
      <c r="A211" t="str">
        <f t="shared" si="3"/>
        <v>Novo Oriente de Minas20154.8</v>
      </c>
      <c r="B211">
        <v>3145356</v>
      </c>
      <c r="C211" t="s">
        <v>54</v>
      </c>
      <c r="D211">
        <v>2015</v>
      </c>
      <c r="E211">
        <v>1</v>
      </c>
      <c r="F211">
        <v>56</v>
      </c>
      <c r="G211" t="s">
        <v>37</v>
      </c>
      <c r="H211" t="s">
        <v>29</v>
      </c>
      <c r="I211" s="1" t="s">
        <v>38</v>
      </c>
      <c r="J211">
        <v>5047.97</v>
      </c>
    </row>
    <row r="212" spans="1:10" hidden="1" x14ac:dyDescent="0.35">
      <c r="A212" t="str">
        <f t="shared" si="3"/>
        <v>Novo Oriente de Minas20154.9</v>
      </c>
      <c r="B212">
        <v>3145356</v>
      </c>
      <c r="C212" t="s">
        <v>54</v>
      </c>
      <c r="D212">
        <v>2015</v>
      </c>
      <c r="E212">
        <v>1</v>
      </c>
      <c r="F212">
        <v>57</v>
      </c>
      <c r="G212" t="s">
        <v>39</v>
      </c>
      <c r="H212" t="s">
        <v>29</v>
      </c>
      <c r="I212" s="1" t="s">
        <v>40</v>
      </c>
      <c r="J212">
        <v>5047.97</v>
      </c>
    </row>
    <row r="213" spans="1:10" hidden="1" x14ac:dyDescent="0.35">
      <c r="A213" t="str">
        <f t="shared" si="3"/>
        <v>Ouro Verde de Minas20151.1</v>
      </c>
      <c r="B213">
        <v>3146206</v>
      </c>
      <c r="C213" t="s">
        <v>55</v>
      </c>
      <c r="D213">
        <v>2015</v>
      </c>
      <c r="E213">
        <v>1</v>
      </c>
      <c r="F213">
        <v>24</v>
      </c>
      <c r="G213" t="s">
        <v>10</v>
      </c>
      <c r="H213" t="s">
        <v>11</v>
      </c>
      <c r="I213" s="1" t="s">
        <v>12</v>
      </c>
      <c r="J213">
        <v>0.27529999999999999</v>
      </c>
    </row>
    <row r="214" spans="1:10" hidden="1" x14ac:dyDescent="0.35">
      <c r="A214" t="str">
        <f t="shared" si="3"/>
        <v>Ouro Verde de Minas20151.2</v>
      </c>
      <c r="B214">
        <v>3146206</v>
      </c>
      <c r="C214" t="s">
        <v>55</v>
      </c>
      <c r="D214">
        <v>2015</v>
      </c>
      <c r="E214">
        <v>1</v>
      </c>
      <c r="F214">
        <v>67</v>
      </c>
      <c r="G214" t="s">
        <v>13</v>
      </c>
      <c r="H214" t="s">
        <v>11</v>
      </c>
      <c r="I214" s="1" t="s">
        <v>14</v>
      </c>
      <c r="J214">
        <v>0.8105</v>
      </c>
    </row>
    <row r="215" spans="1:10" hidden="1" x14ac:dyDescent="0.35">
      <c r="A215" t="str">
        <f t="shared" si="3"/>
        <v>Ouro Verde de Minas20151.3</v>
      </c>
      <c r="B215">
        <v>3146206</v>
      </c>
      <c r="C215" t="s">
        <v>55</v>
      </c>
      <c r="D215">
        <v>2015</v>
      </c>
      <c r="E215">
        <v>1</v>
      </c>
      <c r="F215">
        <v>68</v>
      </c>
      <c r="G215" t="s">
        <v>15</v>
      </c>
      <c r="H215" t="s">
        <v>11</v>
      </c>
      <c r="I215" s="1" t="s">
        <v>16</v>
      </c>
      <c r="J215">
        <v>0.1895</v>
      </c>
    </row>
    <row r="216" spans="1:10" hidden="1" x14ac:dyDescent="0.35">
      <c r="A216" t="str">
        <f t="shared" si="3"/>
        <v>Ouro Verde de Minas20152.1</v>
      </c>
      <c r="B216">
        <v>3146206</v>
      </c>
      <c r="C216" t="s">
        <v>55</v>
      </c>
      <c r="D216">
        <v>2015</v>
      </c>
      <c r="E216">
        <v>1</v>
      </c>
      <c r="F216">
        <v>28</v>
      </c>
      <c r="G216" t="s">
        <v>17</v>
      </c>
      <c r="H216" t="s">
        <v>18</v>
      </c>
      <c r="I216" s="1" t="s">
        <v>19</v>
      </c>
      <c r="J216">
        <v>0.16159999999999999</v>
      </c>
    </row>
    <row r="217" spans="1:10" hidden="1" x14ac:dyDescent="0.35">
      <c r="A217" t="str">
        <f t="shared" si="3"/>
        <v>Ouro Verde de Minas20152.2</v>
      </c>
      <c r="B217">
        <v>3146206</v>
      </c>
      <c r="C217" t="s">
        <v>55</v>
      </c>
      <c r="D217">
        <v>2015</v>
      </c>
      <c r="E217">
        <v>1</v>
      </c>
      <c r="F217">
        <v>29</v>
      </c>
      <c r="G217" t="s">
        <v>20</v>
      </c>
      <c r="H217" t="s">
        <v>18</v>
      </c>
      <c r="I217" s="1" t="s">
        <v>21</v>
      </c>
      <c r="J217">
        <v>0.65249999999999997</v>
      </c>
    </row>
    <row r="218" spans="1:10" hidden="1" x14ac:dyDescent="0.35">
      <c r="A218" t="str">
        <f t="shared" si="3"/>
        <v>Ouro Verde de Minas20152.4</v>
      </c>
      <c r="B218">
        <v>3146206</v>
      </c>
      <c r="C218" t="s">
        <v>55</v>
      </c>
      <c r="D218">
        <v>2015</v>
      </c>
      <c r="E218">
        <v>1</v>
      </c>
      <c r="F218">
        <v>31</v>
      </c>
      <c r="G218" t="s">
        <v>22</v>
      </c>
      <c r="H218" t="s">
        <v>18</v>
      </c>
      <c r="I218" s="1" t="s">
        <v>23</v>
      </c>
      <c r="J218">
        <v>0.1757</v>
      </c>
    </row>
    <row r="219" spans="1:10" hidden="1" x14ac:dyDescent="0.35">
      <c r="A219" t="str">
        <f t="shared" si="3"/>
        <v>Ouro Verde de Minas20152.5</v>
      </c>
      <c r="B219">
        <v>3146206</v>
      </c>
      <c r="C219" t="s">
        <v>55</v>
      </c>
      <c r="D219">
        <v>2015</v>
      </c>
      <c r="E219">
        <v>1</v>
      </c>
      <c r="F219">
        <v>32</v>
      </c>
      <c r="G219" t="s">
        <v>24</v>
      </c>
      <c r="H219" t="s">
        <v>18</v>
      </c>
      <c r="I219" s="1" t="s">
        <v>25</v>
      </c>
      <c r="J219">
        <v>0.70230000000000004</v>
      </c>
    </row>
    <row r="220" spans="1:10" hidden="1" x14ac:dyDescent="0.35">
      <c r="A220" t="str">
        <f t="shared" si="3"/>
        <v>Ouro Verde de Minas20152.8</v>
      </c>
      <c r="B220">
        <v>3146206</v>
      </c>
      <c r="C220" t="s">
        <v>55</v>
      </c>
      <c r="D220">
        <v>2015</v>
      </c>
      <c r="E220">
        <v>1</v>
      </c>
      <c r="F220">
        <v>35</v>
      </c>
      <c r="G220" t="s">
        <v>26</v>
      </c>
      <c r="H220" t="s">
        <v>18</v>
      </c>
      <c r="I220" s="1" t="s">
        <v>27</v>
      </c>
      <c r="J220">
        <v>0.28249999999999997</v>
      </c>
    </row>
    <row r="221" spans="1:10" hidden="1" x14ac:dyDescent="0.35">
      <c r="A221" t="str">
        <f t="shared" si="3"/>
        <v>Ouro Verde de Minas20154.1</v>
      </c>
      <c r="B221">
        <v>3146206</v>
      </c>
      <c r="C221" t="s">
        <v>55</v>
      </c>
      <c r="D221">
        <v>2015</v>
      </c>
      <c r="E221">
        <v>1</v>
      </c>
      <c r="F221">
        <v>44</v>
      </c>
      <c r="G221" t="s">
        <v>28</v>
      </c>
      <c r="H221" t="s">
        <v>29</v>
      </c>
      <c r="I221" s="1" t="s">
        <v>30</v>
      </c>
      <c r="J221">
        <v>3431.63</v>
      </c>
    </row>
    <row r="222" spans="1:10" hidden="1" x14ac:dyDescent="0.35">
      <c r="A222" t="str">
        <f t="shared" si="3"/>
        <v>Ouro Verde de Minas20154.10</v>
      </c>
      <c r="B222">
        <v>3146206</v>
      </c>
      <c r="C222" t="s">
        <v>55</v>
      </c>
      <c r="D222">
        <v>2015</v>
      </c>
      <c r="E222">
        <v>1</v>
      </c>
      <c r="F222">
        <v>58</v>
      </c>
      <c r="G222" t="s">
        <v>31</v>
      </c>
      <c r="H222" t="s">
        <v>29</v>
      </c>
      <c r="I222" s="1" t="s">
        <v>32</v>
      </c>
      <c r="J222">
        <v>3092.62</v>
      </c>
    </row>
    <row r="223" spans="1:10" hidden="1" x14ac:dyDescent="0.35">
      <c r="A223" t="str">
        <f t="shared" si="3"/>
        <v>Ouro Verde de Minas20154.11</v>
      </c>
      <c r="B223">
        <v>3146206</v>
      </c>
      <c r="C223" t="s">
        <v>55</v>
      </c>
      <c r="D223">
        <v>2015</v>
      </c>
      <c r="E223">
        <v>1</v>
      </c>
      <c r="F223">
        <v>59</v>
      </c>
      <c r="G223" t="s">
        <v>33</v>
      </c>
      <c r="H223" t="s">
        <v>29</v>
      </c>
      <c r="I223" s="1" t="s">
        <v>34</v>
      </c>
      <c r="J223">
        <v>1554.39</v>
      </c>
    </row>
    <row r="224" spans="1:10" hidden="1" x14ac:dyDescent="0.35">
      <c r="A224" t="str">
        <f t="shared" si="3"/>
        <v>Ouro Verde de Minas20154.2</v>
      </c>
      <c r="B224">
        <v>3146206</v>
      </c>
      <c r="C224" t="s">
        <v>55</v>
      </c>
      <c r="D224">
        <v>2015</v>
      </c>
      <c r="E224">
        <v>1</v>
      </c>
      <c r="F224">
        <v>45</v>
      </c>
      <c r="G224" t="s">
        <v>35</v>
      </c>
      <c r="H224" t="s">
        <v>29</v>
      </c>
      <c r="I224" s="1" t="s">
        <v>36</v>
      </c>
      <c r="J224">
        <v>6416.22</v>
      </c>
    </row>
    <row r="225" spans="1:10" hidden="1" x14ac:dyDescent="0.35">
      <c r="A225" t="str">
        <f t="shared" si="3"/>
        <v>Ouro Verde de Minas20154.8</v>
      </c>
      <c r="B225">
        <v>3146206</v>
      </c>
      <c r="C225" t="s">
        <v>55</v>
      </c>
      <c r="D225">
        <v>2015</v>
      </c>
      <c r="E225">
        <v>1</v>
      </c>
      <c r="F225">
        <v>56</v>
      </c>
      <c r="G225" t="s">
        <v>37</v>
      </c>
      <c r="H225" t="s">
        <v>29</v>
      </c>
      <c r="I225" s="1" t="s">
        <v>38</v>
      </c>
      <c r="J225">
        <v>5464.7</v>
      </c>
    </row>
    <row r="226" spans="1:10" hidden="1" x14ac:dyDescent="0.35">
      <c r="A226" t="str">
        <f t="shared" si="3"/>
        <v>Ouro Verde de Minas20154.9</v>
      </c>
      <c r="B226">
        <v>3146206</v>
      </c>
      <c r="C226" t="s">
        <v>55</v>
      </c>
      <c r="D226">
        <v>2015</v>
      </c>
      <c r="E226">
        <v>1</v>
      </c>
      <c r="F226">
        <v>57</v>
      </c>
      <c r="G226" t="s">
        <v>39</v>
      </c>
      <c r="H226" t="s">
        <v>29</v>
      </c>
      <c r="I226" s="1" t="s">
        <v>40</v>
      </c>
      <c r="J226">
        <v>5464.7</v>
      </c>
    </row>
    <row r="227" spans="1:10" hidden="1" x14ac:dyDescent="0.35">
      <c r="A227" t="str">
        <f t="shared" si="3"/>
        <v>Pavão20151.1</v>
      </c>
      <c r="B227">
        <v>3148509</v>
      </c>
      <c r="C227" t="s">
        <v>56</v>
      </c>
      <c r="D227">
        <v>2015</v>
      </c>
      <c r="E227">
        <v>1</v>
      </c>
      <c r="F227">
        <v>24</v>
      </c>
      <c r="G227" t="s">
        <v>10</v>
      </c>
      <c r="H227" t="s">
        <v>11</v>
      </c>
      <c r="I227" s="1" t="s">
        <v>12</v>
      </c>
      <c r="J227">
        <v>0.25080000000000002</v>
      </c>
    </row>
    <row r="228" spans="1:10" hidden="1" x14ac:dyDescent="0.35">
      <c r="A228" t="str">
        <f t="shared" si="3"/>
        <v>Pavão20151.2</v>
      </c>
      <c r="B228">
        <v>3148509</v>
      </c>
      <c r="C228" t="s">
        <v>56</v>
      </c>
      <c r="D228">
        <v>2015</v>
      </c>
      <c r="E228">
        <v>1</v>
      </c>
      <c r="F228">
        <v>67</v>
      </c>
      <c r="G228" t="s">
        <v>13</v>
      </c>
      <c r="H228" t="s">
        <v>11</v>
      </c>
      <c r="I228" s="1" t="s">
        <v>14</v>
      </c>
      <c r="J228">
        <v>0.64500000000000002</v>
      </c>
    </row>
    <row r="229" spans="1:10" hidden="1" x14ac:dyDescent="0.35">
      <c r="A229" t="str">
        <f t="shared" si="3"/>
        <v>Pavão20151.3</v>
      </c>
      <c r="B229">
        <v>3148509</v>
      </c>
      <c r="C229" t="s">
        <v>56</v>
      </c>
      <c r="D229">
        <v>2015</v>
      </c>
      <c r="E229">
        <v>1</v>
      </c>
      <c r="F229">
        <v>68</v>
      </c>
      <c r="G229" t="s">
        <v>15</v>
      </c>
      <c r="H229" t="s">
        <v>11</v>
      </c>
      <c r="I229" s="1" t="s">
        <v>16</v>
      </c>
      <c r="J229">
        <v>0.35499999999999998</v>
      </c>
    </row>
    <row r="230" spans="1:10" hidden="1" x14ac:dyDescent="0.35">
      <c r="A230" t="str">
        <f t="shared" si="3"/>
        <v>Pavão20152.1</v>
      </c>
      <c r="B230">
        <v>3148509</v>
      </c>
      <c r="C230" t="s">
        <v>56</v>
      </c>
      <c r="D230">
        <v>2015</v>
      </c>
      <c r="E230">
        <v>1</v>
      </c>
      <c r="F230">
        <v>28</v>
      </c>
      <c r="G230" t="s">
        <v>17</v>
      </c>
      <c r="H230" t="s">
        <v>18</v>
      </c>
      <c r="I230" s="1" t="s">
        <v>19</v>
      </c>
      <c r="J230">
        <v>6.7900000000000002E-2</v>
      </c>
    </row>
    <row r="231" spans="1:10" hidden="1" x14ac:dyDescent="0.35">
      <c r="A231" t="str">
        <f t="shared" si="3"/>
        <v>Pavão20152.2</v>
      </c>
      <c r="B231">
        <v>3148509</v>
      </c>
      <c r="C231" t="s">
        <v>56</v>
      </c>
      <c r="D231">
        <v>2015</v>
      </c>
      <c r="E231">
        <v>1</v>
      </c>
      <c r="F231">
        <v>29</v>
      </c>
      <c r="G231" t="s">
        <v>20</v>
      </c>
      <c r="H231" t="s">
        <v>18</v>
      </c>
      <c r="I231" s="1" t="s">
        <v>21</v>
      </c>
      <c r="J231">
        <v>0.81010000000000004</v>
      </c>
    </row>
    <row r="232" spans="1:10" hidden="1" x14ac:dyDescent="0.35">
      <c r="A232" t="str">
        <f t="shared" si="3"/>
        <v>Pavão20152.4</v>
      </c>
      <c r="B232">
        <v>3148509</v>
      </c>
      <c r="C232" t="s">
        <v>56</v>
      </c>
      <c r="D232">
        <v>2015</v>
      </c>
      <c r="E232">
        <v>1</v>
      </c>
      <c r="F232">
        <v>31</v>
      </c>
      <c r="G232" t="s">
        <v>22</v>
      </c>
      <c r="H232" t="s">
        <v>18</v>
      </c>
      <c r="I232" s="1" t="s">
        <v>23</v>
      </c>
      <c r="J232">
        <v>0.1585</v>
      </c>
    </row>
    <row r="233" spans="1:10" hidden="1" x14ac:dyDescent="0.35">
      <c r="A233" t="str">
        <f t="shared" si="3"/>
        <v>Pavão20152.5</v>
      </c>
      <c r="B233">
        <v>3148509</v>
      </c>
      <c r="C233" t="s">
        <v>56</v>
      </c>
      <c r="D233">
        <v>2015</v>
      </c>
      <c r="E233">
        <v>1</v>
      </c>
      <c r="F233">
        <v>32</v>
      </c>
      <c r="G233" t="s">
        <v>24</v>
      </c>
      <c r="H233" t="s">
        <v>18</v>
      </c>
      <c r="I233" s="1" t="s">
        <v>25</v>
      </c>
      <c r="J233">
        <v>0.77500000000000002</v>
      </c>
    </row>
    <row r="234" spans="1:10" hidden="1" x14ac:dyDescent="0.35">
      <c r="A234" t="str">
        <f t="shared" si="3"/>
        <v>Pavão20152.8</v>
      </c>
      <c r="B234">
        <v>3148509</v>
      </c>
      <c r="C234" t="s">
        <v>56</v>
      </c>
      <c r="D234">
        <v>2015</v>
      </c>
      <c r="E234">
        <v>1</v>
      </c>
      <c r="F234">
        <v>35</v>
      </c>
      <c r="G234" t="s">
        <v>26</v>
      </c>
      <c r="H234" t="s">
        <v>18</v>
      </c>
      <c r="I234" s="1" t="s">
        <v>27</v>
      </c>
      <c r="J234">
        <v>0.22500000000000001</v>
      </c>
    </row>
    <row r="235" spans="1:10" hidden="1" x14ac:dyDescent="0.35">
      <c r="A235" t="str">
        <f t="shared" si="3"/>
        <v>Pavão20154.1</v>
      </c>
      <c r="B235">
        <v>3148509</v>
      </c>
      <c r="C235" t="s">
        <v>56</v>
      </c>
      <c r="D235">
        <v>2015</v>
      </c>
      <c r="E235">
        <v>1</v>
      </c>
      <c r="F235">
        <v>44</v>
      </c>
      <c r="G235" t="s">
        <v>28</v>
      </c>
      <c r="H235" t="s">
        <v>29</v>
      </c>
      <c r="I235" s="1" t="s">
        <v>30</v>
      </c>
      <c r="J235">
        <v>2150.4</v>
      </c>
    </row>
    <row r="236" spans="1:10" hidden="1" x14ac:dyDescent="0.35">
      <c r="A236" t="str">
        <f t="shared" si="3"/>
        <v>Pavão20154.10</v>
      </c>
      <c r="B236">
        <v>3148509</v>
      </c>
      <c r="C236" t="s">
        <v>56</v>
      </c>
      <c r="D236">
        <v>2015</v>
      </c>
      <c r="E236">
        <v>1</v>
      </c>
      <c r="F236">
        <v>58</v>
      </c>
      <c r="G236" t="s">
        <v>31</v>
      </c>
      <c r="H236" t="s">
        <v>29</v>
      </c>
      <c r="I236" s="1" t="s">
        <v>32</v>
      </c>
      <c r="J236">
        <v>2773.87</v>
      </c>
    </row>
    <row r="237" spans="1:10" hidden="1" x14ac:dyDescent="0.35">
      <c r="A237" t="str">
        <f t="shared" si="3"/>
        <v>Pavão20154.11</v>
      </c>
      <c r="B237">
        <v>3148509</v>
      </c>
      <c r="C237" t="s">
        <v>56</v>
      </c>
      <c r="D237">
        <v>2015</v>
      </c>
      <c r="E237">
        <v>1</v>
      </c>
      <c r="F237">
        <v>59</v>
      </c>
      <c r="G237" t="s">
        <v>33</v>
      </c>
      <c r="H237" t="s">
        <v>29</v>
      </c>
      <c r="I237" s="1" t="s">
        <v>34</v>
      </c>
      <c r="J237">
        <v>804.69</v>
      </c>
    </row>
    <row r="238" spans="1:10" hidden="1" x14ac:dyDescent="0.35">
      <c r="A238" t="str">
        <f t="shared" si="3"/>
        <v>Pavão20154.2</v>
      </c>
      <c r="B238">
        <v>3148509</v>
      </c>
      <c r="C238" t="s">
        <v>56</v>
      </c>
      <c r="D238">
        <v>2015</v>
      </c>
      <c r="E238">
        <v>1</v>
      </c>
      <c r="F238">
        <v>45</v>
      </c>
      <c r="G238" t="s">
        <v>35</v>
      </c>
      <c r="H238" t="s">
        <v>29</v>
      </c>
      <c r="I238" s="1" t="s">
        <v>36</v>
      </c>
      <c r="J238">
        <v>7877.99</v>
      </c>
    </row>
    <row r="239" spans="1:10" hidden="1" x14ac:dyDescent="0.35">
      <c r="A239" t="str">
        <f t="shared" si="3"/>
        <v>Pavão20154.8</v>
      </c>
      <c r="B239">
        <v>3148509</v>
      </c>
      <c r="C239" t="s">
        <v>56</v>
      </c>
      <c r="D239">
        <v>2015</v>
      </c>
      <c r="E239">
        <v>1</v>
      </c>
      <c r="F239">
        <v>56</v>
      </c>
      <c r="G239" t="s">
        <v>37</v>
      </c>
      <c r="H239" t="s">
        <v>29</v>
      </c>
      <c r="I239" s="1" t="s">
        <v>38</v>
      </c>
      <c r="J239">
        <v>5295.49</v>
      </c>
    </row>
    <row r="240" spans="1:10" hidden="1" x14ac:dyDescent="0.35">
      <c r="A240" t="str">
        <f t="shared" si="3"/>
        <v>Pavão20154.9</v>
      </c>
      <c r="B240">
        <v>3148509</v>
      </c>
      <c r="C240" t="s">
        <v>56</v>
      </c>
      <c r="D240">
        <v>2015</v>
      </c>
      <c r="E240">
        <v>1</v>
      </c>
      <c r="F240">
        <v>57</v>
      </c>
      <c r="G240" t="s">
        <v>39</v>
      </c>
      <c r="H240" t="s">
        <v>29</v>
      </c>
      <c r="I240" s="1" t="s">
        <v>40</v>
      </c>
      <c r="J240">
        <v>5295.49</v>
      </c>
    </row>
    <row r="241" spans="1:10" hidden="1" x14ac:dyDescent="0.35">
      <c r="A241" t="str">
        <f t="shared" si="3"/>
        <v>Poté20151.1</v>
      </c>
      <c r="B241">
        <v>3152402</v>
      </c>
      <c r="C241" t="s">
        <v>57</v>
      </c>
      <c r="D241">
        <v>2015</v>
      </c>
      <c r="E241">
        <v>1</v>
      </c>
      <c r="F241">
        <v>24</v>
      </c>
      <c r="G241" t="s">
        <v>10</v>
      </c>
      <c r="H241" t="s">
        <v>11</v>
      </c>
      <c r="I241" s="1" t="s">
        <v>12</v>
      </c>
      <c r="J241">
        <v>0.28139999999999998</v>
      </c>
    </row>
    <row r="242" spans="1:10" hidden="1" x14ac:dyDescent="0.35">
      <c r="A242" t="str">
        <f t="shared" si="3"/>
        <v>Poté20151.2</v>
      </c>
      <c r="B242">
        <v>3152402</v>
      </c>
      <c r="C242" t="s">
        <v>57</v>
      </c>
      <c r="D242">
        <v>2015</v>
      </c>
      <c r="E242">
        <v>1</v>
      </c>
      <c r="F242">
        <v>67</v>
      </c>
      <c r="G242" t="s">
        <v>13</v>
      </c>
      <c r="H242" t="s">
        <v>11</v>
      </c>
      <c r="I242" s="1" t="s">
        <v>14</v>
      </c>
      <c r="J242">
        <v>0.89729999999999999</v>
      </c>
    </row>
    <row r="243" spans="1:10" hidden="1" x14ac:dyDescent="0.35">
      <c r="A243" t="str">
        <f t="shared" si="3"/>
        <v>Poté20151.3</v>
      </c>
      <c r="B243">
        <v>3152402</v>
      </c>
      <c r="C243" t="s">
        <v>57</v>
      </c>
      <c r="D243">
        <v>2015</v>
      </c>
      <c r="E243">
        <v>1</v>
      </c>
      <c r="F243">
        <v>68</v>
      </c>
      <c r="G243" t="s">
        <v>15</v>
      </c>
      <c r="H243" t="s">
        <v>11</v>
      </c>
      <c r="I243" s="1" t="s">
        <v>16</v>
      </c>
      <c r="J243">
        <v>0.1027</v>
      </c>
    </row>
    <row r="244" spans="1:10" hidden="1" x14ac:dyDescent="0.35">
      <c r="A244" t="str">
        <f t="shared" si="3"/>
        <v>Poté20152.1</v>
      </c>
      <c r="B244">
        <v>3152402</v>
      </c>
      <c r="C244" t="s">
        <v>57</v>
      </c>
      <c r="D244">
        <v>2015</v>
      </c>
      <c r="E244">
        <v>1</v>
      </c>
      <c r="F244">
        <v>28</v>
      </c>
      <c r="G244" t="s">
        <v>17</v>
      </c>
      <c r="H244" t="s">
        <v>18</v>
      </c>
      <c r="I244" s="1" t="s">
        <v>19</v>
      </c>
      <c r="J244">
        <v>2.52E-2</v>
      </c>
    </row>
    <row r="245" spans="1:10" hidden="1" x14ac:dyDescent="0.35">
      <c r="A245" t="str">
        <f t="shared" si="3"/>
        <v>Poté20152.2</v>
      </c>
      <c r="B245">
        <v>3152402</v>
      </c>
      <c r="C245" t="s">
        <v>57</v>
      </c>
      <c r="D245">
        <v>2015</v>
      </c>
      <c r="E245">
        <v>1</v>
      </c>
      <c r="F245">
        <v>29</v>
      </c>
      <c r="G245" t="s">
        <v>20</v>
      </c>
      <c r="H245" t="s">
        <v>18</v>
      </c>
      <c r="I245" s="1" t="s">
        <v>21</v>
      </c>
      <c r="J245">
        <v>0.89929999999999999</v>
      </c>
    </row>
    <row r="246" spans="1:10" hidden="1" x14ac:dyDescent="0.35">
      <c r="A246" t="str">
        <f t="shared" si="3"/>
        <v>Poté20152.4</v>
      </c>
      <c r="B246">
        <v>3152402</v>
      </c>
      <c r="C246" t="s">
        <v>57</v>
      </c>
      <c r="D246">
        <v>2015</v>
      </c>
      <c r="E246">
        <v>1</v>
      </c>
      <c r="F246">
        <v>31</v>
      </c>
      <c r="G246" t="s">
        <v>22</v>
      </c>
      <c r="H246" t="s">
        <v>18</v>
      </c>
      <c r="I246" s="1" t="s">
        <v>23</v>
      </c>
      <c r="J246">
        <v>0.1487</v>
      </c>
    </row>
    <row r="247" spans="1:10" hidden="1" x14ac:dyDescent="0.35">
      <c r="A247" t="str">
        <f t="shared" si="3"/>
        <v>Poté20152.5</v>
      </c>
      <c r="B247">
        <v>3152402</v>
      </c>
      <c r="C247" t="s">
        <v>57</v>
      </c>
      <c r="D247">
        <v>2015</v>
      </c>
      <c r="E247">
        <v>1</v>
      </c>
      <c r="F247">
        <v>32</v>
      </c>
      <c r="G247" t="s">
        <v>24</v>
      </c>
      <c r="H247" t="s">
        <v>18</v>
      </c>
      <c r="I247" s="1" t="s">
        <v>25</v>
      </c>
      <c r="J247">
        <v>0.78720000000000001</v>
      </c>
    </row>
    <row r="248" spans="1:10" hidden="1" x14ac:dyDescent="0.35">
      <c r="A248" t="str">
        <f t="shared" si="3"/>
        <v>Poté20152.8</v>
      </c>
      <c r="B248">
        <v>3152402</v>
      </c>
      <c r="C248" t="s">
        <v>57</v>
      </c>
      <c r="D248">
        <v>2015</v>
      </c>
      <c r="E248">
        <v>1</v>
      </c>
      <c r="F248">
        <v>35</v>
      </c>
      <c r="G248" t="s">
        <v>26</v>
      </c>
      <c r="H248" t="s">
        <v>18</v>
      </c>
      <c r="I248" s="1" t="s">
        <v>27</v>
      </c>
      <c r="J248">
        <v>0.30740000000000001</v>
      </c>
    </row>
    <row r="249" spans="1:10" hidden="1" x14ac:dyDescent="0.35">
      <c r="A249" t="str">
        <f t="shared" si="3"/>
        <v>Poté20154.1</v>
      </c>
      <c r="B249">
        <v>3152402</v>
      </c>
      <c r="C249" t="s">
        <v>57</v>
      </c>
      <c r="D249">
        <v>2015</v>
      </c>
      <c r="E249">
        <v>1</v>
      </c>
      <c r="F249">
        <v>44</v>
      </c>
      <c r="G249" t="s">
        <v>28</v>
      </c>
      <c r="H249" t="s">
        <v>29</v>
      </c>
      <c r="I249" s="1" t="s">
        <v>30</v>
      </c>
      <c r="J249">
        <v>3101.12</v>
      </c>
    </row>
    <row r="250" spans="1:10" hidden="1" x14ac:dyDescent="0.35">
      <c r="A250" t="str">
        <f t="shared" si="3"/>
        <v>Poté20154.10</v>
      </c>
      <c r="B250">
        <v>3152402</v>
      </c>
      <c r="C250" t="s">
        <v>57</v>
      </c>
      <c r="D250">
        <v>2015</v>
      </c>
      <c r="E250">
        <v>1</v>
      </c>
      <c r="F250">
        <v>58</v>
      </c>
      <c r="G250" t="s">
        <v>31</v>
      </c>
      <c r="H250" t="s">
        <v>29</v>
      </c>
      <c r="I250" s="1" t="s">
        <v>32</v>
      </c>
      <c r="J250">
        <v>2493.81</v>
      </c>
    </row>
    <row r="251" spans="1:10" hidden="1" x14ac:dyDescent="0.35">
      <c r="A251" t="str">
        <f t="shared" si="3"/>
        <v>Poté20154.11</v>
      </c>
      <c r="B251">
        <v>3152402</v>
      </c>
      <c r="C251" t="s">
        <v>57</v>
      </c>
      <c r="D251">
        <v>2015</v>
      </c>
      <c r="E251">
        <v>1</v>
      </c>
      <c r="F251">
        <v>59</v>
      </c>
      <c r="G251" t="s">
        <v>33</v>
      </c>
      <c r="H251" t="s">
        <v>29</v>
      </c>
      <c r="I251" s="1" t="s">
        <v>34</v>
      </c>
      <c r="J251">
        <v>799.01</v>
      </c>
    </row>
    <row r="252" spans="1:10" hidden="1" x14ac:dyDescent="0.35">
      <c r="A252" t="str">
        <f t="shared" si="3"/>
        <v>Poté20154.2</v>
      </c>
      <c r="B252">
        <v>3152402</v>
      </c>
      <c r="C252" t="s">
        <v>57</v>
      </c>
      <c r="D252">
        <v>2015</v>
      </c>
      <c r="E252">
        <v>1</v>
      </c>
      <c r="F252">
        <v>45</v>
      </c>
      <c r="G252" t="s">
        <v>35</v>
      </c>
      <c r="H252" t="s">
        <v>29</v>
      </c>
      <c r="I252" s="1" t="s">
        <v>36</v>
      </c>
      <c r="J252">
        <v>5395.01</v>
      </c>
    </row>
    <row r="253" spans="1:10" hidden="1" x14ac:dyDescent="0.35">
      <c r="A253" t="str">
        <f t="shared" si="3"/>
        <v>Poté20154.8</v>
      </c>
      <c r="B253">
        <v>3152402</v>
      </c>
      <c r="C253" t="s">
        <v>57</v>
      </c>
      <c r="D253">
        <v>2015</v>
      </c>
      <c r="E253">
        <v>1</v>
      </c>
      <c r="F253">
        <v>56</v>
      </c>
      <c r="G253" t="s">
        <v>37</v>
      </c>
      <c r="H253" t="s">
        <v>29</v>
      </c>
      <c r="I253" s="1" t="s">
        <v>38</v>
      </c>
      <c r="J253">
        <v>4755.8500000000004</v>
      </c>
    </row>
    <row r="254" spans="1:10" hidden="1" x14ac:dyDescent="0.35">
      <c r="A254" t="str">
        <f t="shared" si="3"/>
        <v>Poté20154.9</v>
      </c>
      <c r="B254">
        <v>3152402</v>
      </c>
      <c r="C254" t="s">
        <v>57</v>
      </c>
      <c r="D254">
        <v>2015</v>
      </c>
      <c r="E254">
        <v>1</v>
      </c>
      <c r="F254">
        <v>57</v>
      </c>
      <c r="G254" t="s">
        <v>39</v>
      </c>
      <c r="H254" t="s">
        <v>29</v>
      </c>
      <c r="I254" s="1" t="s">
        <v>40</v>
      </c>
      <c r="J254">
        <v>4755.8500000000004</v>
      </c>
    </row>
    <row r="255" spans="1:10" hidden="1" x14ac:dyDescent="0.35">
      <c r="A255" t="str">
        <f t="shared" si="3"/>
        <v>Santa Helena de Minas20151.1</v>
      </c>
      <c r="B255">
        <v>3157658</v>
      </c>
      <c r="C255" t="s">
        <v>58</v>
      </c>
      <c r="D255">
        <v>2015</v>
      </c>
      <c r="E255">
        <v>1</v>
      </c>
      <c r="F255">
        <v>24</v>
      </c>
      <c r="G255" t="s">
        <v>10</v>
      </c>
      <c r="H255" t="s">
        <v>11</v>
      </c>
      <c r="I255" s="1" t="s">
        <v>12</v>
      </c>
      <c r="J255">
        <v>0.2898</v>
      </c>
    </row>
    <row r="256" spans="1:10" hidden="1" x14ac:dyDescent="0.35">
      <c r="A256" t="str">
        <f t="shared" si="3"/>
        <v>Santa Helena de Minas20151.2</v>
      </c>
      <c r="B256">
        <v>3157658</v>
      </c>
      <c r="C256" t="s">
        <v>58</v>
      </c>
      <c r="D256">
        <v>2015</v>
      </c>
      <c r="E256">
        <v>1</v>
      </c>
      <c r="F256">
        <v>67</v>
      </c>
      <c r="G256" t="s">
        <v>13</v>
      </c>
      <c r="H256" t="s">
        <v>11</v>
      </c>
      <c r="I256" s="1" t="s">
        <v>14</v>
      </c>
      <c r="J256">
        <v>0.89870000000000005</v>
      </c>
    </row>
    <row r="257" spans="1:10" hidden="1" x14ac:dyDescent="0.35">
      <c r="A257" t="str">
        <f t="shared" si="3"/>
        <v>Santa Helena de Minas20151.3</v>
      </c>
      <c r="B257">
        <v>3157658</v>
      </c>
      <c r="C257" t="s">
        <v>58</v>
      </c>
      <c r="D257">
        <v>2015</v>
      </c>
      <c r="E257">
        <v>1</v>
      </c>
      <c r="F257">
        <v>68</v>
      </c>
      <c r="G257" t="s">
        <v>15</v>
      </c>
      <c r="H257" t="s">
        <v>11</v>
      </c>
      <c r="I257" s="1" t="s">
        <v>16</v>
      </c>
      <c r="J257">
        <v>0.1013</v>
      </c>
    </row>
    <row r="258" spans="1:10" hidden="1" x14ac:dyDescent="0.35">
      <c r="A258" t="str">
        <f t="shared" si="3"/>
        <v>Santa Helena de Minas20152.1</v>
      </c>
      <c r="B258">
        <v>3157658</v>
      </c>
      <c r="C258" t="s">
        <v>58</v>
      </c>
      <c r="D258">
        <v>2015</v>
      </c>
      <c r="E258">
        <v>1</v>
      </c>
      <c r="F258">
        <v>28</v>
      </c>
      <c r="G258" t="s">
        <v>17</v>
      </c>
      <c r="H258" t="s">
        <v>18</v>
      </c>
      <c r="I258" s="1" t="s">
        <v>19</v>
      </c>
    </row>
    <row r="259" spans="1:10" hidden="1" x14ac:dyDescent="0.35">
      <c r="A259" t="str">
        <f t="shared" si="3"/>
        <v>Santa Helena de Minas20152.2</v>
      </c>
      <c r="B259">
        <v>3157658</v>
      </c>
      <c r="C259" t="s">
        <v>58</v>
      </c>
      <c r="D259">
        <v>2015</v>
      </c>
      <c r="E259">
        <v>1</v>
      </c>
      <c r="F259">
        <v>29</v>
      </c>
      <c r="G259" t="s">
        <v>20</v>
      </c>
      <c r="H259" t="s">
        <v>18</v>
      </c>
      <c r="I259" s="1" t="s">
        <v>21</v>
      </c>
      <c r="J259">
        <v>0.85650000000000004</v>
      </c>
    </row>
    <row r="260" spans="1:10" hidden="1" x14ac:dyDescent="0.35">
      <c r="A260" t="str">
        <f t="shared" ref="A260:A323" si="4">C260&amp;D260&amp;G260</f>
        <v>Santa Helena de Minas20152.4</v>
      </c>
      <c r="B260">
        <v>3157658</v>
      </c>
      <c r="C260" t="s">
        <v>58</v>
      </c>
      <c r="D260">
        <v>2015</v>
      </c>
      <c r="E260">
        <v>1</v>
      </c>
      <c r="F260">
        <v>31</v>
      </c>
      <c r="G260" t="s">
        <v>22</v>
      </c>
      <c r="H260" t="s">
        <v>18</v>
      </c>
      <c r="I260" s="1" t="s">
        <v>23</v>
      </c>
      <c r="J260">
        <v>7.9200000000000007E-2</v>
      </c>
    </row>
    <row r="261" spans="1:10" hidden="1" x14ac:dyDescent="0.35">
      <c r="A261" t="str">
        <f t="shared" si="4"/>
        <v>Santa Helena de Minas20152.5</v>
      </c>
      <c r="B261">
        <v>3157658</v>
      </c>
      <c r="C261" t="s">
        <v>58</v>
      </c>
      <c r="D261">
        <v>2015</v>
      </c>
      <c r="E261">
        <v>1</v>
      </c>
      <c r="F261">
        <v>32</v>
      </c>
      <c r="G261" t="s">
        <v>24</v>
      </c>
      <c r="H261" t="s">
        <v>18</v>
      </c>
      <c r="I261" s="1" t="s">
        <v>25</v>
      </c>
      <c r="J261">
        <v>0.84119999999999995</v>
      </c>
    </row>
    <row r="262" spans="1:10" hidden="1" x14ac:dyDescent="0.35">
      <c r="A262" t="str">
        <f t="shared" si="4"/>
        <v>Santa Helena de Minas20152.8</v>
      </c>
      <c r="B262">
        <v>3157658</v>
      </c>
      <c r="C262" t="s">
        <v>58</v>
      </c>
      <c r="D262">
        <v>2015</v>
      </c>
      <c r="E262">
        <v>1</v>
      </c>
      <c r="F262">
        <v>35</v>
      </c>
      <c r="G262" t="s">
        <v>26</v>
      </c>
      <c r="H262" t="s">
        <v>18</v>
      </c>
      <c r="I262" s="1" t="s">
        <v>27</v>
      </c>
      <c r="J262">
        <v>0.19869999999999999</v>
      </c>
    </row>
    <row r="263" spans="1:10" hidden="1" x14ac:dyDescent="0.35">
      <c r="A263" t="str">
        <f t="shared" si="4"/>
        <v>Santa Helena de Minas20154.1</v>
      </c>
      <c r="B263">
        <v>3157658</v>
      </c>
      <c r="C263" t="s">
        <v>58</v>
      </c>
      <c r="D263">
        <v>2015</v>
      </c>
      <c r="E263">
        <v>1</v>
      </c>
      <c r="F263">
        <v>44</v>
      </c>
      <c r="G263" t="s">
        <v>28</v>
      </c>
      <c r="H263" t="s">
        <v>29</v>
      </c>
      <c r="I263" s="1" t="s">
        <v>30</v>
      </c>
      <c r="J263">
        <v>2240.44</v>
      </c>
    </row>
    <row r="264" spans="1:10" hidden="1" x14ac:dyDescent="0.35">
      <c r="A264" t="str">
        <f t="shared" si="4"/>
        <v>Santa Helena de Minas20154.10</v>
      </c>
      <c r="B264">
        <v>3157658</v>
      </c>
      <c r="C264" t="s">
        <v>58</v>
      </c>
      <c r="D264">
        <v>2015</v>
      </c>
      <c r="E264">
        <v>1</v>
      </c>
      <c r="F264">
        <v>58</v>
      </c>
      <c r="G264" t="s">
        <v>31</v>
      </c>
      <c r="H264" t="s">
        <v>29</v>
      </c>
      <c r="I264" s="1" t="s">
        <v>32</v>
      </c>
      <c r="J264">
        <v>2816.61</v>
      </c>
    </row>
    <row r="265" spans="1:10" hidden="1" x14ac:dyDescent="0.35">
      <c r="A265" t="str">
        <f t="shared" si="4"/>
        <v>Santa Helena de Minas20154.11</v>
      </c>
      <c r="B265">
        <v>3157658</v>
      </c>
      <c r="C265" t="s">
        <v>58</v>
      </c>
      <c r="D265">
        <v>2015</v>
      </c>
      <c r="E265">
        <v>1</v>
      </c>
      <c r="F265">
        <v>59</v>
      </c>
      <c r="G265" t="s">
        <v>33</v>
      </c>
      <c r="H265" t="s">
        <v>29</v>
      </c>
      <c r="I265" s="1" t="s">
        <v>34</v>
      </c>
      <c r="J265">
        <v>284.58</v>
      </c>
    </row>
    <row r="266" spans="1:10" hidden="1" x14ac:dyDescent="0.35">
      <c r="A266" t="str">
        <f t="shared" si="4"/>
        <v>Santa Helena de Minas20154.2</v>
      </c>
      <c r="B266">
        <v>3157658</v>
      </c>
      <c r="C266" t="s">
        <v>58</v>
      </c>
      <c r="D266">
        <v>2015</v>
      </c>
      <c r="E266">
        <v>1</v>
      </c>
      <c r="F266">
        <v>45</v>
      </c>
      <c r="G266" t="s">
        <v>35</v>
      </c>
      <c r="H266" t="s">
        <v>29</v>
      </c>
      <c r="I266" s="1" t="s">
        <v>36</v>
      </c>
      <c r="J266">
        <v>5787.97</v>
      </c>
    </row>
    <row r="267" spans="1:10" hidden="1" x14ac:dyDescent="0.35">
      <c r="A267" t="str">
        <f t="shared" si="4"/>
        <v>Santa Helena de Minas20154.8</v>
      </c>
      <c r="B267">
        <v>3157658</v>
      </c>
      <c r="C267" t="s">
        <v>58</v>
      </c>
      <c r="D267">
        <v>2015</v>
      </c>
      <c r="E267">
        <v>1</v>
      </c>
      <c r="F267">
        <v>56</v>
      </c>
      <c r="G267" t="s">
        <v>37</v>
      </c>
      <c r="H267" t="s">
        <v>29</v>
      </c>
      <c r="I267" s="1" t="s">
        <v>38</v>
      </c>
      <c r="J267">
        <v>5093.3500000000004</v>
      </c>
    </row>
    <row r="268" spans="1:10" hidden="1" x14ac:dyDescent="0.35">
      <c r="A268" t="str">
        <f t="shared" si="4"/>
        <v>Santa Helena de Minas20154.9</v>
      </c>
      <c r="B268">
        <v>3157658</v>
      </c>
      <c r="C268" t="s">
        <v>58</v>
      </c>
      <c r="D268">
        <v>2015</v>
      </c>
      <c r="E268">
        <v>1</v>
      </c>
      <c r="F268">
        <v>57</v>
      </c>
      <c r="G268" t="s">
        <v>39</v>
      </c>
      <c r="H268" t="s">
        <v>29</v>
      </c>
      <c r="I268" s="1" t="s">
        <v>40</v>
      </c>
      <c r="J268">
        <v>5093.3500000000004</v>
      </c>
    </row>
    <row r="269" spans="1:10" hidden="1" x14ac:dyDescent="0.35">
      <c r="A269" t="str">
        <f t="shared" si="4"/>
        <v>Serra dos Aimorés20151.1</v>
      </c>
      <c r="B269">
        <v>3166709</v>
      </c>
      <c r="C269" t="s">
        <v>59</v>
      </c>
      <c r="D269">
        <v>2015</v>
      </c>
      <c r="E269">
        <v>1</v>
      </c>
      <c r="F269">
        <v>24</v>
      </c>
      <c r="G269" t="s">
        <v>10</v>
      </c>
      <c r="H269" t="s">
        <v>11</v>
      </c>
      <c r="I269" s="1" t="s">
        <v>12</v>
      </c>
      <c r="J269">
        <v>0.25430000000000003</v>
      </c>
    </row>
    <row r="270" spans="1:10" hidden="1" x14ac:dyDescent="0.35">
      <c r="A270" t="str">
        <f t="shared" si="4"/>
        <v>Serra dos Aimorés20151.2</v>
      </c>
      <c r="B270">
        <v>3166709</v>
      </c>
      <c r="C270" t="s">
        <v>59</v>
      </c>
      <c r="D270">
        <v>2015</v>
      </c>
      <c r="E270">
        <v>1</v>
      </c>
      <c r="F270">
        <v>67</v>
      </c>
      <c r="G270" t="s">
        <v>13</v>
      </c>
      <c r="H270" t="s">
        <v>11</v>
      </c>
      <c r="I270" s="1" t="s">
        <v>14</v>
      </c>
      <c r="J270">
        <v>0.96930000000000005</v>
      </c>
    </row>
    <row r="271" spans="1:10" hidden="1" x14ac:dyDescent="0.35">
      <c r="A271" t="str">
        <f t="shared" si="4"/>
        <v>Serra dos Aimorés20151.3</v>
      </c>
      <c r="B271">
        <v>3166709</v>
      </c>
      <c r="C271" t="s">
        <v>59</v>
      </c>
      <c r="D271">
        <v>2015</v>
      </c>
      <c r="E271">
        <v>1</v>
      </c>
      <c r="F271">
        <v>68</v>
      </c>
      <c r="G271" t="s">
        <v>15</v>
      </c>
      <c r="H271" t="s">
        <v>11</v>
      </c>
      <c r="I271" s="1" t="s">
        <v>16</v>
      </c>
      <c r="J271">
        <v>2.2499999999999999E-2</v>
      </c>
    </row>
    <row r="272" spans="1:10" hidden="1" x14ac:dyDescent="0.35">
      <c r="A272" t="str">
        <f t="shared" si="4"/>
        <v>Serra dos Aimorés20152.1</v>
      </c>
      <c r="B272">
        <v>3166709</v>
      </c>
      <c r="C272" t="s">
        <v>59</v>
      </c>
      <c r="D272">
        <v>2015</v>
      </c>
      <c r="E272">
        <v>1</v>
      </c>
      <c r="F272">
        <v>28</v>
      </c>
      <c r="G272" t="s">
        <v>17</v>
      </c>
      <c r="H272" t="s">
        <v>18</v>
      </c>
      <c r="I272" s="1" t="s">
        <v>19</v>
      </c>
      <c r="J272">
        <v>8.9399999999999993E-2</v>
      </c>
    </row>
    <row r="273" spans="1:10" hidden="1" x14ac:dyDescent="0.35">
      <c r="A273" t="str">
        <f t="shared" si="4"/>
        <v>Serra dos Aimorés20152.2</v>
      </c>
      <c r="B273">
        <v>3166709</v>
      </c>
      <c r="C273" t="s">
        <v>59</v>
      </c>
      <c r="D273">
        <v>2015</v>
      </c>
      <c r="E273">
        <v>1</v>
      </c>
      <c r="F273">
        <v>29</v>
      </c>
      <c r="G273" t="s">
        <v>20</v>
      </c>
      <c r="H273" t="s">
        <v>18</v>
      </c>
      <c r="I273" s="1" t="s">
        <v>21</v>
      </c>
      <c r="J273">
        <v>0.81259999999999999</v>
      </c>
    </row>
    <row r="274" spans="1:10" hidden="1" x14ac:dyDescent="0.35">
      <c r="A274" t="str">
        <f t="shared" si="4"/>
        <v>Serra dos Aimorés20152.4</v>
      </c>
      <c r="B274">
        <v>3166709</v>
      </c>
      <c r="C274" t="s">
        <v>59</v>
      </c>
      <c r="D274">
        <v>2015</v>
      </c>
      <c r="E274">
        <v>1</v>
      </c>
      <c r="F274">
        <v>31</v>
      </c>
      <c r="G274" t="s">
        <v>22</v>
      </c>
      <c r="H274" t="s">
        <v>18</v>
      </c>
      <c r="I274" s="1" t="s">
        <v>23</v>
      </c>
      <c r="J274">
        <v>0.17249999999999999</v>
      </c>
    </row>
    <row r="275" spans="1:10" hidden="1" x14ac:dyDescent="0.35">
      <c r="A275" t="str">
        <f t="shared" si="4"/>
        <v>Serra dos Aimorés20152.5</v>
      </c>
      <c r="B275">
        <v>3166709</v>
      </c>
      <c r="C275" t="s">
        <v>59</v>
      </c>
      <c r="D275">
        <v>2015</v>
      </c>
      <c r="E275">
        <v>1</v>
      </c>
      <c r="F275">
        <v>32</v>
      </c>
      <c r="G275" t="s">
        <v>24</v>
      </c>
      <c r="H275" t="s">
        <v>18</v>
      </c>
      <c r="I275" s="1" t="s">
        <v>25</v>
      </c>
      <c r="J275">
        <v>0.76359999999999995</v>
      </c>
    </row>
    <row r="276" spans="1:10" hidden="1" x14ac:dyDescent="0.35">
      <c r="A276" t="str">
        <f t="shared" si="4"/>
        <v>Serra dos Aimorés20152.8</v>
      </c>
      <c r="B276">
        <v>3166709</v>
      </c>
      <c r="C276" t="s">
        <v>59</v>
      </c>
      <c r="D276">
        <v>2015</v>
      </c>
      <c r="E276">
        <v>1</v>
      </c>
      <c r="F276">
        <v>35</v>
      </c>
      <c r="G276" t="s">
        <v>26</v>
      </c>
      <c r="H276" t="s">
        <v>18</v>
      </c>
      <c r="I276" s="1" t="s">
        <v>27</v>
      </c>
      <c r="J276">
        <v>0.34250000000000003</v>
      </c>
    </row>
    <row r="277" spans="1:10" hidden="1" x14ac:dyDescent="0.35">
      <c r="A277" t="str">
        <f t="shared" si="4"/>
        <v>Serra dos Aimorés20154.1</v>
      </c>
      <c r="B277">
        <v>3166709</v>
      </c>
      <c r="C277" t="s">
        <v>59</v>
      </c>
      <c r="D277">
        <v>2015</v>
      </c>
      <c r="E277">
        <v>1</v>
      </c>
      <c r="F277">
        <v>44</v>
      </c>
      <c r="G277" t="s">
        <v>28</v>
      </c>
      <c r="H277" t="s">
        <v>29</v>
      </c>
      <c r="I277" s="1" t="s">
        <v>30</v>
      </c>
      <c r="J277">
        <v>2391.39</v>
      </c>
    </row>
    <row r="278" spans="1:10" hidden="1" x14ac:dyDescent="0.35">
      <c r="A278" t="str">
        <f t="shared" si="4"/>
        <v>Serra dos Aimorés20154.10</v>
      </c>
      <c r="B278">
        <v>3166709</v>
      </c>
      <c r="C278" t="s">
        <v>59</v>
      </c>
      <c r="D278">
        <v>2015</v>
      </c>
      <c r="E278">
        <v>1</v>
      </c>
      <c r="F278">
        <v>58</v>
      </c>
      <c r="G278" t="s">
        <v>31</v>
      </c>
      <c r="H278" t="s">
        <v>29</v>
      </c>
      <c r="I278" s="1" t="s">
        <v>32</v>
      </c>
      <c r="J278">
        <v>3830.94</v>
      </c>
    </row>
    <row r="279" spans="1:10" hidden="1" x14ac:dyDescent="0.35">
      <c r="A279" t="str">
        <f t="shared" si="4"/>
        <v>Serra dos Aimorés20154.11</v>
      </c>
      <c r="B279">
        <v>3166709</v>
      </c>
      <c r="C279" t="s">
        <v>59</v>
      </c>
      <c r="D279">
        <v>2015</v>
      </c>
      <c r="E279">
        <v>1</v>
      </c>
      <c r="F279">
        <v>59</v>
      </c>
      <c r="G279" t="s">
        <v>33</v>
      </c>
      <c r="H279" t="s">
        <v>29</v>
      </c>
      <c r="I279" s="1" t="s">
        <v>34</v>
      </c>
    </row>
    <row r="280" spans="1:10" hidden="1" x14ac:dyDescent="0.35">
      <c r="A280" t="str">
        <f t="shared" si="4"/>
        <v>Serra dos Aimorés20154.2</v>
      </c>
      <c r="B280">
        <v>3166709</v>
      </c>
      <c r="C280" t="s">
        <v>59</v>
      </c>
      <c r="D280">
        <v>2015</v>
      </c>
      <c r="E280">
        <v>1</v>
      </c>
      <c r="F280">
        <v>45</v>
      </c>
      <c r="G280" t="s">
        <v>35</v>
      </c>
      <c r="H280" t="s">
        <v>29</v>
      </c>
      <c r="I280" s="1" t="s">
        <v>36</v>
      </c>
      <c r="J280">
        <v>6246.53</v>
      </c>
    </row>
    <row r="281" spans="1:10" hidden="1" x14ac:dyDescent="0.35">
      <c r="A281" t="str">
        <f t="shared" si="4"/>
        <v>Serra dos Aimorés20154.8</v>
      </c>
      <c r="B281">
        <v>3166709</v>
      </c>
      <c r="C281" t="s">
        <v>59</v>
      </c>
      <c r="D281">
        <v>2015</v>
      </c>
      <c r="E281">
        <v>1</v>
      </c>
      <c r="F281">
        <v>56</v>
      </c>
      <c r="G281" t="s">
        <v>37</v>
      </c>
      <c r="H281" t="s">
        <v>29</v>
      </c>
      <c r="I281" s="1" t="s">
        <v>38</v>
      </c>
      <c r="J281">
        <v>4446.88</v>
      </c>
    </row>
    <row r="282" spans="1:10" hidden="1" x14ac:dyDescent="0.35">
      <c r="A282" t="str">
        <f t="shared" si="4"/>
        <v>Serra dos Aimorés20154.9</v>
      </c>
      <c r="B282">
        <v>3166709</v>
      </c>
      <c r="C282" t="s">
        <v>59</v>
      </c>
      <c r="D282">
        <v>2015</v>
      </c>
      <c r="E282">
        <v>1</v>
      </c>
      <c r="F282">
        <v>57</v>
      </c>
      <c r="G282" t="s">
        <v>39</v>
      </c>
      <c r="H282" t="s">
        <v>29</v>
      </c>
      <c r="I282" s="1" t="s">
        <v>40</v>
      </c>
      <c r="J282">
        <v>4446.88</v>
      </c>
    </row>
    <row r="283" spans="1:10" hidden="1" x14ac:dyDescent="0.35">
      <c r="A283" t="str">
        <f t="shared" si="4"/>
        <v>Setubinha20151.1</v>
      </c>
      <c r="B283">
        <v>3165552</v>
      </c>
      <c r="C283" t="s">
        <v>60</v>
      </c>
      <c r="D283">
        <v>2015</v>
      </c>
      <c r="E283">
        <v>1</v>
      </c>
      <c r="F283">
        <v>24</v>
      </c>
      <c r="G283" t="s">
        <v>10</v>
      </c>
      <c r="H283" t="s">
        <v>11</v>
      </c>
      <c r="I283" s="1" t="s">
        <v>12</v>
      </c>
      <c r="J283">
        <v>0.25219999999999998</v>
      </c>
    </row>
    <row r="284" spans="1:10" hidden="1" x14ac:dyDescent="0.35">
      <c r="A284" t="str">
        <f t="shared" si="4"/>
        <v>Setubinha20151.2</v>
      </c>
      <c r="B284">
        <v>3165552</v>
      </c>
      <c r="C284" t="s">
        <v>60</v>
      </c>
      <c r="D284">
        <v>2015</v>
      </c>
      <c r="E284">
        <v>1</v>
      </c>
      <c r="F284">
        <v>67</v>
      </c>
      <c r="G284" t="s">
        <v>13</v>
      </c>
      <c r="H284" t="s">
        <v>11</v>
      </c>
      <c r="I284" s="1" t="s">
        <v>14</v>
      </c>
      <c r="J284">
        <v>0.77110000000000001</v>
      </c>
    </row>
    <row r="285" spans="1:10" hidden="1" x14ac:dyDescent="0.35">
      <c r="A285" t="str">
        <f t="shared" si="4"/>
        <v>Setubinha20151.3</v>
      </c>
      <c r="B285">
        <v>3165552</v>
      </c>
      <c r="C285" t="s">
        <v>60</v>
      </c>
      <c r="D285">
        <v>2015</v>
      </c>
      <c r="E285">
        <v>1</v>
      </c>
      <c r="F285">
        <v>68</v>
      </c>
      <c r="G285" t="s">
        <v>15</v>
      </c>
      <c r="H285" t="s">
        <v>11</v>
      </c>
      <c r="I285" s="1" t="s">
        <v>16</v>
      </c>
      <c r="J285">
        <v>0.22889999999999999</v>
      </c>
    </row>
    <row r="286" spans="1:10" hidden="1" x14ac:dyDescent="0.35">
      <c r="A286" t="str">
        <f t="shared" si="4"/>
        <v>Setubinha20152.1</v>
      </c>
      <c r="B286">
        <v>3165552</v>
      </c>
      <c r="C286" t="s">
        <v>60</v>
      </c>
      <c r="D286">
        <v>2015</v>
      </c>
      <c r="E286">
        <v>1</v>
      </c>
      <c r="F286">
        <v>28</v>
      </c>
      <c r="G286" t="s">
        <v>17</v>
      </c>
      <c r="H286" t="s">
        <v>18</v>
      </c>
      <c r="I286" s="1" t="s">
        <v>19</v>
      </c>
      <c r="J286">
        <v>2.8799999999999999E-2</v>
      </c>
    </row>
    <row r="287" spans="1:10" hidden="1" x14ac:dyDescent="0.35">
      <c r="A287" t="str">
        <f t="shared" si="4"/>
        <v>Setubinha20152.2</v>
      </c>
      <c r="B287">
        <v>3165552</v>
      </c>
      <c r="C287" t="s">
        <v>60</v>
      </c>
      <c r="D287">
        <v>2015</v>
      </c>
      <c r="E287">
        <v>1</v>
      </c>
      <c r="F287">
        <v>29</v>
      </c>
      <c r="G287" t="s">
        <v>20</v>
      </c>
      <c r="H287" t="s">
        <v>18</v>
      </c>
      <c r="I287" s="1" t="s">
        <v>21</v>
      </c>
      <c r="J287">
        <v>0.81479999999999997</v>
      </c>
    </row>
    <row r="288" spans="1:10" hidden="1" x14ac:dyDescent="0.35">
      <c r="A288" t="str">
        <f t="shared" si="4"/>
        <v>Setubinha20152.4</v>
      </c>
      <c r="B288">
        <v>3165552</v>
      </c>
      <c r="C288" t="s">
        <v>60</v>
      </c>
      <c r="D288">
        <v>2015</v>
      </c>
      <c r="E288">
        <v>1</v>
      </c>
      <c r="F288">
        <v>31</v>
      </c>
      <c r="G288" t="s">
        <v>22</v>
      </c>
      <c r="H288" t="s">
        <v>18</v>
      </c>
      <c r="I288" s="1" t="s">
        <v>23</v>
      </c>
      <c r="J288">
        <v>9.6500000000000002E-2</v>
      </c>
    </row>
    <row r="289" spans="1:10" hidden="1" x14ac:dyDescent="0.35">
      <c r="A289" t="str">
        <f t="shared" si="4"/>
        <v>Setubinha20152.5</v>
      </c>
      <c r="B289">
        <v>3165552</v>
      </c>
      <c r="C289" t="s">
        <v>60</v>
      </c>
      <c r="D289">
        <v>2015</v>
      </c>
      <c r="E289">
        <v>1</v>
      </c>
      <c r="F289">
        <v>32</v>
      </c>
      <c r="G289" t="s">
        <v>24</v>
      </c>
      <c r="H289" t="s">
        <v>18</v>
      </c>
      <c r="I289" s="1" t="s">
        <v>25</v>
      </c>
      <c r="J289">
        <v>0.85650000000000004</v>
      </c>
    </row>
    <row r="290" spans="1:10" hidden="1" x14ac:dyDescent="0.35">
      <c r="A290" t="str">
        <f t="shared" si="4"/>
        <v>Setubinha20152.8</v>
      </c>
      <c r="B290">
        <v>3165552</v>
      </c>
      <c r="C290" t="s">
        <v>60</v>
      </c>
      <c r="D290">
        <v>2015</v>
      </c>
      <c r="E290">
        <v>1</v>
      </c>
      <c r="F290">
        <v>35</v>
      </c>
      <c r="G290" t="s">
        <v>26</v>
      </c>
      <c r="H290" t="s">
        <v>18</v>
      </c>
      <c r="I290" s="1" t="s">
        <v>27</v>
      </c>
      <c r="J290">
        <v>0.30769999999999997</v>
      </c>
    </row>
    <row r="291" spans="1:10" hidden="1" x14ac:dyDescent="0.35">
      <c r="A291" t="str">
        <f t="shared" si="4"/>
        <v>Setubinha20154.1</v>
      </c>
      <c r="B291">
        <v>3165552</v>
      </c>
      <c r="C291" t="s">
        <v>60</v>
      </c>
      <c r="D291">
        <v>2015</v>
      </c>
      <c r="E291">
        <v>1</v>
      </c>
      <c r="F291">
        <v>44</v>
      </c>
      <c r="G291" t="s">
        <v>28</v>
      </c>
      <c r="H291" t="s">
        <v>29</v>
      </c>
      <c r="I291" s="1" t="s">
        <v>30</v>
      </c>
      <c r="J291">
        <v>2149.5100000000002</v>
      </c>
    </row>
    <row r="292" spans="1:10" hidden="1" x14ac:dyDescent="0.35">
      <c r="A292" t="str">
        <f t="shared" si="4"/>
        <v>Setubinha20154.10</v>
      </c>
      <c r="B292">
        <v>3165552</v>
      </c>
      <c r="C292" t="s">
        <v>60</v>
      </c>
      <c r="D292">
        <v>2015</v>
      </c>
      <c r="E292">
        <v>1</v>
      </c>
      <c r="F292">
        <v>58</v>
      </c>
      <c r="G292" t="s">
        <v>31</v>
      </c>
      <c r="H292" t="s">
        <v>29</v>
      </c>
      <c r="I292" s="1" t="s">
        <v>32</v>
      </c>
      <c r="J292">
        <v>2282.66</v>
      </c>
    </row>
    <row r="293" spans="1:10" hidden="1" x14ac:dyDescent="0.35">
      <c r="A293" t="str">
        <f t="shared" si="4"/>
        <v>Setubinha20154.11</v>
      </c>
      <c r="B293">
        <v>3165552</v>
      </c>
      <c r="C293" t="s">
        <v>60</v>
      </c>
      <c r="D293">
        <v>2015</v>
      </c>
      <c r="E293">
        <v>1</v>
      </c>
      <c r="F293">
        <v>59</v>
      </c>
      <c r="G293" t="s">
        <v>33</v>
      </c>
      <c r="H293" t="s">
        <v>29</v>
      </c>
      <c r="I293" s="1" t="s">
        <v>34</v>
      </c>
      <c r="J293">
        <v>1340.63</v>
      </c>
    </row>
    <row r="294" spans="1:10" hidden="1" x14ac:dyDescent="0.35">
      <c r="A294" t="str">
        <f t="shared" si="4"/>
        <v>Setubinha20154.2</v>
      </c>
      <c r="B294">
        <v>3165552</v>
      </c>
      <c r="C294" t="s">
        <v>60</v>
      </c>
      <c r="D294">
        <v>2015</v>
      </c>
      <c r="E294">
        <v>1</v>
      </c>
      <c r="F294">
        <v>45</v>
      </c>
      <c r="G294" t="s">
        <v>35</v>
      </c>
      <c r="H294" t="s">
        <v>29</v>
      </c>
      <c r="I294" s="1" t="s">
        <v>36</v>
      </c>
      <c r="J294">
        <v>9340.76</v>
      </c>
    </row>
    <row r="295" spans="1:10" hidden="1" x14ac:dyDescent="0.35">
      <c r="A295" t="str">
        <f t="shared" si="4"/>
        <v>Setubinha20154.8</v>
      </c>
      <c r="B295">
        <v>3165552</v>
      </c>
      <c r="C295" t="s">
        <v>60</v>
      </c>
      <c r="D295">
        <v>2015</v>
      </c>
      <c r="E295">
        <v>1</v>
      </c>
      <c r="F295">
        <v>56</v>
      </c>
      <c r="G295" t="s">
        <v>37</v>
      </c>
      <c r="H295" t="s">
        <v>29</v>
      </c>
      <c r="I295" s="1" t="s">
        <v>38</v>
      </c>
      <c r="J295">
        <v>6977.14</v>
      </c>
    </row>
    <row r="296" spans="1:10" hidden="1" x14ac:dyDescent="0.35">
      <c r="A296" t="str">
        <f t="shared" si="4"/>
        <v>Setubinha20154.9</v>
      </c>
      <c r="B296">
        <v>3165552</v>
      </c>
      <c r="C296" t="s">
        <v>60</v>
      </c>
      <c r="D296">
        <v>2015</v>
      </c>
      <c r="E296">
        <v>1</v>
      </c>
      <c r="F296">
        <v>57</v>
      </c>
      <c r="G296" t="s">
        <v>39</v>
      </c>
      <c r="H296" t="s">
        <v>29</v>
      </c>
      <c r="I296" s="1" t="s">
        <v>40</v>
      </c>
      <c r="J296">
        <v>6977.14</v>
      </c>
    </row>
    <row r="297" spans="1:10" hidden="1" x14ac:dyDescent="0.35">
      <c r="A297" t="str">
        <f t="shared" si="4"/>
        <v>Teófilo Otoni20151.1</v>
      </c>
      <c r="B297">
        <v>3168606</v>
      </c>
      <c r="C297" t="s">
        <v>61</v>
      </c>
      <c r="D297">
        <v>2015</v>
      </c>
      <c r="E297">
        <v>1</v>
      </c>
      <c r="F297">
        <v>24</v>
      </c>
      <c r="G297" t="s">
        <v>10</v>
      </c>
      <c r="H297" t="s">
        <v>11</v>
      </c>
      <c r="I297" s="1" t="s">
        <v>12</v>
      </c>
      <c r="J297">
        <v>0.26450000000000001</v>
      </c>
    </row>
    <row r="298" spans="1:10" hidden="1" x14ac:dyDescent="0.35">
      <c r="A298" t="str">
        <f t="shared" si="4"/>
        <v>Teófilo Otoni20151.2</v>
      </c>
      <c r="B298">
        <v>3168606</v>
      </c>
      <c r="C298" t="s">
        <v>61</v>
      </c>
      <c r="D298">
        <v>2015</v>
      </c>
      <c r="E298">
        <v>1</v>
      </c>
      <c r="F298">
        <v>67</v>
      </c>
      <c r="G298" t="s">
        <v>13</v>
      </c>
      <c r="H298" t="s">
        <v>11</v>
      </c>
      <c r="I298" s="1" t="s">
        <v>14</v>
      </c>
      <c r="J298">
        <v>0.72340000000000004</v>
      </c>
    </row>
    <row r="299" spans="1:10" hidden="1" x14ac:dyDescent="0.35">
      <c r="A299" t="str">
        <f t="shared" si="4"/>
        <v>Teófilo Otoni20151.3</v>
      </c>
      <c r="B299">
        <v>3168606</v>
      </c>
      <c r="C299" t="s">
        <v>61</v>
      </c>
      <c r="D299">
        <v>2015</v>
      </c>
      <c r="E299">
        <v>1</v>
      </c>
      <c r="F299">
        <v>68</v>
      </c>
      <c r="G299" t="s">
        <v>15</v>
      </c>
      <c r="H299" t="s">
        <v>11</v>
      </c>
      <c r="I299" s="1" t="s">
        <v>16</v>
      </c>
      <c r="J299">
        <v>0.2747</v>
      </c>
    </row>
    <row r="300" spans="1:10" hidden="1" x14ac:dyDescent="0.35">
      <c r="A300" t="str">
        <f t="shared" si="4"/>
        <v>Teófilo Otoni20152.1</v>
      </c>
      <c r="B300">
        <v>3168606</v>
      </c>
      <c r="C300" t="s">
        <v>61</v>
      </c>
      <c r="D300">
        <v>2015</v>
      </c>
      <c r="E300">
        <v>1</v>
      </c>
      <c r="F300">
        <v>28</v>
      </c>
      <c r="G300" t="s">
        <v>17</v>
      </c>
      <c r="H300" t="s">
        <v>18</v>
      </c>
      <c r="I300" s="1" t="s">
        <v>19</v>
      </c>
      <c r="J300">
        <v>0.1537</v>
      </c>
    </row>
    <row r="301" spans="1:10" hidden="1" x14ac:dyDescent="0.35">
      <c r="A301" t="str">
        <f t="shared" si="4"/>
        <v>Teófilo Otoni20152.2</v>
      </c>
      <c r="B301">
        <v>3168606</v>
      </c>
      <c r="C301" t="s">
        <v>61</v>
      </c>
      <c r="D301">
        <v>2015</v>
      </c>
      <c r="E301">
        <v>1</v>
      </c>
      <c r="F301">
        <v>29</v>
      </c>
      <c r="G301" t="s">
        <v>20</v>
      </c>
      <c r="H301" t="s">
        <v>18</v>
      </c>
      <c r="I301" s="1" t="s">
        <v>21</v>
      </c>
      <c r="J301">
        <v>0.74770000000000003</v>
      </c>
    </row>
    <row r="302" spans="1:10" hidden="1" x14ac:dyDescent="0.35">
      <c r="A302" t="str">
        <f t="shared" si="4"/>
        <v>Teófilo Otoni20152.4</v>
      </c>
      <c r="B302">
        <v>3168606</v>
      </c>
      <c r="C302" t="s">
        <v>61</v>
      </c>
      <c r="D302">
        <v>2015</v>
      </c>
      <c r="E302">
        <v>1</v>
      </c>
      <c r="F302">
        <v>31</v>
      </c>
      <c r="G302" t="s">
        <v>22</v>
      </c>
      <c r="H302" t="s">
        <v>18</v>
      </c>
      <c r="I302" s="1" t="s">
        <v>23</v>
      </c>
      <c r="J302">
        <v>0.21870000000000001</v>
      </c>
    </row>
    <row r="303" spans="1:10" hidden="1" x14ac:dyDescent="0.35">
      <c r="A303" t="str">
        <f t="shared" si="4"/>
        <v>Teófilo Otoni20152.5</v>
      </c>
      <c r="B303">
        <v>3168606</v>
      </c>
      <c r="C303" t="s">
        <v>61</v>
      </c>
      <c r="D303">
        <v>2015</v>
      </c>
      <c r="E303">
        <v>1</v>
      </c>
      <c r="F303">
        <v>32</v>
      </c>
      <c r="G303" t="s">
        <v>24</v>
      </c>
      <c r="H303" t="s">
        <v>18</v>
      </c>
      <c r="I303" s="1" t="s">
        <v>25</v>
      </c>
      <c r="J303">
        <v>0.71250000000000002</v>
      </c>
    </row>
    <row r="304" spans="1:10" hidden="1" x14ac:dyDescent="0.35">
      <c r="A304" t="str">
        <f t="shared" si="4"/>
        <v>Teófilo Otoni20152.8</v>
      </c>
      <c r="B304">
        <v>3168606</v>
      </c>
      <c r="C304" t="s">
        <v>61</v>
      </c>
      <c r="D304">
        <v>2015</v>
      </c>
      <c r="E304">
        <v>1</v>
      </c>
      <c r="F304">
        <v>35</v>
      </c>
      <c r="G304" t="s">
        <v>26</v>
      </c>
      <c r="H304" t="s">
        <v>18</v>
      </c>
      <c r="I304" s="1" t="s">
        <v>27</v>
      </c>
      <c r="J304">
        <v>0.1898</v>
      </c>
    </row>
    <row r="305" spans="1:10" hidden="1" x14ac:dyDescent="0.35">
      <c r="A305" t="str">
        <f t="shared" si="4"/>
        <v>Teófilo Otoni20154.1</v>
      </c>
      <c r="B305">
        <v>3168606</v>
      </c>
      <c r="C305" t="s">
        <v>61</v>
      </c>
      <c r="D305">
        <v>2015</v>
      </c>
      <c r="E305">
        <v>1</v>
      </c>
      <c r="F305">
        <v>44</v>
      </c>
      <c r="G305" t="s">
        <v>28</v>
      </c>
      <c r="H305" t="s">
        <v>29</v>
      </c>
      <c r="I305" s="1" t="s">
        <v>30</v>
      </c>
      <c r="J305">
        <v>2663.31</v>
      </c>
    </row>
    <row r="306" spans="1:10" hidden="1" x14ac:dyDescent="0.35">
      <c r="A306" t="str">
        <f t="shared" si="4"/>
        <v>Teófilo Otoni20154.10</v>
      </c>
      <c r="B306">
        <v>3168606</v>
      </c>
      <c r="C306" t="s">
        <v>61</v>
      </c>
      <c r="D306">
        <v>2015</v>
      </c>
      <c r="E306">
        <v>1</v>
      </c>
      <c r="F306">
        <v>58</v>
      </c>
      <c r="G306" t="s">
        <v>31</v>
      </c>
      <c r="H306" t="s">
        <v>29</v>
      </c>
      <c r="I306" s="1" t="s">
        <v>32</v>
      </c>
      <c r="J306">
        <v>2197.98</v>
      </c>
    </row>
    <row r="307" spans="1:10" hidden="1" x14ac:dyDescent="0.35">
      <c r="A307" t="str">
        <f t="shared" si="4"/>
        <v>Teófilo Otoni20154.11</v>
      </c>
      <c r="B307">
        <v>3168606</v>
      </c>
      <c r="C307" t="s">
        <v>61</v>
      </c>
      <c r="D307">
        <v>2015</v>
      </c>
      <c r="E307">
        <v>1</v>
      </c>
      <c r="F307">
        <v>59</v>
      </c>
      <c r="G307" t="s">
        <v>33</v>
      </c>
      <c r="H307" t="s">
        <v>29</v>
      </c>
      <c r="I307" s="1" t="s">
        <v>34</v>
      </c>
      <c r="J307">
        <v>766.16</v>
      </c>
    </row>
    <row r="308" spans="1:10" hidden="1" x14ac:dyDescent="0.35">
      <c r="A308" t="str">
        <f t="shared" si="4"/>
        <v>Teófilo Otoni20154.2</v>
      </c>
      <c r="B308">
        <v>3168606</v>
      </c>
      <c r="C308" t="s">
        <v>61</v>
      </c>
      <c r="D308">
        <v>2015</v>
      </c>
      <c r="E308">
        <v>1</v>
      </c>
      <c r="F308">
        <v>45</v>
      </c>
      <c r="G308" t="s">
        <v>35</v>
      </c>
      <c r="H308" t="s">
        <v>29</v>
      </c>
      <c r="I308" s="1" t="s">
        <v>36</v>
      </c>
      <c r="J308">
        <v>6153.78</v>
      </c>
    </row>
    <row r="309" spans="1:10" hidden="1" x14ac:dyDescent="0.35">
      <c r="A309" t="str">
        <f t="shared" si="4"/>
        <v>Teófilo Otoni20154.8</v>
      </c>
      <c r="B309">
        <v>3168606</v>
      </c>
      <c r="C309" t="s">
        <v>61</v>
      </c>
      <c r="D309">
        <v>2015</v>
      </c>
      <c r="E309">
        <v>1</v>
      </c>
      <c r="F309">
        <v>56</v>
      </c>
      <c r="G309" t="s">
        <v>37</v>
      </c>
      <c r="H309" t="s">
        <v>29</v>
      </c>
      <c r="I309" s="1" t="s">
        <v>38</v>
      </c>
      <c r="J309">
        <v>4631.8500000000004</v>
      </c>
    </row>
    <row r="310" spans="1:10" hidden="1" x14ac:dyDescent="0.35">
      <c r="A310" t="str">
        <f t="shared" si="4"/>
        <v>Teófilo Otoni20154.9</v>
      </c>
      <c r="B310">
        <v>3168606</v>
      </c>
      <c r="C310" t="s">
        <v>61</v>
      </c>
      <c r="D310">
        <v>2015</v>
      </c>
      <c r="E310">
        <v>1</v>
      </c>
      <c r="F310">
        <v>57</v>
      </c>
      <c r="G310" t="s">
        <v>39</v>
      </c>
      <c r="H310" t="s">
        <v>29</v>
      </c>
      <c r="I310" s="1" t="s">
        <v>40</v>
      </c>
      <c r="J310">
        <v>4631.8500000000004</v>
      </c>
    </row>
    <row r="311" spans="1:10" hidden="1" x14ac:dyDescent="0.35">
      <c r="A311" t="str">
        <f t="shared" si="4"/>
        <v>Umburatiba20151.1</v>
      </c>
      <c r="B311">
        <v>3170305</v>
      </c>
      <c r="C311" t="s">
        <v>62</v>
      </c>
      <c r="D311">
        <v>2015</v>
      </c>
      <c r="E311">
        <v>1</v>
      </c>
      <c r="F311">
        <v>24</v>
      </c>
      <c r="G311" t="s">
        <v>10</v>
      </c>
      <c r="H311" t="s">
        <v>11</v>
      </c>
      <c r="I311" s="1" t="s">
        <v>12</v>
      </c>
      <c r="J311">
        <v>0.26860000000000001</v>
      </c>
    </row>
    <row r="312" spans="1:10" hidden="1" x14ac:dyDescent="0.35">
      <c r="A312" t="str">
        <f t="shared" si="4"/>
        <v>Umburatiba20151.2</v>
      </c>
      <c r="B312">
        <v>3170305</v>
      </c>
      <c r="C312" t="s">
        <v>62</v>
      </c>
      <c r="D312">
        <v>2015</v>
      </c>
      <c r="E312">
        <v>1</v>
      </c>
      <c r="F312">
        <v>67</v>
      </c>
      <c r="G312" t="s">
        <v>13</v>
      </c>
      <c r="H312" t="s">
        <v>11</v>
      </c>
      <c r="I312" s="1" t="s">
        <v>14</v>
      </c>
      <c r="J312">
        <v>0.90339999999999998</v>
      </c>
    </row>
    <row r="313" spans="1:10" hidden="1" x14ac:dyDescent="0.35">
      <c r="A313" t="str">
        <f t="shared" si="4"/>
        <v>Umburatiba20151.3</v>
      </c>
      <c r="B313">
        <v>3170305</v>
      </c>
      <c r="C313" t="s">
        <v>62</v>
      </c>
      <c r="D313">
        <v>2015</v>
      </c>
      <c r="E313">
        <v>1</v>
      </c>
      <c r="F313">
        <v>68</v>
      </c>
      <c r="G313" t="s">
        <v>15</v>
      </c>
      <c r="H313" t="s">
        <v>11</v>
      </c>
      <c r="I313" s="1" t="s">
        <v>16</v>
      </c>
      <c r="J313">
        <v>9.6600000000000005E-2</v>
      </c>
    </row>
    <row r="314" spans="1:10" hidden="1" x14ac:dyDescent="0.35">
      <c r="A314" t="str">
        <f t="shared" si="4"/>
        <v>Umburatiba20152.1</v>
      </c>
      <c r="B314">
        <v>3170305</v>
      </c>
      <c r="C314" t="s">
        <v>62</v>
      </c>
      <c r="D314">
        <v>2015</v>
      </c>
      <c r="E314">
        <v>1</v>
      </c>
      <c r="F314">
        <v>28</v>
      </c>
      <c r="G314" t="s">
        <v>17</v>
      </c>
      <c r="H314" t="s">
        <v>18</v>
      </c>
      <c r="I314" s="1" t="s">
        <v>19</v>
      </c>
      <c r="J314">
        <v>1.2500000000000001E-2</v>
      </c>
    </row>
    <row r="315" spans="1:10" hidden="1" x14ac:dyDescent="0.35">
      <c r="A315" t="str">
        <f t="shared" si="4"/>
        <v>Umburatiba20152.2</v>
      </c>
      <c r="B315">
        <v>3170305</v>
      </c>
      <c r="C315" t="s">
        <v>62</v>
      </c>
      <c r="D315">
        <v>2015</v>
      </c>
      <c r="E315">
        <v>1</v>
      </c>
      <c r="F315">
        <v>29</v>
      </c>
      <c r="G315" t="s">
        <v>20</v>
      </c>
      <c r="H315" t="s">
        <v>18</v>
      </c>
      <c r="I315" s="1" t="s">
        <v>21</v>
      </c>
      <c r="J315">
        <v>0.80220000000000002</v>
      </c>
    </row>
    <row r="316" spans="1:10" hidden="1" x14ac:dyDescent="0.35">
      <c r="A316" t="str">
        <f t="shared" si="4"/>
        <v>Umburatiba20152.4</v>
      </c>
      <c r="B316">
        <v>3170305</v>
      </c>
      <c r="C316" t="s">
        <v>62</v>
      </c>
      <c r="D316">
        <v>2015</v>
      </c>
      <c r="E316">
        <v>1</v>
      </c>
      <c r="F316">
        <v>31</v>
      </c>
      <c r="G316" t="s">
        <v>22</v>
      </c>
      <c r="H316" t="s">
        <v>18</v>
      </c>
      <c r="I316" s="1" t="s">
        <v>23</v>
      </c>
      <c r="J316">
        <v>0.11940000000000001</v>
      </c>
    </row>
    <row r="317" spans="1:10" hidden="1" x14ac:dyDescent="0.35">
      <c r="A317" t="str">
        <f t="shared" si="4"/>
        <v>Umburatiba20152.5</v>
      </c>
      <c r="B317">
        <v>3170305</v>
      </c>
      <c r="C317" t="s">
        <v>62</v>
      </c>
      <c r="D317">
        <v>2015</v>
      </c>
      <c r="E317">
        <v>1</v>
      </c>
      <c r="F317">
        <v>32</v>
      </c>
      <c r="G317" t="s">
        <v>24</v>
      </c>
      <c r="H317" t="s">
        <v>18</v>
      </c>
      <c r="I317" s="1" t="s">
        <v>25</v>
      </c>
      <c r="J317">
        <v>0.79079999999999995</v>
      </c>
    </row>
    <row r="318" spans="1:10" hidden="1" x14ac:dyDescent="0.35">
      <c r="A318" t="str">
        <f t="shared" si="4"/>
        <v>Umburatiba20152.8</v>
      </c>
      <c r="B318">
        <v>3170305</v>
      </c>
      <c r="C318" t="s">
        <v>62</v>
      </c>
      <c r="D318">
        <v>2015</v>
      </c>
      <c r="E318">
        <v>1</v>
      </c>
      <c r="F318">
        <v>35</v>
      </c>
      <c r="G318" t="s">
        <v>26</v>
      </c>
      <c r="H318" t="s">
        <v>18</v>
      </c>
      <c r="I318" s="1" t="s">
        <v>27</v>
      </c>
      <c r="J318">
        <v>0.19750000000000001</v>
      </c>
    </row>
    <row r="319" spans="1:10" hidden="1" x14ac:dyDescent="0.35">
      <c r="A319" t="str">
        <f t="shared" si="4"/>
        <v>Umburatiba20154.1</v>
      </c>
      <c r="B319">
        <v>3170305</v>
      </c>
      <c r="C319" t="s">
        <v>62</v>
      </c>
      <c r="D319">
        <v>2015</v>
      </c>
      <c r="E319">
        <v>1</v>
      </c>
      <c r="F319">
        <v>44</v>
      </c>
      <c r="G319" t="s">
        <v>28</v>
      </c>
      <c r="H319" t="s">
        <v>29</v>
      </c>
      <c r="I319" s="1" t="s">
        <v>30</v>
      </c>
      <c r="J319">
        <v>3207.27</v>
      </c>
    </row>
    <row r="320" spans="1:10" hidden="1" x14ac:dyDescent="0.35">
      <c r="A320" t="str">
        <f t="shared" si="4"/>
        <v>Umburatiba20154.10</v>
      </c>
      <c r="B320">
        <v>3170305</v>
      </c>
      <c r="C320" t="s">
        <v>62</v>
      </c>
      <c r="D320">
        <v>2015</v>
      </c>
      <c r="E320">
        <v>1</v>
      </c>
      <c r="F320">
        <v>58</v>
      </c>
      <c r="G320" t="s">
        <v>31</v>
      </c>
      <c r="H320" t="s">
        <v>29</v>
      </c>
      <c r="I320" s="1" t="s">
        <v>32</v>
      </c>
      <c r="J320">
        <v>3794.23</v>
      </c>
    </row>
    <row r="321" spans="1:10" hidden="1" x14ac:dyDescent="0.35">
      <c r="A321" t="str">
        <f t="shared" si="4"/>
        <v>Umburatiba20154.11</v>
      </c>
      <c r="B321">
        <v>3170305</v>
      </c>
      <c r="C321" t="s">
        <v>62</v>
      </c>
      <c r="D321">
        <v>2015</v>
      </c>
      <c r="E321">
        <v>1</v>
      </c>
      <c r="F321">
        <v>59</v>
      </c>
      <c r="G321" t="s">
        <v>33</v>
      </c>
      <c r="H321" t="s">
        <v>29</v>
      </c>
      <c r="I321" s="1" t="s">
        <v>34</v>
      </c>
      <c r="J321">
        <v>733.8</v>
      </c>
    </row>
    <row r="322" spans="1:10" hidden="1" x14ac:dyDescent="0.35">
      <c r="A322" t="str">
        <f t="shared" si="4"/>
        <v>Umburatiba20154.2</v>
      </c>
      <c r="B322">
        <v>3170305</v>
      </c>
      <c r="C322" t="s">
        <v>62</v>
      </c>
      <c r="D322">
        <v>2015</v>
      </c>
      <c r="E322">
        <v>1</v>
      </c>
      <c r="F322">
        <v>45</v>
      </c>
      <c r="G322" t="s">
        <v>35</v>
      </c>
      <c r="H322" t="s">
        <v>29</v>
      </c>
      <c r="I322" s="1" t="s">
        <v>36</v>
      </c>
      <c r="J322">
        <v>4829.33</v>
      </c>
    </row>
    <row r="323" spans="1:10" hidden="1" x14ac:dyDescent="0.35">
      <c r="A323" t="str">
        <f t="shared" si="4"/>
        <v>Umburatiba20154.8</v>
      </c>
      <c r="B323">
        <v>3170305</v>
      </c>
      <c r="C323" t="s">
        <v>62</v>
      </c>
      <c r="D323">
        <v>2015</v>
      </c>
      <c r="E323">
        <v>1</v>
      </c>
      <c r="F323">
        <v>56</v>
      </c>
      <c r="G323" t="s">
        <v>37</v>
      </c>
      <c r="H323" t="s">
        <v>29</v>
      </c>
      <c r="I323" s="1" t="s">
        <v>38</v>
      </c>
      <c r="J323">
        <v>4528.82</v>
      </c>
    </row>
    <row r="324" spans="1:10" hidden="1" x14ac:dyDescent="0.35">
      <c r="A324" t="str">
        <f t="shared" ref="A324:A387" si="5">C324&amp;D324&amp;G324</f>
        <v>Umburatiba20154.9</v>
      </c>
      <c r="B324">
        <v>3170305</v>
      </c>
      <c r="C324" t="s">
        <v>62</v>
      </c>
      <c r="D324">
        <v>2015</v>
      </c>
      <c r="E324">
        <v>1</v>
      </c>
      <c r="F324">
        <v>57</v>
      </c>
      <c r="G324" t="s">
        <v>39</v>
      </c>
      <c r="H324" t="s">
        <v>29</v>
      </c>
      <c r="I324" s="1" t="s">
        <v>40</v>
      </c>
      <c r="J324">
        <v>4528.82</v>
      </c>
    </row>
    <row r="325" spans="1:10" hidden="1" x14ac:dyDescent="0.35">
      <c r="A325" t="str">
        <f t="shared" si="5"/>
        <v>Águas Formosas20161.1</v>
      </c>
      <c r="B325">
        <v>3100906</v>
      </c>
      <c r="C325" t="s">
        <v>9</v>
      </c>
      <c r="D325">
        <v>2016</v>
      </c>
      <c r="E325">
        <v>1</v>
      </c>
      <c r="F325">
        <v>24</v>
      </c>
      <c r="G325" t="s">
        <v>10</v>
      </c>
      <c r="H325" t="s">
        <v>11</v>
      </c>
      <c r="I325" s="1" t="s">
        <v>12</v>
      </c>
      <c r="J325">
        <v>0.25790000000000002</v>
      </c>
    </row>
    <row r="326" spans="1:10" hidden="1" x14ac:dyDescent="0.35">
      <c r="A326" t="str">
        <f t="shared" si="5"/>
        <v>Águas Formosas20161.2</v>
      </c>
      <c r="B326">
        <v>3100906</v>
      </c>
      <c r="C326" t="s">
        <v>9</v>
      </c>
      <c r="D326">
        <v>2016</v>
      </c>
      <c r="E326">
        <v>1</v>
      </c>
      <c r="F326">
        <v>67</v>
      </c>
      <c r="G326" t="s">
        <v>13</v>
      </c>
      <c r="H326" t="s">
        <v>11</v>
      </c>
      <c r="I326" s="1" t="s">
        <v>14</v>
      </c>
      <c r="J326">
        <v>0.67100000000000004</v>
      </c>
    </row>
    <row r="327" spans="1:10" hidden="1" x14ac:dyDescent="0.35">
      <c r="A327" t="str">
        <f t="shared" si="5"/>
        <v>Águas Formosas20161.3</v>
      </c>
      <c r="B327">
        <v>3100906</v>
      </c>
      <c r="C327" t="s">
        <v>9</v>
      </c>
      <c r="D327">
        <v>2016</v>
      </c>
      <c r="E327">
        <v>1</v>
      </c>
      <c r="F327">
        <v>68</v>
      </c>
      <c r="G327" t="s">
        <v>15</v>
      </c>
      <c r="H327" t="s">
        <v>11</v>
      </c>
      <c r="I327" s="1" t="s">
        <v>16</v>
      </c>
      <c r="J327">
        <v>0.32900000000000001</v>
      </c>
    </row>
    <row r="328" spans="1:10" hidden="1" x14ac:dyDescent="0.35">
      <c r="A328" t="str">
        <f t="shared" si="5"/>
        <v>Águas Formosas20162.1</v>
      </c>
      <c r="B328">
        <v>3100906</v>
      </c>
      <c r="C328" t="s">
        <v>9</v>
      </c>
      <c r="D328">
        <v>2016</v>
      </c>
      <c r="E328">
        <v>1</v>
      </c>
      <c r="F328">
        <v>28</v>
      </c>
      <c r="G328" t="s">
        <v>17</v>
      </c>
      <c r="H328" t="s">
        <v>18</v>
      </c>
      <c r="I328" s="1" t="s">
        <v>19</v>
      </c>
      <c r="J328">
        <v>0.10680000000000001</v>
      </c>
    </row>
    <row r="329" spans="1:10" hidden="1" x14ac:dyDescent="0.35">
      <c r="A329" t="str">
        <f t="shared" si="5"/>
        <v>Águas Formosas20162.2</v>
      </c>
      <c r="B329">
        <v>3100906</v>
      </c>
      <c r="C329" t="s">
        <v>9</v>
      </c>
      <c r="D329">
        <v>2016</v>
      </c>
      <c r="E329">
        <v>1</v>
      </c>
      <c r="F329">
        <v>29</v>
      </c>
      <c r="G329" t="s">
        <v>20</v>
      </c>
      <c r="H329" t="s">
        <v>18</v>
      </c>
      <c r="I329" s="1" t="s">
        <v>21</v>
      </c>
      <c r="J329">
        <v>0.60470000000000002</v>
      </c>
    </row>
    <row r="330" spans="1:10" hidden="1" x14ac:dyDescent="0.35">
      <c r="A330" t="str">
        <f t="shared" si="5"/>
        <v>Águas Formosas20162.4</v>
      </c>
      <c r="B330">
        <v>3100906</v>
      </c>
      <c r="C330" t="s">
        <v>9</v>
      </c>
      <c r="D330">
        <v>2016</v>
      </c>
      <c r="E330">
        <v>1</v>
      </c>
      <c r="F330">
        <v>31</v>
      </c>
      <c r="G330" t="s">
        <v>22</v>
      </c>
      <c r="H330" t="s">
        <v>18</v>
      </c>
      <c r="I330" s="1" t="s">
        <v>23</v>
      </c>
      <c r="J330">
        <v>0.30130000000000001</v>
      </c>
    </row>
    <row r="331" spans="1:10" hidden="1" x14ac:dyDescent="0.35">
      <c r="A331" t="str">
        <f t="shared" si="5"/>
        <v>Águas Formosas20162.5</v>
      </c>
      <c r="B331">
        <v>3100906</v>
      </c>
      <c r="C331" t="s">
        <v>9</v>
      </c>
      <c r="D331">
        <v>2016</v>
      </c>
      <c r="E331">
        <v>1</v>
      </c>
      <c r="F331">
        <v>32</v>
      </c>
      <c r="G331" t="s">
        <v>24</v>
      </c>
      <c r="H331" t="s">
        <v>18</v>
      </c>
      <c r="I331" s="1" t="s">
        <v>25</v>
      </c>
      <c r="J331">
        <v>0.38140000000000002</v>
      </c>
    </row>
    <row r="332" spans="1:10" hidden="1" x14ac:dyDescent="0.35">
      <c r="A332" t="str">
        <f t="shared" si="5"/>
        <v>Águas Formosas20162.8</v>
      </c>
      <c r="B332">
        <v>3100906</v>
      </c>
      <c r="C332" t="s">
        <v>9</v>
      </c>
      <c r="D332">
        <v>2016</v>
      </c>
      <c r="E332">
        <v>1</v>
      </c>
      <c r="F332">
        <v>35</v>
      </c>
      <c r="G332" t="s">
        <v>26</v>
      </c>
      <c r="H332" t="s">
        <v>18</v>
      </c>
      <c r="I332" s="1" t="s">
        <v>27</v>
      </c>
      <c r="J332">
        <v>0.2475</v>
      </c>
    </row>
    <row r="333" spans="1:10" hidden="1" x14ac:dyDescent="0.35">
      <c r="A333" t="str">
        <f t="shared" si="5"/>
        <v>Águas Formosas20164.1</v>
      </c>
      <c r="B333">
        <v>3100906</v>
      </c>
      <c r="C333" t="s">
        <v>9</v>
      </c>
      <c r="D333">
        <v>2016</v>
      </c>
      <c r="E333">
        <v>1</v>
      </c>
      <c r="F333">
        <v>44</v>
      </c>
      <c r="G333" t="s">
        <v>28</v>
      </c>
      <c r="H333" t="s">
        <v>29</v>
      </c>
      <c r="I333" s="1" t="s">
        <v>30</v>
      </c>
      <c r="J333">
        <v>3649.61</v>
      </c>
    </row>
    <row r="334" spans="1:10" hidden="1" x14ac:dyDescent="0.35">
      <c r="A334" t="str">
        <f t="shared" si="5"/>
        <v>Águas Formosas20164.10</v>
      </c>
      <c r="B334">
        <v>3100906</v>
      </c>
      <c r="C334" t="s">
        <v>9</v>
      </c>
      <c r="D334">
        <v>2016</v>
      </c>
      <c r="E334">
        <v>1</v>
      </c>
      <c r="F334">
        <v>58</v>
      </c>
      <c r="G334" t="s">
        <v>31</v>
      </c>
      <c r="H334" t="s">
        <v>29</v>
      </c>
      <c r="I334" s="1" t="s">
        <v>32</v>
      </c>
      <c r="J334">
        <v>2177.71</v>
      </c>
    </row>
    <row r="335" spans="1:10" hidden="1" x14ac:dyDescent="0.35">
      <c r="A335" t="str">
        <f t="shared" si="5"/>
        <v>Águas Formosas20164.11</v>
      </c>
      <c r="B335">
        <v>3100906</v>
      </c>
      <c r="C335" t="s">
        <v>9</v>
      </c>
      <c r="D335">
        <v>2016</v>
      </c>
      <c r="E335">
        <v>1</v>
      </c>
      <c r="F335">
        <v>59</v>
      </c>
      <c r="G335" t="s">
        <v>33</v>
      </c>
      <c r="H335" t="s">
        <v>29</v>
      </c>
      <c r="I335" s="1" t="s">
        <v>34</v>
      </c>
      <c r="J335">
        <v>2448.81</v>
      </c>
    </row>
    <row r="336" spans="1:10" hidden="1" x14ac:dyDescent="0.35">
      <c r="A336" t="str">
        <f t="shared" si="5"/>
        <v>Águas Formosas20164.2</v>
      </c>
      <c r="B336">
        <v>3100906</v>
      </c>
      <c r="C336" t="s">
        <v>9</v>
      </c>
      <c r="D336">
        <v>2016</v>
      </c>
      <c r="E336">
        <v>1</v>
      </c>
      <c r="F336">
        <v>45</v>
      </c>
      <c r="G336" t="s">
        <v>35</v>
      </c>
      <c r="H336" t="s">
        <v>29</v>
      </c>
      <c r="I336" s="1" t="s">
        <v>36</v>
      </c>
      <c r="J336">
        <v>8375.81</v>
      </c>
    </row>
    <row r="337" spans="1:10" hidden="1" x14ac:dyDescent="0.35">
      <c r="A337" t="str">
        <f t="shared" si="5"/>
        <v>Águas Formosas20164.8</v>
      </c>
      <c r="B337">
        <v>3100906</v>
      </c>
      <c r="C337" t="s">
        <v>9</v>
      </c>
      <c r="D337">
        <v>2016</v>
      </c>
      <c r="E337">
        <v>1</v>
      </c>
      <c r="F337">
        <v>56</v>
      </c>
      <c r="G337" t="s">
        <v>37</v>
      </c>
      <c r="H337" t="s">
        <v>29</v>
      </c>
      <c r="I337" s="1" t="s">
        <v>38</v>
      </c>
      <c r="J337">
        <v>5087.68</v>
      </c>
    </row>
    <row r="338" spans="1:10" hidden="1" x14ac:dyDescent="0.35">
      <c r="A338" t="str">
        <f t="shared" si="5"/>
        <v>Águas Formosas20164.9</v>
      </c>
      <c r="B338">
        <v>3100906</v>
      </c>
      <c r="C338" t="s">
        <v>9</v>
      </c>
      <c r="D338">
        <v>2016</v>
      </c>
      <c r="E338">
        <v>1</v>
      </c>
      <c r="F338">
        <v>57</v>
      </c>
      <c r="G338" t="s">
        <v>39</v>
      </c>
      <c r="H338" t="s">
        <v>29</v>
      </c>
      <c r="I338" s="1" t="s">
        <v>40</v>
      </c>
      <c r="J338">
        <v>5088.82</v>
      </c>
    </row>
    <row r="339" spans="1:10" hidden="1" x14ac:dyDescent="0.35">
      <c r="A339" t="str">
        <f t="shared" si="5"/>
        <v>Ataléia20161.1</v>
      </c>
      <c r="B339">
        <v>3104700</v>
      </c>
      <c r="C339" t="s">
        <v>41</v>
      </c>
      <c r="D339">
        <v>2016</v>
      </c>
      <c r="E339">
        <v>1</v>
      </c>
      <c r="F339">
        <v>24</v>
      </c>
      <c r="G339" t="s">
        <v>10</v>
      </c>
      <c r="H339" t="s">
        <v>11</v>
      </c>
      <c r="I339" s="1" t="s">
        <v>12</v>
      </c>
      <c r="J339">
        <v>0.28760000000000002</v>
      </c>
    </row>
    <row r="340" spans="1:10" hidden="1" x14ac:dyDescent="0.35">
      <c r="A340" t="str">
        <f t="shared" si="5"/>
        <v>Ataléia20161.2</v>
      </c>
      <c r="B340">
        <v>3104700</v>
      </c>
      <c r="C340" t="s">
        <v>41</v>
      </c>
      <c r="D340">
        <v>2016</v>
      </c>
      <c r="E340">
        <v>1</v>
      </c>
      <c r="F340">
        <v>67</v>
      </c>
      <c r="G340" t="s">
        <v>13</v>
      </c>
      <c r="H340" t="s">
        <v>11</v>
      </c>
      <c r="I340" s="1" t="s">
        <v>14</v>
      </c>
      <c r="J340">
        <v>1</v>
      </c>
    </row>
    <row r="341" spans="1:10" hidden="1" x14ac:dyDescent="0.35">
      <c r="A341" t="str">
        <f t="shared" si="5"/>
        <v>Ataléia20161.3</v>
      </c>
      <c r="B341">
        <v>3104700</v>
      </c>
      <c r="C341" t="s">
        <v>41</v>
      </c>
      <c r="D341">
        <v>2016</v>
      </c>
      <c r="E341">
        <v>1</v>
      </c>
      <c r="F341">
        <v>68</v>
      </c>
      <c r="G341" t="s">
        <v>15</v>
      </c>
      <c r="H341" t="s">
        <v>11</v>
      </c>
      <c r="I341" s="1" t="s">
        <v>16</v>
      </c>
    </row>
    <row r="342" spans="1:10" hidden="1" x14ac:dyDescent="0.35">
      <c r="A342" t="str">
        <f t="shared" si="5"/>
        <v>Ataléia20162.1</v>
      </c>
      <c r="B342">
        <v>3104700</v>
      </c>
      <c r="C342" t="s">
        <v>41</v>
      </c>
      <c r="D342">
        <v>2016</v>
      </c>
      <c r="E342">
        <v>1</v>
      </c>
      <c r="F342">
        <v>28</v>
      </c>
      <c r="G342" t="s">
        <v>17</v>
      </c>
      <c r="H342" t="s">
        <v>18</v>
      </c>
      <c r="I342" s="1" t="s">
        <v>19</v>
      </c>
      <c r="J342">
        <v>6.9699999999999998E-2</v>
      </c>
    </row>
    <row r="343" spans="1:10" hidden="1" x14ac:dyDescent="0.35">
      <c r="A343" t="str">
        <f t="shared" si="5"/>
        <v>Ataléia20162.2</v>
      </c>
      <c r="B343">
        <v>3104700</v>
      </c>
      <c r="C343" t="s">
        <v>41</v>
      </c>
      <c r="D343">
        <v>2016</v>
      </c>
      <c r="E343">
        <v>1</v>
      </c>
      <c r="F343">
        <v>29</v>
      </c>
      <c r="G343" t="s">
        <v>20</v>
      </c>
      <c r="H343" t="s">
        <v>18</v>
      </c>
      <c r="I343" s="1" t="s">
        <v>21</v>
      </c>
      <c r="J343">
        <v>0.77229999999999999</v>
      </c>
    </row>
    <row r="344" spans="1:10" hidden="1" x14ac:dyDescent="0.35">
      <c r="A344" t="str">
        <f t="shared" si="5"/>
        <v>Ataléia20162.4</v>
      </c>
      <c r="B344">
        <v>3104700</v>
      </c>
      <c r="C344" t="s">
        <v>41</v>
      </c>
      <c r="D344">
        <v>2016</v>
      </c>
      <c r="E344">
        <v>1</v>
      </c>
      <c r="F344">
        <v>31</v>
      </c>
      <c r="G344" t="s">
        <v>22</v>
      </c>
      <c r="H344" t="s">
        <v>18</v>
      </c>
      <c r="I344" s="1" t="s">
        <v>23</v>
      </c>
      <c r="J344">
        <v>0.21329999999999999</v>
      </c>
    </row>
    <row r="345" spans="1:10" hidden="1" x14ac:dyDescent="0.35">
      <c r="A345" t="str">
        <f t="shared" si="5"/>
        <v>Ataléia20162.5</v>
      </c>
      <c r="B345">
        <v>3104700</v>
      </c>
      <c r="C345" t="s">
        <v>41</v>
      </c>
      <c r="D345">
        <v>2016</v>
      </c>
      <c r="E345">
        <v>1</v>
      </c>
      <c r="F345">
        <v>32</v>
      </c>
      <c r="G345" t="s">
        <v>24</v>
      </c>
      <c r="H345" t="s">
        <v>18</v>
      </c>
      <c r="I345" s="1" t="s">
        <v>25</v>
      </c>
      <c r="J345">
        <v>0.68779999999999997</v>
      </c>
    </row>
    <row r="346" spans="1:10" hidden="1" x14ac:dyDescent="0.35">
      <c r="A346" t="str">
        <f t="shared" si="5"/>
        <v>Ataléia20162.8</v>
      </c>
      <c r="B346">
        <v>3104700</v>
      </c>
      <c r="C346" t="s">
        <v>41</v>
      </c>
      <c r="D346">
        <v>2016</v>
      </c>
      <c r="E346">
        <v>1</v>
      </c>
      <c r="F346">
        <v>35</v>
      </c>
      <c r="G346" t="s">
        <v>26</v>
      </c>
      <c r="H346" t="s">
        <v>18</v>
      </c>
      <c r="I346" s="1" t="s">
        <v>27</v>
      </c>
      <c r="J346">
        <v>0.317</v>
      </c>
    </row>
    <row r="347" spans="1:10" hidden="1" x14ac:dyDescent="0.35">
      <c r="A347" t="str">
        <f t="shared" si="5"/>
        <v>Ataléia20164.1</v>
      </c>
      <c r="B347">
        <v>3104700</v>
      </c>
      <c r="C347" t="s">
        <v>41</v>
      </c>
      <c r="D347">
        <v>2016</v>
      </c>
      <c r="E347">
        <v>1</v>
      </c>
      <c r="F347">
        <v>44</v>
      </c>
      <c r="G347" t="s">
        <v>28</v>
      </c>
      <c r="H347" t="s">
        <v>29</v>
      </c>
      <c r="I347" s="1" t="s">
        <v>30</v>
      </c>
      <c r="J347">
        <v>4538.1499999999996</v>
      </c>
    </row>
    <row r="348" spans="1:10" hidden="1" x14ac:dyDescent="0.35">
      <c r="A348" t="str">
        <f t="shared" si="5"/>
        <v>Ataléia20164.10</v>
      </c>
      <c r="B348">
        <v>3104700</v>
      </c>
      <c r="C348" t="s">
        <v>41</v>
      </c>
      <c r="D348">
        <v>2016</v>
      </c>
      <c r="E348">
        <v>1</v>
      </c>
      <c r="F348">
        <v>58</v>
      </c>
      <c r="G348" t="s">
        <v>31</v>
      </c>
      <c r="H348" t="s">
        <v>29</v>
      </c>
      <c r="I348" s="1" t="s">
        <v>32</v>
      </c>
      <c r="J348">
        <v>5225.2700000000004</v>
      </c>
    </row>
    <row r="349" spans="1:10" hidden="1" x14ac:dyDescent="0.35">
      <c r="A349" t="str">
        <f t="shared" si="5"/>
        <v>Ataléia20164.11</v>
      </c>
      <c r="B349">
        <v>3104700</v>
      </c>
      <c r="C349" t="s">
        <v>41</v>
      </c>
      <c r="D349">
        <v>2016</v>
      </c>
      <c r="E349">
        <v>1</v>
      </c>
      <c r="F349">
        <v>59</v>
      </c>
      <c r="G349" t="s">
        <v>33</v>
      </c>
      <c r="H349" t="s">
        <v>29</v>
      </c>
      <c r="I349" s="1" t="s">
        <v>34</v>
      </c>
      <c r="J349">
        <v>1839.72</v>
      </c>
    </row>
    <row r="350" spans="1:10" hidden="1" x14ac:dyDescent="0.35">
      <c r="A350" t="str">
        <f t="shared" si="5"/>
        <v>Ataléia20164.2</v>
      </c>
      <c r="B350">
        <v>3104700</v>
      </c>
      <c r="C350" t="s">
        <v>41</v>
      </c>
      <c r="D350">
        <v>2016</v>
      </c>
      <c r="E350">
        <v>1</v>
      </c>
      <c r="F350">
        <v>45</v>
      </c>
      <c r="G350" t="s">
        <v>35</v>
      </c>
      <c r="H350" t="s">
        <v>29</v>
      </c>
      <c r="I350" s="1" t="s">
        <v>36</v>
      </c>
      <c r="J350">
        <v>10166.299999999999</v>
      </c>
    </row>
    <row r="351" spans="1:10" hidden="1" x14ac:dyDescent="0.35">
      <c r="A351" t="str">
        <f t="shared" si="5"/>
        <v>Ataléia20164.8</v>
      </c>
      <c r="B351">
        <v>3104700</v>
      </c>
      <c r="C351" t="s">
        <v>41</v>
      </c>
      <c r="D351">
        <v>2016</v>
      </c>
      <c r="E351">
        <v>1</v>
      </c>
      <c r="F351">
        <v>56</v>
      </c>
      <c r="G351" t="s">
        <v>37</v>
      </c>
      <c r="H351" t="s">
        <v>29</v>
      </c>
      <c r="I351" s="1" t="s">
        <v>38</v>
      </c>
      <c r="J351">
        <v>7450.74</v>
      </c>
    </row>
    <row r="352" spans="1:10" hidden="1" x14ac:dyDescent="0.35">
      <c r="A352" t="str">
        <f t="shared" si="5"/>
        <v>Ataléia20164.9</v>
      </c>
      <c r="B352">
        <v>3104700</v>
      </c>
      <c r="C352" t="s">
        <v>41</v>
      </c>
      <c r="D352">
        <v>2016</v>
      </c>
      <c r="E352">
        <v>1</v>
      </c>
      <c r="F352">
        <v>57</v>
      </c>
      <c r="G352" t="s">
        <v>39</v>
      </c>
      <c r="H352" t="s">
        <v>29</v>
      </c>
      <c r="I352" s="1" t="s">
        <v>40</v>
      </c>
      <c r="J352">
        <v>7450.74</v>
      </c>
    </row>
    <row r="353" spans="1:10" hidden="1" x14ac:dyDescent="0.35">
      <c r="A353" t="str">
        <f t="shared" si="5"/>
        <v>Bertópolis20161.1</v>
      </c>
      <c r="B353">
        <v>3106606</v>
      </c>
      <c r="C353" t="s">
        <v>42</v>
      </c>
      <c r="D353">
        <v>2016</v>
      </c>
      <c r="E353">
        <v>1</v>
      </c>
      <c r="F353">
        <v>24</v>
      </c>
      <c r="G353" t="s">
        <v>10</v>
      </c>
      <c r="H353" t="s">
        <v>11</v>
      </c>
      <c r="I353" s="1" t="s">
        <v>12</v>
      </c>
      <c r="J353">
        <v>0.25559999999999999</v>
      </c>
    </row>
    <row r="354" spans="1:10" hidden="1" x14ac:dyDescent="0.35">
      <c r="A354" t="str">
        <f t="shared" si="5"/>
        <v>Bertópolis20161.2</v>
      </c>
      <c r="B354">
        <v>3106606</v>
      </c>
      <c r="C354" t="s">
        <v>42</v>
      </c>
      <c r="D354">
        <v>2016</v>
      </c>
      <c r="E354">
        <v>1</v>
      </c>
      <c r="F354">
        <v>67</v>
      </c>
      <c r="G354" t="s">
        <v>13</v>
      </c>
      <c r="H354" t="s">
        <v>11</v>
      </c>
      <c r="I354" s="1" t="s">
        <v>14</v>
      </c>
      <c r="J354">
        <v>0.93859999999999999</v>
      </c>
    </row>
    <row r="355" spans="1:10" hidden="1" x14ac:dyDescent="0.35">
      <c r="A355" t="str">
        <f t="shared" si="5"/>
        <v>Bertópolis20161.3</v>
      </c>
      <c r="B355">
        <v>3106606</v>
      </c>
      <c r="C355" t="s">
        <v>42</v>
      </c>
      <c r="D355">
        <v>2016</v>
      </c>
      <c r="E355">
        <v>1</v>
      </c>
      <c r="F355">
        <v>68</v>
      </c>
      <c r="G355" t="s">
        <v>15</v>
      </c>
      <c r="H355" t="s">
        <v>11</v>
      </c>
      <c r="I355" s="1" t="s">
        <v>16</v>
      </c>
      <c r="J355">
        <v>6.1400000000000003E-2</v>
      </c>
    </row>
    <row r="356" spans="1:10" hidden="1" x14ac:dyDescent="0.35">
      <c r="A356" t="str">
        <f t="shared" si="5"/>
        <v>Bertópolis20162.1</v>
      </c>
      <c r="B356">
        <v>3106606</v>
      </c>
      <c r="C356" t="s">
        <v>42</v>
      </c>
      <c r="D356">
        <v>2016</v>
      </c>
      <c r="E356">
        <v>1</v>
      </c>
      <c r="F356">
        <v>28</v>
      </c>
      <c r="G356" t="s">
        <v>17</v>
      </c>
      <c r="H356" t="s">
        <v>18</v>
      </c>
      <c r="I356" s="1" t="s">
        <v>19</v>
      </c>
    </row>
    <row r="357" spans="1:10" hidden="1" x14ac:dyDescent="0.35">
      <c r="A357" t="str">
        <f t="shared" si="5"/>
        <v>Bertópolis20162.2</v>
      </c>
      <c r="B357">
        <v>3106606</v>
      </c>
      <c r="C357" t="s">
        <v>42</v>
      </c>
      <c r="D357">
        <v>2016</v>
      </c>
      <c r="E357">
        <v>1</v>
      </c>
      <c r="F357">
        <v>29</v>
      </c>
      <c r="G357" t="s">
        <v>20</v>
      </c>
      <c r="H357" t="s">
        <v>18</v>
      </c>
      <c r="I357" s="1" t="s">
        <v>21</v>
      </c>
      <c r="J357">
        <v>0.99990000000000001</v>
      </c>
    </row>
    <row r="358" spans="1:10" hidden="1" x14ac:dyDescent="0.35">
      <c r="A358" t="str">
        <f t="shared" si="5"/>
        <v>Bertópolis20162.4</v>
      </c>
      <c r="B358">
        <v>3106606</v>
      </c>
      <c r="C358" t="s">
        <v>42</v>
      </c>
      <c r="D358">
        <v>2016</v>
      </c>
      <c r="E358">
        <v>1</v>
      </c>
      <c r="F358">
        <v>31</v>
      </c>
      <c r="G358" t="s">
        <v>22</v>
      </c>
      <c r="H358" t="s">
        <v>18</v>
      </c>
      <c r="I358" s="1" t="s">
        <v>23</v>
      </c>
      <c r="J358">
        <v>0.1232</v>
      </c>
    </row>
    <row r="359" spans="1:10" hidden="1" x14ac:dyDescent="0.35">
      <c r="A359" t="str">
        <f t="shared" si="5"/>
        <v>Bertópolis20162.5</v>
      </c>
      <c r="B359">
        <v>3106606</v>
      </c>
      <c r="C359" t="s">
        <v>42</v>
      </c>
      <c r="D359">
        <v>2016</v>
      </c>
      <c r="E359">
        <v>1</v>
      </c>
      <c r="F359">
        <v>32</v>
      </c>
      <c r="G359" t="s">
        <v>24</v>
      </c>
      <c r="H359" t="s">
        <v>18</v>
      </c>
      <c r="I359" s="1" t="s">
        <v>25</v>
      </c>
      <c r="J359">
        <v>0.62129999999999996</v>
      </c>
    </row>
    <row r="360" spans="1:10" hidden="1" x14ac:dyDescent="0.35">
      <c r="A360" t="str">
        <f t="shared" si="5"/>
        <v>Bertópolis20162.8</v>
      </c>
      <c r="B360">
        <v>3106606</v>
      </c>
      <c r="C360" t="s">
        <v>42</v>
      </c>
      <c r="D360">
        <v>2016</v>
      </c>
      <c r="E360">
        <v>1</v>
      </c>
      <c r="F360">
        <v>35</v>
      </c>
      <c r="G360" t="s">
        <v>26</v>
      </c>
      <c r="H360" t="s">
        <v>18</v>
      </c>
      <c r="I360" s="1" t="s">
        <v>27</v>
      </c>
      <c r="J360">
        <v>0.14460000000000001</v>
      </c>
    </row>
    <row r="361" spans="1:10" hidden="1" x14ac:dyDescent="0.35">
      <c r="A361" t="str">
        <f t="shared" si="5"/>
        <v>Bertópolis20164.1</v>
      </c>
      <c r="B361">
        <v>3106606</v>
      </c>
      <c r="C361" t="s">
        <v>42</v>
      </c>
      <c r="D361">
        <v>2016</v>
      </c>
      <c r="E361">
        <v>1</v>
      </c>
      <c r="F361">
        <v>44</v>
      </c>
      <c r="G361" t="s">
        <v>28</v>
      </c>
      <c r="H361" t="s">
        <v>29</v>
      </c>
      <c r="I361" s="1" t="s">
        <v>30</v>
      </c>
      <c r="J361">
        <v>3538.33</v>
      </c>
    </row>
    <row r="362" spans="1:10" hidden="1" x14ac:dyDescent="0.35">
      <c r="A362" t="str">
        <f t="shared" si="5"/>
        <v>Bertópolis20164.10</v>
      </c>
      <c r="B362">
        <v>3106606</v>
      </c>
      <c r="C362" t="s">
        <v>42</v>
      </c>
      <c r="D362">
        <v>2016</v>
      </c>
      <c r="E362">
        <v>1</v>
      </c>
      <c r="F362">
        <v>58</v>
      </c>
      <c r="G362" t="s">
        <v>31</v>
      </c>
      <c r="H362" t="s">
        <v>29</v>
      </c>
      <c r="I362" s="1" t="s">
        <v>32</v>
      </c>
      <c r="J362">
        <v>2880.9</v>
      </c>
    </row>
    <row r="363" spans="1:10" hidden="1" x14ac:dyDescent="0.35">
      <c r="A363" t="str">
        <f t="shared" si="5"/>
        <v>Bertópolis20164.11</v>
      </c>
      <c r="B363">
        <v>3106606</v>
      </c>
      <c r="C363" t="s">
        <v>42</v>
      </c>
      <c r="D363">
        <v>2016</v>
      </c>
      <c r="E363">
        <v>1</v>
      </c>
      <c r="F363">
        <v>59</v>
      </c>
      <c r="G363" t="s">
        <v>33</v>
      </c>
      <c r="H363" t="s">
        <v>29</v>
      </c>
      <c r="I363" s="1" t="s">
        <v>34</v>
      </c>
      <c r="J363">
        <v>486.91</v>
      </c>
    </row>
    <row r="364" spans="1:10" hidden="1" x14ac:dyDescent="0.35">
      <c r="A364" t="str">
        <f t="shared" si="5"/>
        <v>Bertópolis20164.2</v>
      </c>
      <c r="B364">
        <v>3106606</v>
      </c>
      <c r="C364" t="s">
        <v>42</v>
      </c>
      <c r="D364">
        <v>2016</v>
      </c>
      <c r="E364">
        <v>1</v>
      </c>
      <c r="F364">
        <v>45</v>
      </c>
      <c r="G364" t="s">
        <v>35</v>
      </c>
      <c r="H364" t="s">
        <v>29</v>
      </c>
      <c r="I364" s="1" t="s">
        <v>36</v>
      </c>
      <c r="J364">
        <v>6828.01</v>
      </c>
    </row>
    <row r="365" spans="1:10" hidden="1" x14ac:dyDescent="0.35">
      <c r="A365" t="str">
        <f t="shared" si="5"/>
        <v>Bertópolis20164.8</v>
      </c>
      <c r="B365">
        <v>3106606</v>
      </c>
      <c r="C365" t="s">
        <v>42</v>
      </c>
      <c r="D365">
        <v>2016</v>
      </c>
      <c r="E365">
        <v>1</v>
      </c>
      <c r="F365">
        <v>56</v>
      </c>
      <c r="G365" t="s">
        <v>37</v>
      </c>
      <c r="H365" t="s">
        <v>29</v>
      </c>
      <c r="I365" s="1" t="s">
        <v>38</v>
      </c>
      <c r="J365">
        <v>5965.47</v>
      </c>
    </row>
    <row r="366" spans="1:10" hidden="1" x14ac:dyDescent="0.35">
      <c r="A366" t="str">
        <f t="shared" si="5"/>
        <v>Bertópolis20164.9</v>
      </c>
      <c r="B366">
        <v>3106606</v>
      </c>
      <c r="C366" t="s">
        <v>42</v>
      </c>
      <c r="D366">
        <v>2016</v>
      </c>
      <c r="E366">
        <v>1</v>
      </c>
      <c r="F366">
        <v>57</v>
      </c>
      <c r="G366" t="s">
        <v>39</v>
      </c>
      <c r="H366" t="s">
        <v>29</v>
      </c>
      <c r="I366" s="1" t="s">
        <v>40</v>
      </c>
      <c r="J366">
        <v>5965.47</v>
      </c>
    </row>
    <row r="367" spans="1:10" hidden="1" x14ac:dyDescent="0.35">
      <c r="A367" t="str">
        <f t="shared" si="5"/>
        <v>Carlos Chagas20161.1</v>
      </c>
      <c r="B367">
        <v>3113701</v>
      </c>
      <c r="C367" t="s">
        <v>43</v>
      </c>
      <c r="D367">
        <v>2016</v>
      </c>
      <c r="E367">
        <v>1</v>
      </c>
      <c r="F367">
        <v>24</v>
      </c>
      <c r="G367" t="s">
        <v>10</v>
      </c>
      <c r="H367" t="s">
        <v>11</v>
      </c>
      <c r="I367" s="1" t="s">
        <v>12</v>
      </c>
      <c r="J367">
        <v>0.30380000000000001</v>
      </c>
    </row>
    <row r="368" spans="1:10" hidden="1" x14ac:dyDescent="0.35">
      <c r="A368" t="str">
        <f t="shared" si="5"/>
        <v>Carlos Chagas20161.2</v>
      </c>
      <c r="B368">
        <v>3113701</v>
      </c>
      <c r="C368" t="s">
        <v>43</v>
      </c>
      <c r="D368">
        <v>2016</v>
      </c>
      <c r="E368">
        <v>1</v>
      </c>
      <c r="F368">
        <v>67</v>
      </c>
      <c r="G368" t="s">
        <v>13</v>
      </c>
      <c r="H368" t="s">
        <v>11</v>
      </c>
      <c r="I368" s="1" t="s">
        <v>14</v>
      </c>
      <c r="J368">
        <v>0.94420000000000004</v>
      </c>
    </row>
    <row r="369" spans="1:10" hidden="1" x14ac:dyDescent="0.35">
      <c r="A369" t="str">
        <f t="shared" si="5"/>
        <v>Carlos Chagas20161.3</v>
      </c>
      <c r="B369">
        <v>3113701</v>
      </c>
      <c r="C369" t="s">
        <v>43</v>
      </c>
      <c r="D369">
        <v>2016</v>
      </c>
      <c r="E369">
        <v>1</v>
      </c>
      <c r="F369">
        <v>68</v>
      </c>
      <c r="G369" t="s">
        <v>15</v>
      </c>
      <c r="H369" t="s">
        <v>11</v>
      </c>
      <c r="I369" s="1" t="s">
        <v>16</v>
      </c>
      <c r="J369">
        <v>3.4500000000000003E-2</v>
      </c>
    </row>
    <row r="370" spans="1:10" hidden="1" x14ac:dyDescent="0.35">
      <c r="A370" t="str">
        <f t="shared" si="5"/>
        <v>Carlos Chagas20162.1</v>
      </c>
      <c r="B370">
        <v>3113701</v>
      </c>
      <c r="C370" t="s">
        <v>43</v>
      </c>
      <c r="D370">
        <v>2016</v>
      </c>
      <c r="E370">
        <v>1</v>
      </c>
      <c r="F370">
        <v>28</v>
      </c>
      <c r="G370" t="s">
        <v>17</v>
      </c>
      <c r="H370" t="s">
        <v>18</v>
      </c>
      <c r="I370" s="1" t="s">
        <v>19</v>
      </c>
      <c r="J370">
        <v>5.62E-2</v>
      </c>
    </row>
    <row r="371" spans="1:10" hidden="1" x14ac:dyDescent="0.35">
      <c r="A371" t="str">
        <f t="shared" si="5"/>
        <v>Carlos Chagas20162.2</v>
      </c>
      <c r="B371">
        <v>3113701</v>
      </c>
      <c r="C371" t="s">
        <v>43</v>
      </c>
      <c r="D371">
        <v>2016</v>
      </c>
      <c r="E371">
        <v>1</v>
      </c>
      <c r="F371">
        <v>29</v>
      </c>
      <c r="G371" t="s">
        <v>20</v>
      </c>
      <c r="H371" t="s">
        <v>18</v>
      </c>
      <c r="I371" s="1" t="s">
        <v>21</v>
      </c>
      <c r="J371">
        <v>0.61890000000000001</v>
      </c>
    </row>
    <row r="372" spans="1:10" hidden="1" x14ac:dyDescent="0.35">
      <c r="A372" t="str">
        <f t="shared" si="5"/>
        <v>Carlos Chagas20162.4</v>
      </c>
      <c r="B372">
        <v>3113701</v>
      </c>
      <c r="C372" t="s">
        <v>43</v>
      </c>
      <c r="D372">
        <v>2016</v>
      </c>
      <c r="E372">
        <v>1</v>
      </c>
      <c r="F372">
        <v>31</v>
      </c>
      <c r="G372" t="s">
        <v>22</v>
      </c>
      <c r="H372" t="s">
        <v>18</v>
      </c>
      <c r="I372" s="1" t="s">
        <v>23</v>
      </c>
      <c r="J372">
        <v>0.2253</v>
      </c>
    </row>
    <row r="373" spans="1:10" hidden="1" x14ac:dyDescent="0.35">
      <c r="A373" t="str">
        <f t="shared" si="5"/>
        <v>Carlos Chagas20162.5</v>
      </c>
      <c r="B373">
        <v>3113701</v>
      </c>
      <c r="C373" t="s">
        <v>43</v>
      </c>
      <c r="D373">
        <v>2016</v>
      </c>
      <c r="E373">
        <v>1</v>
      </c>
      <c r="F373">
        <v>32</v>
      </c>
      <c r="G373" t="s">
        <v>24</v>
      </c>
      <c r="H373" t="s">
        <v>18</v>
      </c>
      <c r="I373" s="1" t="s">
        <v>25</v>
      </c>
      <c r="J373">
        <v>0.64270000000000005</v>
      </c>
    </row>
    <row r="374" spans="1:10" hidden="1" x14ac:dyDescent="0.35">
      <c r="A374" t="str">
        <f t="shared" si="5"/>
        <v>Carlos Chagas20162.8</v>
      </c>
      <c r="B374">
        <v>3113701</v>
      </c>
      <c r="C374" t="s">
        <v>43</v>
      </c>
      <c r="D374">
        <v>2016</v>
      </c>
      <c r="E374">
        <v>1</v>
      </c>
      <c r="F374">
        <v>35</v>
      </c>
      <c r="G374" t="s">
        <v>26</v>
      </c>
      <c r="H374" t="s">
        <v>18</v>
      </c>
      <c r="I374" s="1" t="s">
        <v>27</v>
      </c>
      <c r="J374">
        <v>0.28870000000000001</v>
      </c>
    </row>
    <row r="375" spans="1:10" hidden="1" x14ac:dyDescent="0.35">
      <c r="A375" t="str">
        <f t="shared" si="5"/>
        <v>Carlos Chagas20164.1</v>
      </c>
      <c r="B375">
        <v>3113701</v>
      </c>
      <c r="C375" t="s">
        <v>43</v>
      </c>
      <c r="D375">
        <v>2016</v>
      </c>
      <c r="E375">
        <v>1</v>
      </c>
      <c r="F375">
        <v>44</v>
      </c>
      <c r="G375" t="s">
        <v>28</v>
      </c>
      <c r="H375" t="s">
        <v>29</v>
      </c>
      <c r="I375" s="1" t="s">
        <v>30</v>
      </c>
      <c r="J375">
        <v>6897.6</v>
      </c>
    </row>
    <row r="376" spans="1:10" hidden="1" x14ac:dyDescent="0.35">
      <c r="A376" t="str">
        <f t="shared" si="5"/>
        <v>Carlos Chagas20164.10</v>
      </c>
      <c r="B376">
        <v>3113701</v>
      </c>
      <c r="C376" t="s">
        <v>43</v>
      </c>
      <c r="D376">
        <v>2016</v>
      </c>
      <c r="E376">
        <v>1</v>
      </c>
      <c r="F376">
        <v>58</v>
      </c>
      <c r="G376" t="s">
        <v>31</v>
      </c>
      <c r="H376" t="s">
        <v>29</v>
      </c>
      <c r="I376" s="1" t="s">
        <v>32</v>
      </c>
      <c r="J376">
        <v>3511.61</v>
      </c>
    </row>
    <row r="377" spans="1:10" hidden="1" x14ac:dyDescent="0.35">
      <c r="A377" t="str">
        <f t="shared" si="5"/>
        <v>Carlos Chagas20164.11</v>
      </c>
      <c r="B377">
        <v>3113701</v>
      </c>
      <c r="C377" t="s">
        <v>43</v>
      </c>
      <c r="D377">
        <v>2016</v>
      </c>
      <c r="E377">
        <v>1</v>
      </c>
      <c r="F377">
        <v>59</v>
      </c>
      <c r="G377" t="s">
        <v>33</v>
      </c>
      <c r="H377" t="s">
        <v>29</v>
      </c>
      <c r="I377" s="1" t="s">
        <v>34</v>
      </c>
      <c r="J377">
        <v>239.38</v>
      </c>
    </row>
    <row r="378" spans="1:10" hidden="1" x14ac:dyDescent="0.35">
      <c r="A378" t="str">
        <f t="shared" si="5"/>
        <v>Carlos Chagas20164.2</v>
      </c>
      <c r="B378">
        <v>3113701</v>
      </c>
      <c r="C378" t="s">
        <v>43</v>
      </c>
      <c r="D378">
        <v>2016</v>
      </c>
      <c r="E378">
        <v>1</v>
      </c>
      <c r="F378">
        <v>45</v>
      </c>
      <c r="G378" t="s">
        <v>35</v>
      </c>
      <c r="H378" t="s">
        <v>29</v>
      </c>
      <c r="I378" s="1" t="s">
        <v>36</v>
      </c>
      <c r="J378">
        <v>5191.5200000000004</v>
      </c>
    </row>
    <row r="379" spans="1:10" hidden="1" x14ac:dyDescent="0.35">
      <c r="A379" t="str">
        <f t="shared" si="5"/>
        <v>Carlos Chagas20164.8</v>
      </c>
      <c r="B379">
        <v>3113701</v>
      </c>
      <c r="C379" t="s">
        <v>43</v>
      </c>
      <c r="D379">
        <v>2016</v>
      </c>
      <c r="E379">
        <v>1</v>
      </c>
      <c r="F379">
        <v>56</v>
      </c>
      <c r="G379" t="s">
        <v>37</v>
      </c>
      <c r="H379" t="s">
        <v>29</v>
      </c>
      <c r="I379" s="1" t="s">
        <v>38</v>
      </c>
      <c r="J379">
        <v>5559.47</v>
      </c>
    </row>
    <row r="380" spans="1:10" hidden="1" x14ac:dyDescent="0.35">
      <c r="A380" t="str">
        <f t="shared" si="5"/>
        <v>Carlos Chagas20164.9</v>
      </c>
      <c r="B380">
        <v>3113701</v>
      </c>
      <c r="C380" t="s">
        <v>43</v>
      </c>
      <c r="D380">
        <v>2016</v>
      </c>
      <c r="E380">
        <v>1</v>
      </c>
      <c r="F380">
        <v>57</v>
      </c>
      <c r="G380" t="s">
        <v>39</v>
      </c>
      <c r="H380" t="s">
        <v>29</v>
      </c>
      <c r="I380" s="1" t="s">
        <v>40</v>
      </c>
      <c r="J380">
        <v>5559.47</v>
      </c>
    </row>
    <row r="381" spans="1:10" hidden="1" x14ac:dyDescent="0.35">
      <c r="A381" t="str">
        <f t="shared" si="5"/>
        <v>Catuji20161.1</v>
      </c>
      <c r="B381">
        <v>3115458</v>
      </c>
      <c r="C381" t="s">
        <v>44</v>
      </c>
      <c r="D381">
        <v>2016</v>
      </c>
      <c r="E381">
        <v>1</v>
      </c>
      <c r="F381">
        <v>24</v>
      </c>
      <c r="G381" t="s">
        <v>10</v>
      </c>
      <c r="H381" t="s">
        <v>11</v>
      </c>
      <c r="I381" s="1" t="s">
        <v>12</v>
      </c>
      <c r="J381">
        <v>0.29480000000000001</v>
      </c>
    </row>
    <row r="382" spans="1:10" hidden="1" x14ac:dyDescent="0.35">
      <c r="A382" t="str">
        <f t="shared" si="5"/>
        <v>Catuji20161.2</v>
      </c>
      <c r="B382">
        <v>3115458</v>
      </c>
      <c r="C382" t="s">
        <v>44</v>
      </c>
      <c r="D382">
        <v>2016</v>
      </c>
      <c r="E382">
        <v>1</v>
      </c>
      <c r="F382">
        <v>67</v>
      </c>
      <c r="G382" t="s">
        <v>13</v>
      </c>
      <c r="H382" t="s">
        <v>11</v>
      </c>
      <c r="I382" s="1" t="s">
        <v>14</v>
      </c>
      <c r="J382">
        <v>0.64349999999999996</v>
      </c>
    </row>
    <row r="383" spans="1:10" hidden="1" x14ac:dyDescent="0.35">
      <c r="A383" t="str">
        <f t="shared" si="5"/>
        <v>Catuji20161.3</v>
      </c>
      <c r="B383">
        <v>3115458</v>
      </c>
      <c r="C383" t="s">
        <v>44</v>
      </c>
      <c r="D383">
        <v>2016</v>
      </c>
      <c r="E383">
        <v>1</v>
      </c>
      <c r="F383">
        <v>68</v>
      </c>
      <c r="G383" t="s">
        <v>15</v>
      </c>
      <c r="H383" t="s">
        <v>11</v>
      </c>
      <c r="I383" s="1" t="s">
        <v>16</v>
      </c>
      <c r="J383">
        <v>0.35649999999999998</v>
      </c>
    </row>
    <row r="384" spans="1:10" hidden="1" x14ac:dyDescent="0.35">
      <c r="A384" t="str">
        <f t="shared" si="5"/>
        <v>Catuji20162.1</v>
      </c>
      <c r="B384">
        <v>3115458</v>
      </c>
      <c r="C384" t="s">
        <v>44</v>
      </c>
      <c r="D384">
        <v>2016</v>
      </c>
      <c r="E384">
        <v>1</v>
      </c>
      <c r="F384">
        <v>28</v>
      </c>
      <c r="G384" t="s">
        <v>17</v>
      </c>
      <c r="H384" t="s">
        <v>18</v>
      </c>
      <c r="I384" s="1" t="s">
        <v>19</v>
      </c>
      <c r="J384">
        <v>5.6599999999999998E-2</v>
      </c>
    </row>
    <row r="385" spans="1:10" hidden="1" x14ac:dyDescent="0.35">
      <c r="A385" t="str">
        <f t="shared" si="5"/>
        <v>Catuji20162.2</v>
      </c>
      <c r="B385">
        <v>3115458</v>
      </c>
      <c r="C385" t="s">
        <v>44</v>
      </c>
      <c r="D385">
        <v>2016</v>
      </c>
      <c r="E385">
        <v>1</v>
      </c>
      <c r="F385">
        <v>29</v>
      </c>
      <c r="G385" t="s">
        <v>20</v>
      </c>
      <c r="H385" t="s">
        <v>18</v>
      </c>
      <c r="I385" s="1" t="s">
        <v>21</v>
      </c>
      <c r="J385">
        <v>0.78669999999999995</v>
      </c>
    </row>
    <row r="386" spans="1:10" hidden="1" x14ac:dyDescent="0.35">
      <c r="A386" t="str">
        <f t="shared" si="5"/>
        <v>Catuji20162.4</v>
      </c>
      <c r="B386">
        <v>3115458</v>
      </c>
      <c r="C386" t="s">
        <v>44</v>
      </c>
      <c r="D386">
        <v>2016</v>
      </c>
      <c r="E386">
        <v>1</v>
      </c>
      <c r="F386">
        <v>31</v>
      </c>
      <c r="G386" t="s">
        <v>22</v>
      </c>
      <c r="H386" t="s">
        <v>18</v>
      </c>
      <c r="I386" s="1" t="s">
        <v>23</v>
      </c>
      <c r="J386">
        <v>8.7300000000000003E-2</v>
      </c>
    </row>
    <row r="387" spans="1:10" hidden="1" x14ac:dyDescent="0.35">
      <c r="A387" t="str">
        <f t="shared" si="5"/>
        <v>Catuji20162.5</v>
      </c>
      <c r="B387">
        <v>3115458</v>
      </c>
      <c r="C387" t="s">
        <v>44</v>
      </c>
      <c r="D387">
        <v>2016</v>
      </c>
      <c r="E387">
        <v>1</v>
      </c>
      <c r="F387">
        <v>32</v>
      </c>
      <c r="G387" t="s">
        <v>24</v>
      </c>
      <c r="H387" t="s">
        <v>18</v>
      </c>
      <c r="I387" s="1" t="s">
        <v>25</v>
      </c>
      <c r="J387">
        <v>0.52470000000000006</v>
      </c>
    </row>
    <row r="388" spans="1:10" hidden="1" x14ac:dyDescent="0.35">
      <c r="A388" t="str">
        <f t="shared" ref="A388:A451" si="6">C388&amp;D388&amp;G388</f>
        <v>Catuji20162.8</v>
      </c>
      <c r="B388">
        <v>3115458</v>
      </c>
      <c r="C388" t="s">
        <v>44</v>
      </c>
      <c r="D388">
        <v>2016</v>
      </c>
      <c r="E388">
        <v>1</v>
      </c>
      <c r="F388">
        <v>35</v>
      </c>
      <c r="G388" t="s">
        <v>26</v>
      </c>
      <c r="H388" t="s">
        <v>18</v>
      </c>
      <c r="I388" s="1" t="s">
        <v>27</v>
      </c>
      <c r="J388">
        <v>0.41749999999999998</v>
      </c>
    </row>
    <row r="389" spans="1:10" hidden="1" x14ac:dyDescent="0.35">
      <c r="A389" t="str">
        <f t="shared" si="6"/>
        <v>Catuji20164.1</v>
      </c>
      <c r="B389">
        <v>3115458</v>
      </c>
      <c r="C389" t="s">
        <v>44</v>
      </c>
      <c r="D389">
        <v>2016</v>
      </c>
      <c r="E389">
        <v>1</v>
      </c>
      <c r="F389">
        <v>44</v>
      </c>
      <c r="G389" t="s">
        <v>28</v>
      </c>
      <c r="H389" t="s">
        <v>29</v>
      </c>
      <c r="I389" s="1" t="s">
        <v>30</v>
      </c>
      <c r="J389">
        <v>2491.14</v>
      </c>
    </row>
    <row r="390" spans="1:10" hidden="1" x14ac:dyDescent="0.35">
      <c r="A390" t="str">
        <f t="shared" si="6"/>
        <v>Catuji20164.10</v>
      </c>
      <c r="B390">
        <v>3115458</v>
      </c>
      <c r="C390" t="s">
        <v>44</v>
      </c>
      <c r="D390">
        <v>2016</v>
      </c>
      <c r="E390">
        <v>1</v>
      </c>
      <c r="F390">
        <v>58</v>
      </c>
      <c r="G390" t="s">
        <v>31</v>
      </c>
      <c r="H390" t="s">
        <v>29</v>
      </c>
      <c r="I390" s="1" t="s">
        <v>32</v>
      </c>
      <c r="J390">
        <v>2249</v>
      </c>
    </row>
    <row r="391" spans="1:10" hidden="1" x14ac:dyDescent="0.35">
      <c r="A391" t="str">
        <f t="shared" si="6"/>
        <v>Catuji20164.11</v>
      </c>
      <c r="B391">
        <v>3115458</v>
      </c>
      <c r="C391" t="s">
        <v>44</v>
      </c>
      <c r="D391">
        <v>2016</v>
      </c>
      <c r="E391">
        <v>1</v>
      </c>
      <c r="F391">
        <v>59</v>
      </c>
      <c r="G391" t="s">
        <v>33</v>
      </c>
      <c r="H391" t="s">
        <v>29</v>
      </c>
      <c r="I391" s="1" t="s">
        <v>34</v>
      </c>
      <c r="J391">
        <v>1347.21</v>
      </c>
    </row>
    <row r="392" spans="1:10" hidden="1" x14ac:dyDescent="0.35">
      <c r="A392" t="str">
        <f t="shared" si="6"/>
        <v>Catuji20164.2</v>
      </c>
      <c r="B392">
        <v>3115458</v>
      </c>
      <c r="C392" t="s">
        <v>44</v>
      </c>
      <c r="D392">
        <v>2016</v>
      </c>
      <c r="E392">
        <v>1</v>
      </c>
      <c r="F392">
        <v>45</v>
      </c>
      <c r="G392" t="s">
        <v>35</v>
      </c>
      <c r="H392" t="s">
        <v>29</v>
      </c>
      <c r="I392" s="1" t="s">
        <v>36</v>
      </c>
      <c r="J392">
        <v>6491.11</v>
      </c>
    </row>
    <row r="393" spans="1:10" hidden="1" x14ac:dyDescent="0.35">
      <c r="A393" t="str">
        <f t="shared" si="6"/>
        <v>Catuji20164.8</v>
      </c>
      <c r="B393">
        <v>3115458</v>
      </c>
      <c r="C393" t="s">
        <v>44</v>
      </c>
      <c r="D393">
        <v>2016</v>
      </c>
      <c r="E393">
        <v>1</v>
      </c>
      <c r="F393">
        <v>56</v>
      </c>
      <c r="G393" t="s">
        <v>37</v>
      </c>
      <c r="H393" t="s">
        <v>29</v>
      </c>
      <c r="I393" s="1" t="s">
        <v>38</v>
      </c>
      <c r="J393">
        <v>5075.21</v>
      </c>
    </row>
    <row r="394" spans="1:10" hidden="1" x14ac:dyDescent="0.35">
      <c r="A394" t="str">
        <f t="shared" si="6"/>
        <v>Catuji20164.9</v>
      </c>
      <c r="B394">
        <v>3115458</v>
      </c>
      <c r="C394" t="s">
        <v>44</v>
      </c>
      <c r="D394">
        <v>2016</v>
      </c>
      <c r="E394">
        <v>1</v>
      </c>
      <c r="F394">
        <v>57</v>
      </c>
      <c r="G394" t="s">
        <v>39</v>
      </c>
      <c r="H394" t="s">
        <v>29</v>
      </c>
      <c r="I394" s="1" t="s">
        <v>40</v>
      </c>
      <c r="J394">
        <v>5075.21</v>
      </c>
    </row>
    <row r="395" spans="1:10" hidden="1" x14ac:dyDescent="0.35">
      <c r="A395" t="str">
        <f t="shared" si="6"/>
        <v>Crisólita20161.1</v>
      </c>
      <c r="B395">
        <v>3120151</v>
      </c>
      <c r="C395" t="s">
        <v>45</v>
      </c>
      <c r="D395">
        <v>2016</v>
      </c>
      <c r="E395">
        <v>1</v>
      </c>
      <c r="F395">
        <v>24</v>
      </c>
      <c r="G395" t="s">
        <v>10</v>
      </c>
      <c r="H395" t="s">
        <v>11</v>
      </c>
      <c r="I395" s="1" t="s">
        <v>12</v>
      </c>
      <c r="J395">
        <v>0.29930000000000001</v>
      </c>
    </row>
    <row r="396" spans="1:10" hidden="1" x14ac:dyDescent="0.35">
      <c r="A396" t="str">
        <f t="shared" si="6"/>
        <v>Crisólita20161.2</v>
      </c>
      <c r="B396">
        <v>3120151</v>
      </c>
      <c r="C396" t="s">
        <v>45</v>
      </c>
      <c r="D396">
        <v>2016</v>
      </c>
      <c r="E396">
        <v>1</v>
      </c>
      <c r="F396">
        <v>67</v>
      </c>
      <c r="G396" t="s">
        <v>13</v>
      </c>
      <c r="H396" t="s">
        <v>11</v>
      </c>
      <c r="I396" s="1" t="s">
        <v>14</v>
      </c>
      <c r="J396">
        <v>0.63019999999999998</v>
      </c>
    </row>
    <row r="397" spans="1:10" hidden="1" x14ac:dyDescent="0.35">
      <c r="A397" t="str">
        <f t="shared" si="6"/>
        <v>Crisólita20161.3</v>
      </c>
      <c r="B397">
        <v>3120151</v>
      </c>
      <c r="C397" t="s">
        <v>45</v>
      </c>
      <c r="D397">
        <v>2016</v>
      </c>
      <c r="E397">
        <v>1</v>
      </c>
      <c r="F397">
        <v>68</v>
      </c>
      <c r="G397" t="s">
        <v>15</v>
      </c>
      <c r="H397" t="s">
        <v>11</v>
      </c>
      <c r="I397" s="1" t="s">
        <v>16</v>
      </c>
      <c r="J397">
        <v>0.35010000000000002</v>
      </c>
    </row>
    <row r="398" spans="1:10" hidden="1" x14ac:dyDescent="0.35">
      <c r="A398" t="str">
        <f t="shared" si="6"/>
        <v>Crisólita20162.1</v>
      </c>
      <c r="B398">
        <v>3120151</v>
      </c>
      <c r="C398" t="s">
        <v>45</v>
      </c>
      <c r="D398">
        <v>2016</v>
      </c>
      <c r="E398">
        <v>1</v>
      </c>
      <c r="F398">
        <v>28</v>
      </c>
      <c r="G398" t="s">
        <v>17</v>
      </c>
      <c r="H398" t="s">
        <v>18</v>
      </c>
      <c r="I398" s="1" t="s">
        <v>19</v>
      </c>
      <c r="J398">
        <v>0.28789999999999999</v>
      </c>
    </row>
    <row r="399" spans="1:10" hidden="1" x14ac:dyDescent="0.35">
      <c r="A399" t="str">
        <f t="shared" si="6"/>
        <v>Crisólita20162.2</v>
      </c>
      <c r="B399">
        <v>3120151</v>
      </c>
      <c r="C399" t="s">
        <v>45</v>
      </c>
      <c r="D399">
        <v>2016</v>
      </c>
      <c r="E399">
        <v>1</v>
      </c>
      <c r="F399">
        <v>29</v>
      </c>
      <c r="G399" t="s">
        <v>20</v>
      </c>
      <c r="H399" t="s">
        <v>18</v>
      </c>
      <c r="I399" s="1" t="s">
        <v>21</v>
      </c>
      <c r="J399">
        <v>0.84289999999999998</v>
      </c>
    </row>
    <row r="400" spans="1:10" hidden="1" x14ac:dyDescent="0.35">
      <c r="A400" t="str">
        <f t="shared" si="6"/>
        <v>Crisólita20162.4</v>
      </c>
      <c r="B400">
        <v>3120151</v>
      </c>
      <c r="C400" t="s">
        <v>45</v>
      </c>
      <c r="D400">
        <v>2016</v>
      </c>
      <c r="E400">
        <v>1</v>
      </c>
      <c r="F400">
        <v>31</v>
      </c>
      <c r="G400" t="s">
        <v>22</v>
      </c>
      <c r="H400" t="s">
        <v>18</v>
      </c>
      <c r="I400" s="1" t="s">
        <v>23</v>
      </c>
      <c r="J400">
        <v>0.2109</v>
      </c>
    </row>
    <row r="401" spans="1:10" hidden="1" x14ac:dyDescent="0.35">
      <c r="A401" t="str">
        <f t="shared" si="6"/>
        <v>Crisólita20162.5</v>
      </c>
      <c r="B401">
        <v>3120151</v>
      </c>
      <c r="C401" t="s">
        <v>45</v>
      </c>
      <c r="D401">
        <v>2016</v>
      </c>
      <c r="E401">
        <v>1</v>
      </c>
      <c r="F401">
        <v>32</v>
      </c>
      <c r="G401" t="s">
        <v>24</v>
      </c>
      <c r="H401" t="s">
        <v>18</v>
      </c>
      <c r="I401" s="1" t="s">
        <v>25</v>
      </c>
      <c r="J401">
        <v>0.61309999999999998</v>
      </c>
    </row>
    <row r="402" spans="1:10" hidden="1" x14ac:dyDescent="0.35">
      <c r="A402" t="str">
        <f t="shared" si="6"/>
        <v>Crisólita20162.8</v>
      </c>
      <c r="B402">
        <v>3120151</v>
      </c>
      <c r="C402" t="s">
        <v>45</v>
      </c>
      <c r="D402">
        <v>2016</v>
      </c>
      <c r="E402">
        <v>1</v>
      </c>
      <c r="F402">
        <v>35</v>
      </c>
      <c r="G402" t="s">
        <v>26</v>
      </c>
      <c r="H402" t="s">
        <v>18</v>
      </c>
      <c r="I402" s="1" t="s">
        <v>27</v>
      </c>
      <c r="J402">
        <v>0.34839999999999999</v>
      </c>
    </row>
    <row r="403" spans="1:10" hidden="1" x14ac:dyDescent="0.35">
      <c r="A403" t="str">
        <f t="shared" si="6"/>
        <v>Crisólita20164.1</v>
      </c>
      <c r="B403">
        <v>3120151</v>
      </c>
      <c r="C403" t="s">
        <v>45</v>
      </c>
      <c r="D403">
        <v>2016</v>
      </c>
      <c r="E403">
        <v>1</v>
      </c>
      <c r="F403">
        <v>44</v>
      </c>
      <c r="G403" t="s">
        <v>28</v>
      </c>
      <c r="H403" t="s">
        <v>29</v>
      </c>
      <c r="I403" s="1" t="s">
        <v>30</v>
      </c>
      <c r="J403">
        <v>5514.47</v>
      </c>
    </row>
    <row r="404" spans="1:10" hidden="1" x14ac:dyDescent="0.35">
      <c r="A404" t="str">
        <f t="shared" si="6"/>
        <v>Crisólita20164.10</v>
      </c>
      <c r="B404">
        <v>3120151</v>
      </c>
      <c r="C404" t="s">
        <v>45</v>
      </c>
      <c r="D404">
        <v>2016</v>
      </c>
      <c r="E404">
        <v>1</v>
      </c>
      <c r="F404">
        <v>58</v>
      </c>
      <c r="G404" t="s">
        <v>31</v>
      </c>
      <c r="H404" t="s">
        <v>29</v>
      </c>
      <c r="I404" s="1" t="s">
        <v>32</v>
      </c>
      <c r="J404">
        <v>3080.46</v>
      </c>
    </row>
    <row r="405" spans="1:10" hidden="1" x14ac:dyDescent="0.35">
      <c r="A405" t="str">
        <f t="shared" si="6"/>
        <v>Crisólita20164.11</v>
      </c>
      <c r="B405">
        <v>3120151</v>
      </c>
      <c r="C405" t="s">
        <v>45</v>
      </c>
      <c r="D405">
        <v>2016</v>
      </c>
      <c r="E405">
        <v>1</v>
      </c>
      <c r="F405">
        <v>59</v>
      </c>
      <c r="G405" t="s">
        <v>33</v>
      </c>
      <c r="H405" t="s">
        <v>29</v>
      </c>
      <c r="I405" s="1" t="s">
        <v>34</v>
      </c>
      <c r="J405">
        <v>819.57</v>
      </c>
    </row>
    <row r="406" spans="1:10" hidden="1" x14ac:dyDescent="0.35">
      <c r="A406" t="str">
        <f t="shared" si="6"/>
        <v>Crisólita20164.2</v>
      </c>
      <c r="B406">
        <v>3120151</v>
      </c>
      <c r="C406" t="s">
        <v>45</v>
      </c>
      <c r="D406">
        <v>2016</v>
      </c>
      <c r="E406">
        <v>1</v>
      </c>
      <c r="F406">
        <v>45</v>
      </c>
      <c r="G406" t="s">
        <v>35</v>
      </c>
      <c r="H406" t="s">
        <v>29</v>
      </c>
      <c r="I406" s="1" t="s">
        <v>36</v>
      </c>
      <c r="J406">
        <v>5209.01</v>
      </c>
    </row>
    <row r="407" spans="1:10" hidden="1" x14ac:dyDescent="0.35">
      <c r="A407" t="str">
        <f t="shared" si="6"/>
        <v>Crisólita20164.8</v>
      </c>
      <c r="B407">
        <v>3120151</v>
      </c>
      <c r="C407" t="s">
        <v>45</v>
      </c>
      <c r="D407">
        <v>2016</v>
      </c>
      <c r="E407">
        <v>1</v>
      </c>
      <c r="F407">
        <v>56</v>
      </c>
      <c r="G407" t="s">
        <v>37</v>
      </c>
      <c r="H407" t="s">
        <v>29</v>
      </c>
      <c r="I407" s="1" t="s">
        <v>38</v>
      </c>
      <c r="J407">
        <v>5163.8599999999997</v>
      </c>
    </row>
    <row r="408" spans="1:10" hidden="1" x14ac:dyDescent="0.35">
      <c r="A408" t="str">
        <f t="shared" si="6"/>
        <v>Crisólita20164.9</v>
      </c>
      <c r="B408">
        <v>3120151</v>
      </c>
      <c r="C408" t="s">
        <v>45</v>
      </c>
      <c r="D408">
        <v>2016</v>
      </c>
      <c r="E408">
        <v>1</v>
      </c>
      <c r="F408">
        <v>57</v>
      </c>
      <c r="G408" t="s">
        <v>39</v>
      </c>
      <c r="H408" t="s">
        <v>29</v>
      </c>
      <c r="I408" s="1" t="s">
        <v>40</v>
      </c>
      <c r="J408">
        <v>5163.8599999999997</v>
      </c>
    </row>
    <row r="409" spans="1:10" hidden="1" x14ac:dyDescent="0.35">
      <c r="A409" t="str">
        <f t="shared" si="6"/>
        <v>Franciscópolis20161.1</v>
      </c>
      <c r="B409">
        <v>3126752</v>
      </c>
      <c r="C409" t="s">
        <v>46</v>
      </c>
      <c r="D409">
        <v>2016</v>
      </c>
      <c r="E409">
        <v>1</v>
      </c>
      <c r="F409">
        <v>24</v>
      </c>
      <c r="G409" t="s">
        <v>10</v>
      </c>
      <c r="H409" t="s">
        <v>11</v>
      </c>
      <c r="I409" s="1" t="s">
        <v>12</v>
      </c>
      <c r="J409">
        <v>0.2581</v>
      </c>
    </row>
    <row r="410" spans="1:10" hidden="1" x14ac:dyDescent="0.35">
      <c r="A410" t="str">
        <f t="shared" si="6"/>
        <v>Franciscópolis20161.2</v>
      </c>
      <c r="B410">
        <v>3126752</v>
      </c>
      <c r="C410" t="s">
        <v>46</v>
      </c>
      <c r="D410">
        <v>2016</v>
      </c>
      <c r="E410">
        <v>1</v>
      </c>
      <c r="F410">
        <v>67</v>
      </c>
      <c r="G410" t="s">
        <v>13</v>
      </c>
      <c r="H410" t="s">
        <v>11</v>
      </c>
      <c r="I410" s="1" t="s">
        <v>14</v>
      </c>
      <c r="J410">
        <v>0.76680000000000004</v>
      </c>
    </row>
    <row r="411" spans="1:10" hidden="1" x14ac:dyDescent="0.35">
      <c r="A411" t="str">
        <f t="shared" si="6"/>
        <v>Franciscópolis20161.3</v>
      </c>
      <c r="B411">
        <v>3126752</v>
      </c>
      <c r="C411" t="s">
        <v>46</v>
      </c>
      <c r="D411">
        <v>2016</v>
      </c>
      <c r="E411">
        <v>1</v>
      </c>
      <c r="F411">
        <v>68</v>
      </c>
      <c r="G411" t="s">
        <v>15</v>
      </c>
      <c r="H411" t="s">
        <v>11</v>
      </c>
      <c r="I411" s="1" t="s">
        <v>16</v>
      </c>
      <c r="J411">
        <v>0.23200000000000001</v>
      </c>
    </row>
    <row r="412" spans="1:10" hidden="1" x14ac:dyDescent="0.35">
      <c r="A412" t="str">
        <f t="shared" si="6"/>
        <v>Franciscópolis20162.1</v>
      </c>
      <c r="B412">
        <v>3126752</v>
      </c>
      <c r="C412" t="s">
        <v>46</v>
      </c>
      <c r="D412">
        <v>2016</v>
      </c>
      <c r="E412">
        <v>1</v>
      </c>
      <c r="F412">
        <v>28</v>
      </c>
      <c r="G412" t="s">
        <v>17</v>
      </c>
      <c r="H412" t="s">
        <v>18</v>
      </c>
      <c r="I412" s="1" t="s">
        <v>19</v>
      </c>
    </row>
    <row r="413" spans="1:10" hidden="1" x14ac:dyDescent="0.35">
      <c r="A413" t="str">
        <f t="shared" si="6"/>
        <v>Franciscópolis20162.2</v>
      </c>
      <c r="B413">
        <v>3126752</v>
      </c>
      <c r="C413" t="s">
        <v>46</v>
      </c>
      <c r="D413">
        <v>2016</v>
      </c>
      <c r="E413">
        <v>1</v>
      </c>
      <c r="F413">
        <v>29</v>
      </c>
      <c r="G413" t="s">
        <v>20</v>
      </c>
      <c r="H413" t="s">
        <v>18</v>
      </c>
      <c r="I413" s="1" t="s">
        <v>21</v>
      </c>
      <c r="J413">
        <v>0.8538</v>
      </c>
    </row>
    <row r="414" spans="1:10" hidden="1" x14ac:dyDescent="0.35">
      <c r="A414" t="str">
        <f t="shared" si="6"/>
        <v>Franciscópolis20162.4</v>
      </c>
      <c r="B414">
        <v>3126752</v>
      </c>
      <c r="C414" t="s">
        <v>46</v>
      </c>
      <c r="D414">
        <v>2016</v>
      </c>
      <c r="E414">
        <v>1</v>
      </c>
      <c r="F414">
        <v>31</v>
      </c>
      <c r="G414" t="s">
        <v>22</v>
      </c>
      <c r="H414" t="s">
        <v>18</v>
      </c>
      <c r="I414" s="1" t="s">
        <v>23</v>
      </c>
      <c r="J414">
        <v>7.46E-2</v>
      </c>
    </row>
    <row r="415" spans="1:10" hidden="1" x14ac:dyDescent="0.35">
      <c r="A415" t="str">
        <f t="shared" si="6"/>
        <v>Franciscópolis20162.5</v>
      </c>
      <c r="B415">
        <v>3126752</v>
      </c>
      <c r="C415" t="s">
        <v>46</v>
      </c>
      <c r="D415">
        <v>2016</v>
      </c>
      <c r="E415">
        <v>1</v>
      </c>
      <c r="F415">
        <v>32</v>
      </c>
      <c r="G415" t="s">
        <v>24</v>
      </c>
      <c r="H415" t="s">
        <v>18</v>
      </c>
      <c r="I415" s="1" t="s">
        <v>25</v>
      </c>
      <c r="J415">
        <v>0.62960000000000005</v>
      </c>
    </row>
    <row r="416" spans="1:10" hidden="1" x14ac:dyDescent="0.35">
      <c r="A416" t="str">
        <f t="shared" si="6"/>
        <v>Franciscópolis20162.8</v>
      </c>
      <c r="B416">
        <v>3126752</v>
      </c>
      <c r="C416" t="s">
        <v>46</v>
      </c>
      <c r="D416">
        <v>2016</v>
      </c>
      <c r="E416">
        <v>1</v>
      </c>
      <c r="F416">
        <v>35</v>
      </c>
      <c r="G416" t="s">
        <v>26</v>
      </c>
      <c r="H416" t="s">
        <v>18</v>
      </c>
      <c r="I416" s="1" t="s">
        <v>27</v>
      </c>
      <c r="J416">
        <v>0.24510000000000001</v>
      </c>
    </row>
    <row r="417" spans="1:10" hidden="1" x14ac:dyDescent="0.35">
      <c r="A417" t="str">
        <f t="shared" si="6"/>
        <v>Franciscópolis20164.1</v>
      </c>
      <c r="B417">
        <v>3126752</v>
      </c>
      <c r="C417" t="s">
        <v>46</v>
      </c>
      <c r="D417">
        <v>2016</v>
      </c>
      <c r="E417">
        <v>1</v>
      </c>
      <c r="F417">
        <v>44</v>
      </c>
      <c r="G417" t="s">
        <v>28</v>
      </c>
      <c r="H417" t="s">
        <v>29</v>
      </c>
      <c r="I417" s="1" t="s">
        <v>30</v>
      </c>
      <c r="J417">
        <v>2028.73</v>
      </c>
    </row>
    <row r="418" spans="1:10" hidden="1" x14ac:dyDescent="0.35">
      <c r="A418" t="str">
        <f t="shared" si="6"/>
        <v>Franciscópolis20164.10</v>
      </c>
      <c r="B418">
        <v>3126752</v>
      </c>
      <c r="C418" t="s">
        <v>46</v>
      </c>
      <c r="D418">
        <v>2016</v>
      </c>
      <c r="E418">
        <v>1</v>
      </c>
      <c r="F418">
        <v>58</v>
      </c>
      <c r="G418" t="s">
        <v>31</v>
      </c>
      <c r="H418" t="s">
        <v>29</v>
      </c>
      <c r="I418" s="1" t="s">
        <v>32</v>
      </c>
      <c r="J418">
        <v>2155.75</v>
      </c>
    </row>
    <row r="419" spans="1:10" hidden="1" x14ac:dyDescent="0.35">
      <c r="A419" t="str">
        <f t="shared" si="6"/>
        <v>Franciscópolis20164.11</v>
      </c>
      <c r="B419">
        <v>3126752</v>
      </c>
      <c r="C419" t="s">
        <v>46</v>
      </c>
      <c r="D419">
        <v>2016</v>
      </c>
      <c r="E419">
        <v>1</v>
      </c>
      <c r="F419">
        <v>59</v>
      </c>
      <c r="G419" t="s">
        <v>33</v>
      </c>
      <c r="H419" t="s">
        <v>29</v>
      </c>
      <c r="I419" s="1" t="s">
        <v>34</v>
      </c>
      <c r="J419">
        <v>2079.3000000000002</v>
      </c>
    </row>
    <row r="420" spans="1:10" hidden="1" x14ac:dyDescent="0.35">
      <c r="A420" t="str">
        <f t="shared" si="6"/>
        <v>Franciscópolis20164.2</v>
      </c>
      <c r="B420">
        <v>3126752</v>
      </c>
      <c r="C420" t="s">
        <v>46</v>
      </c>
      <c r="D420">
        <v>2016</v>
      </c>
      <c r="E420">
        <v>1</v>
      </c>
      <c r="F420">
        <v>45</v>
      </c>
      <c r="G420" t="s">
        <v>35</v>
      </c>
      <c r="H420" t="s">
        <v>29</v>
      </c>
      <c r="I420" s="1" t="s">
        <v>36</v>
      </c>
      <c r="J420">
        <v>5656.87</v>
      </c>
    </row>
    <row r="421" spans="1:10" hidden="1" x14ac:dyDescent="0.35">
      <c r="A421" t="str">
        <f t="shared" si="6"/>
        <v>Franciscópolis20164.8</v>
      </c>
      <c r="B421">
        <v>3126752</v>
      </c>
      <c r="C421" t="s">
        <v>46</v>
      </c>
      <c r="D421">
        <v>2016</v>
      </c>
      <c r="E421">
        <v>1</v>
      </c>
      <c r="F421">
        <v>56</v>
      </c>
      <c r="G421" t="s">
        <v>37</v>
      </c>
      <c r="H421" t="s">
        <v>29</v>
      </c>
      <c r="I421" s="1" t="s">
        <v>38</v>
      </c>
      <c r="J421">
        <v>4738.18</v>
      </c>
    </row>
    <row r="422" spans="1:10" hidden="1" x14ac:dyDescent="0.35">
      <c r="A422" t="str">
        <f t="shared" si="6"/>
        <v>Franciscópolis20164.9</v>
      </c>
      <c r="B422">
        <v>3126752</v>
      </c>
      <c r="C422" t="s">
        <v>46</v>
      </c>
      <c r="D422">
        <v>2016</v>
      </c>
      <c r="E422">
        <v>1</v>
      </c>
      <c r="F422">
        <v>57</v>
      </c>
      <c r="G422" t="s">
        <v>39</v>
      </c>
      <c r="H422" t="s">
        <v>29</v>
      </c>
      <c r="I422" s="1" t="s">
        <v>40</v>
      </c>
      <c r="J422">
        <v>4738.18</v>
      </c>
    </row>
    <row r="423" spans="1:10" hidden="1" x14ac:dyDescent="0.35">
      <c r="A423" t="str">
        <f t="shared" si="6"/>
        <v>Frei Gaspar20161.1</v>
      </c>
      <c r="B423">
        <v>3126802</v>
      </c>
      <c r="C423" t="s">
        <v>47</v>
      </c>
      <c r="D423">
        <v>2016</v>
      </c>
      <c r="E423">
        <v>1</v>
      </c>
      <c r="F423">
        <v>24</v>
      </c>
      <c r="G423" t="s">
        <v>10</v>
      </c>
      <c r="H423" t="s">
        <v>11</v>
      </c>
      <c r="I423" s="1" t="s">
        <v>12</v>
      </c>
      <c r="J423">
        <v>0.28770000000000001</v>
      </c>
    </row>
    <row r="424" spans="1:10" hidden="1" x14ac:dyDescent="0.35">
      <c r="A424" t="str">
        <f t="shared" si="6"/>
        <v>Frei Gaspar20161.2</v>
      </c>
      <c r="B424">
        <v>3126802</v>
      </c>
      <c r="C424" t="s">
        <v>47</v>
      </c>
      <c r="D424">
        <v>2016</v>
      </c>
      <c r="E424">
        <v>1</v>
      </c>
      <c r="F424">
        <v>67</v>
      </c>
      <c r="G424" t="s">
        <v>13</v>
      </c>
      <c r="H424" t="s">
        <v>11</v>
      </c>
      <c r="I424" s="1" t="s">
        <v>14</v>
      </c>
      <c r="J424">
        <v>0.91</v>
      </c>
    </row>
    <row r="425" spans="1:10" hidden="1" x14ac:dyDescent="0.35">
      <c r="A425" t="str">
        <f t="shared" si="6"/>
        <v>Frei Gaspar20161.3</v>
      </c>
      <c r="B425">
        <v>3126802</v>
      </c>
      <c r="C425" t="s">
        <v>47</v>
      </c>
      <c r="D425">
        <v>2016</v>
      </c>
      <c r="E425">
        <v>1</v>
      </c>
      <c r="F425">
        <v>68</v>
      </c>
      <c r="G425" t="s">
        <v>15</v>
      </c>
      <c r="H425" t="s">
        <v>11</v>
      </c>
      <c r="I425" s="1" t="s">
        <v>16</v>
      </c>
      <c r="J425">
        <v>8.4599999999999995E-2</v>
      </c>
    </row>
    <row r="426" spans="1:10" hidden="1" x14ac:dyDescent="0.35">
      <c r="A426" t="str">
        <f t="shared" si="6"/>
        <v>Frei Gaspar20162.1</v>
      </c>
      <c r="B426">
        <v>3126802</v>
      </c>
      <c r="C426" t="s">
        <v>47</v>
      </c>
      <c r="D426">
        <v>2016</v>
      </c>
      <c r="E426">
        <v>1</v>
      </c>
      <c r="F426">
        <v>28</v>
      </c>
      <c r="G426" t="s">
        <v>17</v>
      </c>
      <c r="H426" t="s">
        <v>18</v>
      </c>
      <c r="I426" s="1" t="s">
        <v>19</v>
      </c>
      <c r="J426">
        <v>8.8000000000000005E-3</v>
      </c>
    </row>
    <row r="427" spans="1:10" hidden="1" x14ac:dyDescent="0.35">
      <c r="A427" t="str">
        <f t="shared" si="6"/>
        <v>Frei Gaspar20162.2</v>
      </c>
      <c r="B427">
        <v>3126802</v>
      </c>
      <c r="C427" t="s">
        <v>47</v>
      </c>
      <c r="D427">
        <v>2016</v>
      </c>
      <c r="E427">
        <v>1</v>
      </c>
      <c r="F427">
        <v>29</v>
      </c>
      <c r="G427" t="s">
        <v>20</v>
      </c>
      <c r="H427" t="s">
        <v>18</v>
      </c>
      <c r="I427" s="1" t="s">
        <v>21</v>
      </c>
      <c r="J427">
        <v>0.93669999999999998</v>
      </c>
    </row>
    <row r="428" spans="1:10" hidden="1" x14ac:dyDescent="0.35">
      <c r="A428" t="str">
        <f t="shared" si="6"/>
        <v>Frei Gaspar20162.4</v>
      </c>
      <c r="B428">
        <v>3126802</v>
      </c>
      <c r="C428" t="s">
        <v>47</v>
      </c>
      <c r="D428">
        <v>2016</v>
      </c>
      <c r="E428">
        <v>1</v>
      </c>
      <c r="F428">
        <v>31</v>
      </c>
      <c r="G428" t="s">
        <v>22</v>
      </c>
      <c r="H428" t="s">
        <v>18</v>
      </c>
      <c r="I428" s="1" t="s">
        <v>23</v>
      </c>
      <c r="J428">
        <v>7.3599999999999999E-2</v>
      </c>
    </row>
    <row r="429" spans="1:10" hidden="1" x14ac:dyDescent="0.35">
      <c r="A429" t="str">
        <f t="shared" si="6"/>
        <v>Frei Gaspar20162.5</v>
      </c>
      <c r="B429">
        <v>3126802</v>
      </c>
      <c r="C429" t="s">
        <v>47</v>
      </c>
      <c r="D429">
        <v>2016</v>
      </c>
      <c r="E429">
        <v>1</v>
      </c>
      <c r="F429">
        <v>32</v>
      </c>
      <c r="G429" t="s">
        <v>24</v>
      </c>
      <c r="H429" t="s">
        <v>18</v>
      </c>
      <c r="I429" s="1" t="s">
        <v>25</v>
      </c>
      <c r="J429">
        <v>0.83260000000000001</v>
      </c>
    </row>
    <row r="430" spans="1:10" hidden="1" x14ac:dyDescent="0.35">
      <c r="A430" t="str">
        <f t="shared" si="6"/>
        <v>Frei Gaspar20162.8</v>
      </c>
      <c r="B430">
        <v>3126802</v>
      </c>
      <c r="C430" t="s">
        <v>47</v>
      </c>
      <c r="D430">
        <v>2016</v>
      </c>
      <c r="E430">
        <v>1</v>
      </c>
      <c r="F430">
        <v>35</v>
      </c>
      <c r="G430" t="s">
        <v>26</v>
      </c>
      <c r="H430" t="s">
        <v>18</v>
      </c>
      <c r="I430" s="1" t="s">
        <v>27</v>
      </c>
      <c r="J430">
        <v>0.26469999999999999</v>
      </c>
    </row>
    <row r="431" spans="1:10" hidden="1" x14ac:dyDescent="0.35">
      <c r="A431" t="str">
        <f t="shared" si="6"/>
        <v>Frei Gaspar20164.1</v>
      </c>
      <c r="B431">
        <v>3126802</v>
      </c>
      <c r="C431" t="s">
        <v>47</v>
      </c>
      <c r="D431">
        <v>2016</v>
      </c>
      <c r="E431">
        <v>1</v>
      </c>
      <c r="F431">
        <v>44</v>
      </c>
      <c r="G431" t="s">
        <v>28</v>
      </c>
      <c r="H431" t="s">
        <v>29</v>
      </c>
      <c r="I431" s="1" t="s">
        <v>30</v>
      </c>
      <c r="J431">
        <v>1998.31</v>
      </c>
    </row>
    <row r="432" spans="1:10" hidden="1" x14ac:dyDescent="0.35">
      <c r="A432" t="str">
        <f t="shared" si="6"/>
        <v>Frei Gaspar20164.10</v>
      </c>
      <c r="B432">
        <v>3126802</v>
      </c>
      <c r="C432" t="s">
        <v>47</v>
      </c>
      <c r="D432">
        <v>2016</v>
      </c>
      <c r="E432">
        <v>1</v>
      </c>
      <c r="F432">
        <v>58</v>
      </c>
      <c r="G432" t="s">
        <v>31</v>
      </c>
      <c r="H432" t="s">
        <v>29</v>
      </c>
      <c r="I432" s="1" t="s">
        <v>32</v>
      </c>
      <c r="J432">
        <v>3677.35</v>
      </c>
    </row>
    <row r="433" spans="1:10" hidden="1" x14ac:dyDescent="0.35">
      <c r="A433" t="str">
        <f t="shared" si="6"/>
        <v>Frei Gaspar20164.11</v>
      </c>
      <c r="B433">
        <v>3126802</v>
      </c>
      <c r="C433" t="s">
        <v>47</v>
      </c>
      <c r="D433">
        <v>2016</v>
      </c>
      <c r="E433">
        <v>1</v>
      </c>
      <c r="F433">
        <v>59</v>
      </c>
      <c r="G433" t="s">
        <v>33</v>
      </c>
      <c r="H433" t="s">
        <v>29</v>
      </c>
      <c r="I433" s="1" t="s">
        <v>34</v>
      </c>
      <c r="J433">
        <v>140.06</v>
      </c>
    </row>
    <row r="434" spans="1:10" hidden="1" x14ac:dyDescent="0.35">
      <c r="A434" t="str">
        <f t="shared" si="6"/>
        <v>Frei Gaspar20164.2</v>
      </c>
      <c r="B434">
        <v>3126802</v>
      </c>
      <c r="C434" t="s">
        <v>47</v>
      </c>
      <c r="D434">
        <v>2016</v>
      </c>
      <c r="E434">
        <v>1</v>
      </c>
      <c r="F434">
        <v>45</v>
      </c>
      <c r="G434" t="s">
        <v>35</v>
      </c>
      <c r="H434" t="s">
        <v>29</v>
      </c>
      <c r="I434" s="1" t="s">
        <v>36</v>
      </c>
      <c r="J434">
        <v>6281.3</v>
      </c>
    </row>
    <row r="435" spans="1:10" hidden="1" x14ac:dyDescent="0.35">
      <c r="A435" t="str">
        <f t="shared" si="6"/>
        <v>Frei Gaspar20164.8</v>
      </c>
      <c r="B435">
        <v>3126802</v>
      </c>
      <c r="C435" t="s">
        <v>47</v>
      </c>
      <c r="D435">
        <v>2016</v>
      </c>
      <c r="E435">
        <v>1</v>
      </c>
      <c r="F435">
        <v>56</v>
      </c>
      <c r="G435" t="s">
        <v>37</v>
      </c>
      <c r="H435" t="s">
        <v>29</v>
      </c>
      <c r="I435" s="1" t="s">
        <v>38</v>
      </c>
      <c r="J435">
        <v>5326.41</v>
      </c>
    </row>
    <row r="436" spans="1:10" hidden="1" x14ac:dyDescent="0.35">
      <c r="A436" t="str">
        <f t="shared" si="6"/>
        <v>Frei Gaspar20164.9</v>
      </c>
      <c r="B436">
        <v>3126802</v>
      </c>
      <c r="C436" t="s">
        <v>47</v>
      </c>
      <c r="D436">
        <v>2016</v>
      </c>
      <c r="E436">
        <v>1</v>
      </c>
      <c r="F436">
        <v>57</v>
      </c>
      <c r="G436" t="s">
        <v>39</v>
      </c>
      <c r="H436" t="s">
        <v>29</v>
      </c>
      <c r="I436" s="1" t="s">
        <v>40</v>
      </c>
      <c r="J436">
        <v>5326.41</v>
      </c>
    </row>
    <row r="437" spans="1:10" hidden="1" x14ac:dyDescent="0.35">
      <c r="A437" t="str">
        <f t="shared" si="6"/>
        <v>Fronteira dos Vales20161.1</v>
      </c>
      <c r="B437">
        <v>3127057</v>
      </c>
      <c r="C437" t="s">
        <v>48</v>
      </c>
      <c r="D437">
        <v>2016</v>
      </c>
      <c r="E437">
        <v>1</v>
      </c>
      <c r="F437">
        <v>24</v>
      </c>
      <c r="G437" t="s">
        <v>10</v>
      </c>
      <c r="H437" t="s">
        <v>11</v>
      </c>
      <c r="I437" s="1" t="s">
        <v>12</v>
      </c>
      <c r="J437">
        <v>0.31240000000000001</v>
      </c>
    </row>
    <row r="438" spans="1:10" hidden="1" x14ac:dyDescent="0.35">
      <c r="A438" t="str">
        <f t="shared" si="6"/>
        <v>Fronteira dos Vales20161.2</v>
      </c>
      <c r="B438">
        <v>3127057</v>
      </c>
      <c r="C438" t="s">
        <v>48</v>
      </c>
      <c r="D438">
        <v>2016</v>
      </c>
      <c r="E438">
        <v>1</v>
      </c>
      <c r="F438">
        <v>67</v>
      </c>
      <c r="G438" t="s">
        <v>13</v>
      </c>
      <c r="H438" t="s">
        <v>11</v>
      </c>
      <c r="I438" s="1" t="s">
        <v>14</v>
      </c>
      <c r="J438">
        <v>0.67130000000000001</v>
      </c>
    </row>
    <row r="439" spans="1:10" hidden="1" x14ac:dyDescent="0.35">
      <c r="A439" t="str">
        <f t="shared" si="6"/>
        <v>Fronteira dos Vales20161.3</v>
      </c>
      <c r="B439">
        <v>3127057</v>
      </c>
      <c r="C439" t="s">
        <v>48</v>
      </c>
      <c r="D439">
        <v>2016</v>
      </c>
      <c r="E439">
        <v>1</v>
      </c>
      <c r="F439">
        <v>68</v>
      </c>
      <c r="G439" t="s">
        <v>15</v>
      </c>
      <c r="H439" t="s">
        <v>11</v>
      </c>
      <c r="I439" s="1" t="s">
        <v>16</v>
      </c>
      <c r="J439">
        <v>0.32800000000000001</v>
      </c>
    </row>
    <row r="440" spans="1:10" hidden="1" x14ac:dyDescent="0.35">
      <c r="A440" t="str">
        <f t="shared" si="6"/>
        <v>Fronteira dos Vales20162.1</v>
      </c>
      <c r="B440">
        <v>3127057</v>
      </c>
      <c r="C440" t="s">
        <v>48</v>
      </c>
      <c r="D440">
        <v>2016</v>
      </c>
      <c r="E440">
        <v>1</v>
      </c>
      <c r="F440">
        <v>28</v>
      </c>
      <c r="G440" t="s">
        <v>17</v>
      </c>
      <c r="H440" t="s">
        <v>18</v>
      </c>
      <c r="I440" s="1" t="s">
        <v>19</v>
      </c>
    </row>
    <row r="441" spans="1:10" hidden="1" x14ac:dyDescent="0.35">
      <c r="A441" t="str">
        <f t="shared" si="6"/>
        <v>Fronteira dos Vales20162.2</v>
      </c>
      <c r="B441">
        <v>3127057</v>
      </c>
      <c r="C441" t="s">
        <v>48</v>
      </c>
      <c r="D441">
        <v>2016</v>
      </c>
      <c r="E441">
        <v>1</v>
      </c>
      <c r="F441">
        <v>29</v>
      </c>
      <c r="G441" t="s">
        <v>20</v>
      </c>
      <c r="H441" t="s">
        <v>18</v>
      </c>
      <c r="I441" s="1" t="s">
        <v>21</v>
      </c>
      <c r="J441">
        <v>0.874</v>
      </c>
    </row>
    <row r="442" spans="1:10" hidden="1" x14ac:dyDescent="0.35">
      <c r="A442" t="str">
        <f t="shared" si="6"/>
        <v>Fronteira dos Vales20162.4</v>
      </c>
      <c r="B442">
        <v>3127057</v>
      </c>
      <c r="C442" t="s">
        <v>48</v>
      </c>
      <c r="D442">
        <v>2016</v>
      </c>
      <c r="E442">
        <v>1</v>
      </c>
      <c r="F442">
        <v>31</v>
      </c>
      <c r="G442" t="s">
        <v>22</v>
      </c>
      <c r="H442" t="s">
        <v>18</v>
      </c>
      <c r="I442" s="1" t="s">
        <v>23</v>
      </c>
      <c r="J442">
        <v>0.12570000000000001</v>
      </c>
    </row>
    <row r="443" spans="1:10" hidden="1" x14ac:dyDescent="0.35">
      <c r="A443" t="str">
        <f t="shared" si="6"/>
        <v>Fronteira dos Vales20162.5</v>
      </c>
      <c r="B443">
        <v>3127057</v>
      </c>
      <c r="C443" t="s">
        <v>48</v>
      </c>
      <c r="D443">
        <v>2016</v>
      </c>
      <c r="E443">
        <v>1</v>
      </c>
      <c r="F443">
        <v>32</v>
      </c>
      <c r="G443" t="s">
        <v>24</v>
      </c>
      <c r="H443" t="s">
        <v>18</v>
      </c>
      <c r="I443" s="1" t="s">
        <v>25</v>
      </c>
      <c r="J443">
        <v>0.79530000000000001</v>
      </c>
    </row>
    <row r="444" spans="1:10" hidden="1" x14ac:dyDescent="0.35">
      <c r="A444" t="str">
        <f t="shared" si="6"/>
        <v>Fronteira dos Vales20162.8</v>
      </c>
      <c r="B444">
        <v>3127057</v>
      </c>
      <c r="C444" t="s">
        <v>48</v>
      </c>
      <c r="D444">
        <v>2016</v>
      </c>
      <c r="E444">
        <v>1</v>
      </c>
      <c r="F444">
        <v>35</v>
      </c>
      <c r="G444" t="s">
        <v>26</v>
      </c>
      <c r="H444" t="s">
        <v>18</v>
      </c>
      <c r="I444" s="1" t="s">
        <v>27</v>
      </c>
      <c r="J444">
        <v>0.19259999999999999</v>
      </c>
    </row>
    <row r="445" spans="1:10" hidden="1" x14ac:dyDescent="0.35">
      <c r="A445" t="str">
        <f t="shared" si="6"/>
        <v>Fronteira dos Vales20164.1</v>
      </c>
      <c r="B445">
        <v>3127057</v>
      </c>
      <c r="C445" t="s">
        <v>48</v>
      </c>
      <c r="D445">
        <v>2016</v>
      </c>
      <c r="E445">
        <v>1</v>
      </c>
      <c r="F445">
        <v>44</v>
      </c>
      <c r="G445" t="s">
        <v>28</v>
      </c>
      <c r="H445" t="s">
        <v>29</v>
      </c>
      <c r="I445" s="1" t="s">
        <v>30</v>
      </c>
      <c r="J445">
        <v>3876.7</v>
      </c>
    </row>
    <row r="446" spans="1:10" hidden="1" x14ac:dyDescent="0.35">
      <c r="A446" t="str">
        <f t="shared" si="6"/>
        <v>Fronteira dos Vales20164.10</v>
      </c>
      <c r="B446">
        <v>3127057</v>
      </c>
      <c r="C446" t="s">
        <v>48</v>
      </c>
      <c r="D446">
        <v>2016</v>
      </c>
      <c r="E446">
        <v>1</v>
      </c>
      <c r="F446">
        <v>58</v>
      </c>
      <c r="G446" t="s">
        <v>31</v>
      </c>
      <c r="H446" t="s">
        <v>29</v>
      </c>
      <c r="I446" s="1" t="s">
        <v>32</v>
      </c>
      <c r="J446">
        <v>2056.91</v>
      </c>
    </row>
    <row r="447" spans="1:10" hidden="1" x14ac:dyDescent="0.35">
      <c r="A447" t="str">
        <f t="shared" si="6"/>
        <v>Fronteira dos Vales20164.11</v>
      </c>
      <c r="B447">
        <v>3127057</v>
      </c>
      <c r="C447" t="s">
        <v>48</v>
      </c>
      <c r="D447">
        <v>2016</v>
      </c>
      <c r="E447">
        <v>1</v>
      </c>
      <c r="F447">
        <v>59</v>
      </c>
      <c r="G447" t="s">
        <v>33</v>
      </c>
      <c r="H447" t="s">
        <v>29</v>
      </c>
      <c r="I447" s="1" t="s">
        <v>34</v>
      </c>
      <c r="J447">
        <v>2992.95</v>
      </c>
    </row>
    <row r="448" spans="1:10" hidden="1" x14ac:dyDescent="0.35">
      <c r="A448" t="str">
        <f t="shared" si="6"/>
        <v>Fronteira dos Vales20164.2</v>
      </c>
      <c r="B448">
        <v>3127057</v>
      </c>
      <c r="C448" t="s">
        <v>48</v>
      </c>
      <c r="D448">
        <v>2016</v>
      </c>
      <c r="E448">
        <v>1</v>
      </c>
      <c r="F448">
        <v>45</v>
      </c>
      <c r="G448" t="s">
        <v>35</v>
      </c>
      <c r="H448" t="s">
        <v>29</v>
      </c>
      <c r="I448" s="1" t="s">
        <v>36</v>
      </c>
      <c r="J448">
        <v>7092.38</v>
      </c>
    </row>
    <row r="449" spans="1:10" hidden="1" x14ac:dyDescent="0.35">
      <c r="A449" t="str">
        <f t="shared" si="6"/>
        <v>Fronteira dos Vales20164.8</v>
      </c>
      <c r="B449">
        <v>3127057</v>
      </c>
      <c r="C449" t="s">
        <v>48</v>
      </c>
      <c r="D449">
        <v>2016</v>
      </c>
      <c r="E449">
        <v>1</v>
      </c>
      <c r="F449">
        <v>56</v>
      </c>
      <c r="G449" t="s">
        <v>37</v>
      </c>
      <c r="H449" t="s">
        <v>29</v>
      </c>
      <c r="I449" s="1" t="s">
        <v>38</v>
      </c>
      <c r="J449">
        <v>6288.28</v>
      </c>
    </row>
    <row r="450" spans="1:10" hidden="1" x14ac:dyDescent="0.35">
      <c r="A450" t="str">
        <f t="shared" si="6"/>
        <v>Fronteira dos Vales20164.9</v>
      </c>
      <c r="B450">
        <v>3127057</v>
      </c>
      <c r="C450" t="s">
        <v>48</v>
      </c>
      <c r="D450">
        <v>2016</v>
      </c>
      <c r="E450">
        <v>1</v>
      </c>
      <c r="F450">
        <v>57</v>
      </c>
      <c r="G450" t="s">
        <v>39</v>
      </c>
      <c r="H450" t="s">
        <v>29</v>
      </c>
      <c r="I450" s="1" t="s">
        <v>40</v>
      </c>
      <c r="J450">
        <v>6288.28</v>
      </c>
    </row>
    <row r="451" spans="1:10" hidden="1" x14ac:dyDescent="0.35">
      <c r="A451" t="str">
        <f t="shared" si="6"/>
        <v>Itaipé20161.1</v>
      </c>
      <c r="B451">
        <v>3132305</v>
      </c>
      <c r="C451" t="s">
        <v>49</v>
      </c>
      <c r="D451">
        <v>2016</v>
      </c>
      <c r="E451">
        <v>1</v>
      </c>
      <c r="F451">
        <v>24</v>
      </c>
      <c r="G451" t="s">
        <v>10</v>
      </c>
      <c r="H451" t="s">
        <v>11</v>
      </c>
      <c r="I451" s="1" t="s">
        <v>12</v>
      </c>
      <c r="J451">
        <v>0.2671</v>
      </c>
    </row>
    <row r="452" spans="1:10" hidden="1" x14ac:dyDescent="0.35">
      <c r="A452" t="str">
        <f t="shared" ref="A452:A515" si="7">C452&amp;D452&amp;G452</f>
        <v>Itaipé20161.2</v>
      </c>
      <c r="B452">
        <v>3132305</v>
      </c>
      <c r="C452" t="s">
        <v>49</v>
      </c>
      <c r="D452">
        <v>2016</v>
      </c>
      <c r="E452">
        <v>1</v>
      </c>
      <c r="F452">
        <v>67</v>
      </c>
      <c r="G452" t="s">
        <v>13</v>
      </c>
      <c r="H452" t="s">
        <v>11</v>
      </c>
      <c r="I452" s="1" t="s">
        <v>14</v>
      </c>
      <c r="J452">
        <v>0.60229999999999995</v>
      </c>
    </row>
    <row r="453" spans="1:10" hidden="1" x14ac:dyDescent="0.35">
      <c r="A453" t="str">
        <f t="shared" si="7"/>
        <v>Itaipé20161.3</v>
      </c>
      <c r="B453">
        <v>3132305</v>
      </c>
      <c r="C453" t="s">
        <v>49</v>
      </c>
      <c r="D453">
        <v>2016</v>
      </c>
      <c r="E453">
        <v>1</v>
      </c>
      <c r="F453">
        <v>68</v>
      </c>
      <c r="G453" t="s">
        <v>15</v>
      </c>
      <c r="H453" t="s">
        <v>11</v>
      </c>
      <c r="I453" s="1" t="s">
        <v>16</v>
      </c>
      <c r="J453">
        <v>0.38979999999999998</v>
      </c>
    </row>
    <row r="454" spans="1:10" hidden="1" x14ac:dyDescent="0.35">
      <c r="A454" t="str">
        <f t="shared" si="7"/>
        <v>Itaipé20162.1</v>
      </c>
      <c r="B454">
        <v>3132305</v>
      </c>
      <c r="C454" t="s">
        <v>49</v>
      </c>
      <c r="D454">
        <v>2016</v>
      </c>
      <c r="E454">
        <v>1</v>
      </c>
      <c r="F454">
        <v>28</v>
      </c>
      <c r="G454" t="s">
        <v>17</v>
      </c>
      <c r="H454" t="s">
        <v>18</v>
      </c>
      <c r="I454" s="1" t="s">
        <v>19</v>
      </c>
      <c r="J454">
        <v>4.5199999999999997E-2</v>
      </c>
    </row>
    <row r="455" spans="1:10" hidden="1" x14ac:dyDescent="0.35">
      <c r="A455" t="str">
        <f t="shared" si="7"/>
        <v>Itaipé20162.2</v>
      </c>
      <c r="B455">
        <v>3132305</v>
      </c>
      <c r="C455" t="s">
        <v>49</v>
      </c>
      <c r="D455">
        <v>2016</v>
      </c>
      <c r="E455">
        <v>1</v>
      </c>
      <c r="F455">
        <v>29</v>
      </c>
      <c r="G455" t="s">
        <v>20</v>
      </c>
      <c r="H455" t="s">
        <v>18</v>
      </c>
      <c r="I455" s="1" t="s">
        <v>21</v>
      </c>
      <c r="J455">
        <v>0.91310000000000002</v>
      </c>
    </row>
    <row r="456" spans="1:10" hidden="1" x14ac:dyDescent="0.35">
      <c r="A456" t="str">
        <f t="shared" si="7"/>
        <v>Itaipé20162.4</v>
      </c>
      <c r="B456">
        <v>3132305</v>
      </c>
      <c r="C456" t="s">
        <v>49</v>
      </c>
      <c r="D456">
        <v>2016</v>
      </c>
      <c r="E456">
        <v>1</v>
      </c>
      <c r="F456">
        <v>31</v>
      </c>
      <c r="G456" t="s">
        <v>22</v>
      </c>
      <c r="H456" t="s">
        <v>18</v>
      </c>
      <c r="I456" s="1" t="s">
        <v>23</v>
      </c>
      <c r="J456">
        <v>7.2599999999999998E-2</v>
      </c>
    </row>
    <row r="457" spans="1:10" hidden="1" x14ac:dyDescent="0.35">
      <c r="A457" t="str">
        <f t="shared" si="7"/>
        <v>Itaipé20162.5</v>
      </c>
      <c r="B457">
        <v>3132305</v>
      </c>
      <c r="C457" t="s">
        <v>49</v>
      </c>
      <c r="D457">
        <v>2016</v>
      </c>
      <c r="E457">
        <v>1</v>
      </c>
      <c r="F457">
        <v>32</v>
      </c>
      <c r="G457" t="s">
        <v>24</v>
      </c>
      <c r="H457" t="s">
        <v>18</v>
      </c>
      <c r="I457" s="1" t="s">
        <v>25</v>
      </c>
      <c r="J457">
        <v>0.64319999999999999</v>
      </c>
    </row>
    <row r="458" spans="1:10" hidden="1" x14ac:dyDescent="0.35">
      <c r="A458" t="str">
        <f t="shared" si="7"/>
        <v>Itaipé20162.8</v>
      </c>
      <c r="B458">
        <v>3132305</v>
      </c>
      <c r="C458" t="s">
        <v>49</v>
      </c>
      <c r="D458">
        <v>2016</v>
      </c>
      <c r="E458">
        <v>1</v>
      </c>
      <c r="F458">
        <v>35</v>
      </c>
      <c r="G458" t="s">
        <v>26</v>
      </c>
      <c r="H458" t="s">
        <v>18</v>
      </c>
      <c r="I458" s="1" t="s">
        <v>27</v>
      </c>
      <c r="J458">
        <v>0.40100000000000002</v>
      </c>
    </row>
    <row r="459" spans="1:10" hidden="1" x14ac:dyDescent="0.35">
      <c r="A459" t="str">
        <f t="shared" si="7"/>
        <v>Itaipé20164.1</v>
      </c>
      <c r="B459">
        <v>3132305</v>
      </c>
      <c r="C459" t="s">
        <v>49</v>
      </c>
      <c r="D459">
        <v>2016</v>
      </c>
      <c r="E459">
        <v>1</v>
      </c>
      <c r="F459">
        <v>44</v>
      </c>
      <c r="G459" t="s">
        <v>28</v>
      </c>
      <c r="H459" t="s">
        <v>29</v>
      </c>
      <c r="I459" s="1" t="s">
        <v>30</v>
      </c>
      <c r="J459">
        <v>5376.69</v>
      </c>
    </row>
    <row r="460" spans="1:10" hidden="1" x14ac:dyDescent="0.35">
      <c r="A460" t="str">
        <f t="shared" si="7"/>
        <v>Itaipé20164.10</v>
      </c>
      <c r="B460">
        <v>3132305</v>
      </c>
      <c r="C460" t="s">
        <v>49</v>
      </c>
      <c r="D460">
        <v>2016</v>
      </c>
      <c r="E460">
        <v>1</v>
      </c>
      <c r="F460">
        <v>58</v>
      </c>
      <c r="G460" t="s">
        <v>31</v>
      </c>
      <c r="H460" t="s">
        <v>29</v>
      </c>
      <c r="I460" s="1" t="s">
        <v>32</v>
      </c>
      <c r="J460">
        <v>2614.69</v>
      </c>
    </row>
    <row r="461" spans="1:10" hidden="1" x14ac:dyDescent="0.35">
      <c r="A461" t="str">
        <f t="shared" si="7"/>
        <v>Itaipé20164.11</v>
      </c>
      <c r="B461">
        <v>3132305</v>
      </c>
      <c r="C461" t="s">
        <v>49</v>
      </c>
      <c r="D461">
        <v>2016</v>
      </c>
      <c r="E461">
        <v>1</v>
      </c>
      <c r="F461">
        <v>59</v>
      </c>
      <c r="G461" t="s">
        <v>33</v>
      </c>
      <c r="H461" t="s">
        <v>29</v>
      </c>
      <c r="I461" s="1" t="s">
        <v>34</v>
      </c>
      <c r="J461">
        <v>980.59</v>
      </c>
    </row>
    <row r="462" spans="1:10" hidden="1" x14ac:dyDescent="0.35">
      <c r="A462" t="str">
        <f t="shared" si="7"/>
        <v>Itaipé20164.2</v>
      </c>
      <c r="B462">
        <v>3132305</v>
      </c>
      <c r="C462" t="s">
        <v>49</v>
      </c>
      <c r="D462">
        <v>2016</v>
      </c>
      <c r="E462">
        <v>1</v>
      </c>
      <c r="F462">
        <v>45</v>
      </c>
      <c r="G462" t="s">
        <v>35</v>
      </c>
      <c r="H462" t="s">
        <v>29</v>
      </c>
      <c r="I462" s="1" t="s">
        <v>36</v>
      </c>
      <c r="J462">
        <v>4975.3900000000003</v>
      </c>
    </row>
    <row r="463" spans="1:10" hidden="1" x14ac:dyDescent="0.35">
      <c r="A463" t="str">
        <f t="shared" si="7"/>
        <v>Itaipé20164.8</v>
      </c>
      <c r="B463">
        <v>3132305</v>
      </c>
      <c r="C463" t="s">
        <v>49</v>
      </c>
      <c r="D463">
        <v>2016</v>
      </c>
      <c r="E463">
        <v>1</v>
      </c>
      <c r="F463">
        <v>56</v>
      </c>
      <c r="G463" t="s">
        <v>37</v>
      </c>
      <c r="H463" t="s">
        <v>29</v>
      </c>
      <c r="I463" s="1" t="s">
        <v>38</v>
      </c>
      <c r="J463">
        <v>4823.6099999999997</v>
      </c>
    </row>
    <row r="464" spans="1:10" hidden="1" x14ac:dyDescent="0.35">
      <c r="A464" t="str">
        <f t="shared" si="7"/>
        <v>Itaipé20164.9</v>
      </c>
      <c r="B464">
        <v>3132305</v>
      </c>
      <c r="C464" t="s">
        <v>49</v>
      </c>
      <c r="D464">
        <v>2016</v>
      </c>
      <c r="E464">
        <v>1</v>
      </c>
      <c r="F464">
        <v>57</v>
      </c>
      <c r="G464" t="s">
        <v>39</v>
      </c>
      <c r="H464" t="s">
        <v>29</v>
      </c>
      <c r="I464" s="1" t="s">
        <v>40</v>
      </c>
      <c r="J464">
        <v>4823.6099999999997</v>
      </c>
    </row>
    <row r="465" spans="1:10" hidden="1" x14ac:dyDescent="0.35">
      <c r="A465" t="str">
        <f t="shared" si="7"/>
        <v>Ladainha20161.1</v>
      </c>
      <c r="B465">
        <v>3137007</v>
      </c>
      <c r="C465" t="s">
        <v>50</v>
      </c>
      <c r="D465">
        <v>2016</v>
      </c>
      <c r="E465">
        <v>1</v>
      </c>
      <c r="F465">
        <v>24</v>
      </c>
      <c r="G465" t="s">
        <v>10</v>
      </c>
      <c r="H465" t="s">
        <v>11</v>
      </c>
      <c r="I465" s="1" t="s">
        <v>12</v>
      </c>
      <c r="J465">
        <v>0.28720000000000001</v>
      </c>
    </row>
    <row r="466" spans="1:10" hidden="1" x14ac:dyDescent="0.35">
      <c r="A466" t="str">
        <f t="shared" si="7"/>
        <v>Ladainha20161.2</v>
      </c>
      <c r="B466">
        <v>3137007</v>
      </c>
      <c r="C466" t="s">
        <v>50</v>
      </c>
      <c r="D466">
        <v>2016</v>
      </c>
      <c r="E466">
        <v>1</v>
      </c>
      <c r="F466">
        <v>67</v>
      </c>
      <c r="G466" t="s">
        <v>13</v>
      </c>
      <c r="H466" t="s">
        <v>11</v>
      </c>
      <c r="I466" s="1" t="s">
        <v>14</v>
      </c>
      <c r="J466">
        <v>0.66669999999999996</v>
      </c>
    </row>
    <row r="467" spans="1:10" hidden="1" x14ac:dyDescent="0.35">
      <c r="A467" t="str">
        <f t="shared" si="7"/>
        <v>Ladainha20161.3</v>
      </c>
      <c r="B467">
        <v>3137007</v>
      </c>
      <c r="C467" t="s">
        <v>50</v>
      </c>
      <c r="D467">
        <v>2016</v>
      </c>
      <c r="E467">
        <v>1</v>
      </c>
      <c r="F467">
        <v>68</v>
      </c>
      <c r="G467" t="s">
        <v>15</v>
      </c>
      <c r="H467" t="s">
        <v>11</v>
      </c>
      <c r="I467" s="1" t="s">
        <v>16</v>
      </c>
      <c r="J467">
        <v>0.28760000000000002</v>
      </c>
    </row>
    <row r="468" spans="1:10" hidden="1" x14ac:dyDescent="0.35">
      <c r="A468" t="str">
        <f t="shared" si="7"/>
        <v>Ladainha20162.1</v>
      </c>
      <c r="B468">
        <v>3137007</v>
      </c>
      <c r="C468" t="s">
        <v>50</v>
      </c>
      <c r="D468">
        <v>2016</v>
      </c>
      <c r="E468">
        <v>1</v>
      </c>
      <c r="F468">
        <v>28</v>
      </c>
      <c r="G468" t="s">
        <v>17</v>
      </c>
      <c r="H468" t="s">
        <v>18</v>
      </c>
      <c r="I468" s="1" t="s">
        <v>19</v>
      </c>
      <c r="J468">
        <v>5.7000000000000002E-2</v>
      </c>
    </row>
    <row r="469" spans="1:10" hidden="1" x14ac:dyDescent="0.35">
      <c r="A469" t="str">
        <f t="shared" si="7"/>
        <v>Ladainha20162.2</v>
      </c>
      <c r="B469">
        <v>3137007</v>
      </c>
      <c r="C469" t="s">
        <v>50</v>
      </c>
      <c r="D469">
        <v>2016</v>
      </c>
      <c r="E469">
        <v>1</v>
      </c>
      <c r="F469">
        <v>29</v>
      </c>
      <c r="G469" t="s">
        <v>20</v>
      </c>
      <c r="H469" t="s">
        <v>18</v>
      </c>
      <c r="I469" s="1" t="s">
        <v>21</v>
      </c>
      <c r="J469">
        <v>0.85729999999999995</v>
      </c>
    </row>
    <row r="470" spans="1:10" hidden="1" x14ac:dyDescent="0.35">
      <c r="A470" t="str">
        <f t="shared" si="7"/>
        <v>Ladainha20162.4</v>
      </c>
      <c r="B470">
        <v>3137007</v>
      </c>
      <c r="C470" t="s">
        <v>50</v>
      </c>
      <c r="D470">
        <v>2016</v>
      </c>
      <c r="E470">
        <v>1</v>
      </c>
      <c r="F470">
        <v>31</v>
      </c>
      <c r="G470" t="s">
        <v>22</v>
      </c>
      <c r="H470" t="s">
        <v>18</v>
      </c>
      <c r="I470" s="1" t="s">
        <v>23</v>
      </c>
      <c r="J470">
        <v>9.7100000000000006E-2</v>
      </c>
    </row>
    <row r="471" spans="1:10" hidden="1" x14ac:dyDescent="0.35">
      <c r="A471" t="str">
        <f t="shared" si="7"/>
        <v>Ladainha20162.5</v>
      </c>
      <c r="B471">
        <v>3137007</v>
      </c>
      <c r="C471" t="s">
        <v>50</v>
      </c>
      <c r="D471">
        <v>2016</v>
      </c>
      <c r="E471">
        <v>1</v>
      </c>
      <c r="F471">
        <v>32</v>
      </c>
      <c r="G471" t="s">
        <v>24</v>
      </c>
      <c r="H471" t="s">
        <v>18</v>
      </c>
      <c r="I471" s="1" t="s">
        <v>25</v>
      </c>
      <c r="J471">
        <v>0.51070000000000004</v>
      </c>
    </row>
    <row r="472" spans="1:10" hidden="1" x14ac:dyDescent="0.35">
      <c r="A472" t="str">
        <f t="shared" si="7"/>
        <v>Ladainha20162.8</v>
      </c>
      <c r="B472">
        <v>3137007</v>
      </c>
      <c r="C472" t="s">
        <v>50</v>
      </c>
      <c r="D472">
        <v>2016</v>
      </c>
      <c r="E472">
        <v>1</v>
      </c>
      <c r="F472">
        <v>35</v>
      </c>
      <c r="G472" t="s">
        <v>26</v>
      </c>
      <c r="H472" t="s">
        <v>18</v>
      </c>
      <c r="I472" s="1" t="s">
        <v>27</v>
      </c>
      <c r="J472">
        <v>0.38159999999999999</v>
      </c>
    </row>
    <row r="473" spans="1:10" hidden="1" x14ac:dyDescent="0.35">
      <c r="A473" t="str">
        <f t="shared" si="7"/>
        <v>Ladainha20164.1</v>
      </c>
      <c r="B473">
        <v>3137007</v>
      </c>
      <c r="C473" t="s">
        <v>50</v>
      </c>
      <c r="D473">
        <v>2016</v>
      </c>
      <c r="E473">
        <v>1</v>
      </c>
      <c r="F473">
        <v>44</v>
      </c>
      <c r="G473" t="s">
        <v>28</v>
      </c>
      <c r="H473" t="s">
        <v>29</v>
      </c>
      <c r="I473" s="1" t="s">
        <v>30</v>
      </c>
      <c r="J473">
        <v>2383.09</v>
      </c>
    </row>
    <row r="474" spans="1:10" hidden="1" x14ac:dyDescent="0.35">
      <c r="A474" t="str">
        <f t="shared" si="7"/>
        <v>Ladainha20164.10</v>
      </c>
      <c r="B474">
        <v>3137007</v>
      </c>
      <c r="C474" t="s">
        <v>50</v>
      </c>
      <c r="D474">
        <v>2016</v>
      </c>
      <c r="E474">
        <v>1</v>
      </c>
      <c r="F474">
        <v>58</v>
      </c>
      <c r="G474" t="s">
        <v>31</v>
      </c>
      <c r="H474" t="s">
        <v>29</v>
      </c>
      <c r="I474" s="1" t="s">
        <v>32</v>
      </c>
      <c r="J474">
        <v>3288.78</v>
      </c>
    </row>
    <row r="475" spans="1:10" hidden="1" x14ac:dyDescent="0.35">
      <c r="A475" t="str">
        <f t="shared" si="7"/>
        <v>Ladainha20164.11</v>
      </c>
      <c r="B475">
        <v>3137007</v>
      </c>
      <c r="C475" t="s">
        <v>50</v>
      </c>
      <c r="D475">
        <v>2016</v>
      </c>
      <c r="E475">
        <v>1</v>
      </c>
      <c r="F475">
        <v>59</v>
      </c>
      <c r="G475" t="s">
        <v>33</v>
      </c>
      <c r="H475" t="s">
        <v>29</v>
      </c>
      <c r="I475" s="1" t="s">
        <v>34</v>
      </c>
      <c r="J475">
        <v>1323.65</v>
      </c>
    </row>
    <row r="476" spans="1:10" hidden="1" x14ac:dyDescent="0.35">
      <c r="A476" t="str">
        <f t="shared" si="7"/>
        <v>Ladainha20164.2</v>
      </c>
      <c r="B476">
        <v>3137007</v>
      </c>
      <c r="C476" t="s">
        <v>50</v>
      </c>
      <c r="D476">
        <v>2016</v>
      </c>
      <c r="E476">
        <v>1</v>
      </c>
      <c r="F476">
        <v>45</v>
      </c>
      <c r="G476" t="s">
        <v>35</v>
      </c>
      <c r="H476" t="s">
        <v>29</v>
      </c>
      <c r="I476" s="1" t="s">
        <v>36</v>
      </c>
      <c r="J476">
        <v>5949.33</v>
      </c>
    </row>
    <row r="477" spans="1:10" hidden="1" x14ac:dyDescent="0.35">
      <c r="A477" t="str">
        <f t="shared" si="7"/>
        <v>Ladainha20164.8</v>
      </c>
      <c r="B477">
        <v>3137007</v>
      </c>
      <c r="C477" t="s">
        <v>50</v>
      </c>
      <c r="D477">
        <v>2016</v>
      </c>
      <c r="E477">
        <v>1</v>
      </c>
      <c r="F477">
        <v>56</v>
      </c>
      <c r="G477" t="s">
        <v>37</v>
      </c>
      <c r="H477" t="s">
        <v>29</v>
      </c>
      <c r="I477" s="1" t="s">
        <v>38</v>
      </c>
      <c r="J477">
        <v>4800.51</v>
      </c>
    </row>
    <row r="478" spans="1:10" hidden="1" x14ac:dyDescent="0.35">
      <c r="A478" t="str">
        <f t="shared" si="7"/>
        <v>Ladainha20164.9</v>
      </c>
      <c r="B478">
        <v>3137007</v>
      </c>
      <c r="C478" t="s">
        <v>50</v>
      </c>
      <c r="D478">
        <v>2016</v>
      </c>
      <c r="E478">
        <v>1</v>
      </c>
      <c r="F478">
        <v>57</v>
      </c>
      <c r="G478" t="s">
        <v>39</v>
      </c>
      <c r="H478" t="s">
        <v>29</v>
      </c>
      <c r="I478" s="1" t="s">
        <v>40</v>
      </c>
      <c r="J478">
        <v>4800.51</v>
      </c>
    </row>
    <row r="479" spans="1:10" hidden="1" x14ac:dyDescent="0.35">
      <c r="A479" t="str">
        <f t="shared" si="7"/>
        <v>Machacalis20161.1</v>
      </c>
      <c r="B479">
        <v>3138906</v>
      </c>
      <c r="C479" t="s">
        <v>51</v>
      </c>
      <c r="D479">
        <v>2016</v>
      </c>
      <c r="E479">
        <v>1</v>
      </c>
      <c r="F479">
        <v>24</v>
      </c>
      <c r="G479" t="s">
        <v>10</v>
      </c>
      <c r="H479" t="s">
        <v>11</v>
      </c>
      <c r="I479" s="1" t="s">
        <v>12</v>
      </c>
      <c r="J479">
        <v>0.29909999999999998</v>
      </c>
    </row>
    <row r="480" spans="1:10" hidden="1" x14ac:dyDescent="0.35">
      <c r="A480" t="str">
        <f t="shared" si="7"/>
        <v>Machacalis20161.2</v>
      </c>
      <c r="B480">
        <v>3138906</v>
      </c>
      <c r="C480" t="s">
        <v>51</v>
      </c>
      <c r="D480">
        <v>2016</v>
      </c>
      <c r="E480">
        <v>1</v>
      </c>
      <c r="F480">
        <v>67</v>
      </c>
      <c r="G480" t="s">
        <v>13</v>
      </c>
      <c r="H480" t="s">
        <v>11</v>
      </c>
      <c r="I480" s="1" t="s">
        <v>14</v>
      </c>
      <c r="J480">
        <v>0.96399999999999997</v>
      </c>
    </row>
    <row r="481" spans="1:10" hidden="1" x14ac:dyDescent="0.35">
      <c r="A481" t="str">
        <f t="shared" si="7"/>
        <v>Machacalis20161.3</v>
      </c>
      <c r="B481">
        <v>3138906</v>
      </c>
      <c r="C481" t="s">
        <v>51</v>
      </c>
      <c r="D481">
        <v>2016</v>
      </c>
      <c r="E481">
        <v>1</v>
      </c>
      <c r="F481">
        <v>68</v>
      </c>
      <c r="G481" t="s">
        <v>15</v>
      </c>
      <c r="H481" t="s">
        <v>11</v>
      </c>
      <c r="I481" s="1" t="s">
        <v>16</v>
      </c>
      <c r="J481">
        <v>1.8700000000000001E-2</v>
      </c>
    </row>
    <row r="482" spans="1:10" hidden="1" x14ac:dyDescent="0.35">
      <c r="A482" t="str">
        <f t="shared" si="7"/>
        <v>Machacalis20162.1</v>
      </c>
      <c r="B482">
        <v>3138906</v>
      </c>
      <c r="C482" t="s">
        <v>51</v>
      </c>
      <c r="D482">
        <v>2016</v>
      </c>
      <c r="E482">
        <v>1</v>
      </c>
      <c r="F482">
        <v>28</v>
      </c>
      <c r="G482" t="s">
        <v>17</v>
      </c>
      <c r="H482" t="s">
        <v>18</v>
      </c>
      <c r="I482" s="1" t="s">
        <v>19</v>
      </c>
      <c r="J482">
        <v>3.7999999999999999E-2</v>
      </c>
    </row>
    <row r="483" spans="1:10" hidden="1" x14ac:dyDescent="0.35">
      <c r="A483" t="str">
        <f t="shared" si="7"/>
        <v>Machacalis20162.2</v>
      </c>
      <c r="B483">
        <v>3138906</v>
      </c>
      <c r="C483" t="s">
        <v>51</v>
      </c>
      <c r="D483">
        <v>2016</v>
      </c>
      <c r="E483">
        <v>1</v>
      </c>
      <c r="F483">
        <v>29</v>
      </c>
      <c r="G483" t="s">
        <v>20</v>
      </c>
      <c r="H483" t="s">
        <v>18</v>
      </c>
      <c r="I483" s="1" t="s">
        <v>21</v>
      </c>
      <c r="J483">
        <v>0.94469999999999998</v>
      </c>
    </row>
    <row r="484" spans="1:10" hidden="1" x14ac:dyDescent="0.35">
      <c r="A484" t="str">
        <f t="shared" si="7"/>
        <v>Machacalis20162.4</v>
      </c>
      <c r="B484">
        <v>3138906</v>
      </c>
      <c r="C484" t="s">
        <v>51</v>
      </c>
      <c r="D484">
        <v>2016</v>
      </c>
      <c r="E484">
        <v>1</v>
      </c>
      <c r="F484">
        <v>31</v>
      </c>
      <c r="G484" t="s">
        <v>22</v>
      </c>
      <c r="H484" t="s">
        <v>18</v>
      </c>
      <c r="I484" s="1" t="s">
        <v>23</v>
      </c>
      <c r="J484">
        <v>0.13339999999999999</v>
      </c>
    </row>
    <row r="485" spans="1:10" hidden="1" x14ac:dyDescent="0.35">
      <c r="A485" t="str">
        <f t="shared" si="7"/>
        <v>Machacalis20162.5</v>
      </c>
      <c r="B485">
        <v>3138906</v>
      </c>
      <c r="C485" t="s">
        <v>51</v>
      </c>
      <c r="D485">
        <v>2016</v>
      </c>
      <c r="E485">
        <v>1</v>
      </c>
      <c r="F485">
        <v>32</v>
      </c>
      <c r="G485" t="s">
        <v>24</v>
      </c>
      <c r="H485" t="s">
        <v>18</v>
      </c>
      <c r="I485" s="1" t="s">
        <v>25</v>
      </c>
      <c r="J485">
        <v>0.75690000000000002</v>
      </c>
    </row>
    <row r="486" spans="1:10" hidden="1" x14ac:dyDescent="0.35">
      <c r="A486" t="str">
        <f t="shared" si="7"/>
        <v>Machacalis20162.8</v>
      </c>
      <c r="B486">
        <v>3138906</v>
      </c>
      <c r="C486" t="s">
        <v>51</v>
      </c>
      <c r="D486">
        <v>2016</v>
      </c>
      <c r="E486">
        <v>1</v>
      </c>
      <c r="F486">
        <v>35</v>
      </c>
      <c r="G486" t="s">
        <v>26</v>
      </c>
      <c r="H486" t="s">
        <v>18</v>
      </c>
      <c r="I486" s="1" t="s">
        <v>27</v>
      </c>
      <c r="J486">
        <v>0.25629999999999997</v>
      </c>
    </row>
    <row r="487" spans="1:10" hidden="1" x14ac:dyDescent="0.35">
      <c r="A487" t="str">
        <f t="shared" si="7"/>
        <v>Machacalis20164.1</v>
      </c>
      <c r="B487">
        <v>3138906</v>
      </c>
      <c r="C487" t="s">
        <v>51</v>
      </c>
      <c r="D487">
        <v>2016</v>
      </c>
      <c r="E487">
        <v>1</v>
      </c>
      <c r="F487">
        <v>44</v>
      </c>
      <c r="G487" t="s">
        <v>28</v>
      </c>
      <c r="H487" t="s">
        <v>29</v>
      </c>
      <c r="I487" s="1" t="s">
        <v>30</v>
      </c>
      <c r="J487">
        <v>2211.7800000000002</v>
      </c>
    </row>
    <row r="488" spans="1:10" hidden="1" x14ac:dyDescent="0.35">
      <c r="A488" t="str">
        <f t="shared" si="7"/>
        <v>Machacalis20164.10</v>
      </c>
      <c r="B488">
        <v>3138906</v>
      </c>
      <c r="C488" t="s">
        <v>51</v>
      </c>
      <c r="D488">
        <v>2016</v>
      </c>
      <c r="E488">
        <v>1</v>
      </c>
      <c r="F488">
        <v>58</v>
      </c>
      <c r="G488" t="s">
        <v>31</v>
      </c>
      <c r="H488" t="s">
        <v>29</v>
      </c>
      <c r="I488" s="1" t="s">
        <v>32</v>
      </c>
      <c r="J488">
        <v>3624.2</v>
      </c>
    </row>
    <row r="489" spans="1:10" hidden="1" x14ac:dyDescent="0.35">
      <c r="A489" t="str">
        <f t="shared" si="7"/>
        <v>Machacalis20164.11</v>
      </c>
      <c r="B489">
        <v>3138906</v>
      </c>
      <c r="C489" t="s">
        <v>51</v>
      </c>
      <c r="D489">
        <v>2016</v>
      </c>
      <c r="E489">
        <v>1</v>
      </c>
      <c r="F489">
        <v>59</v>
      </c>
      <c r="G489" t="s">
        <v>33</v>
      </c>
      <c r="H489" t="s">
        <v>29</v>
      </c>
      <c r="I489" s="1" t="s">
        <v>34</v>
      </c>
      <c r="J489">
        <v>299.63</v>
      </c>
    </row>
    <row r="490" spans="1:10" hidden="1" x14ac:dyDescent="0.35">
      <c r="A490" t="str">
        <f t="shared" si="7"/>
        <v>Machacalis20164.2</v>
      </c>
      <c r="B490">
        <v>3138906</v>
      </c>
      <c r="C490" t="s">
        <v>51</v>
      </c>
      <c r="D490">
        <v>2016</v>
      </c>
      <c r="E490">
        <v>1</v>
      </c>
      <c r="F490">
        <v>45</v>
      </c>
      <c r="G490" t="s">
        <v>35</v>
      </c>
      <c r="H490" t="s">
        <v>29</v>
      </c>
      <c r="I490" s="1" t="s">
        <v>36</v>
      </c>
      <c r="J490">
        <v>6596.5</v>
      </c>
    </row>
    <row r="491" spans="1:10" hidden="1" x14ac:dyDescent="0.35">
      <c r="A491" t="str">
        <f t="shared" si="7"/>
        <v>Machacalis20164.8</v>
      </c>
      <c r="B491">
        <v>3138906</v>
      </c>
      <c r="C491" t="s">
        <v>51</v>
      </c>
      <c r="D491">
        <v>2016</v>
      </c>
      <c r="E491">
        <v>1</v>
      </c>
      <c r="F491">
        <v>56</v>
      </c>
      <c r="G491" t="s">
        <v>37</v>
      </c>
      <c r="H491" t="s">
        <v>29</v>
      </c>
      <c r="I491" s="1" t="s">
        <v>38</v>
      </c>
      <c r="J491">
        <v>4928.78</v>
      </c>
    </row>
    <row r="492" spans="1:10" hidden="1" x14ac:dyDescent="0.35">
      <c r="A492" t="str">
        <f t="shared" si="7"/>
        <v>Machacalis20164.9</v>
      </c>
      <c r="B492">
        <v>3138906</v>
      </c>
      <c r="C492" t="s">
        <v>51</v>
      </c>
      <c r="D492">
        <v>2016</v>
      </c>
      <c r="E492">
        <v>1</v>
      </c>
      <c r="F492">
        <v>57</v>
      </c>
      <c r="G492" t="s">
        <v>39</v>
      </c>
      <c r="H492" t="s">
        <v>29</v>
      </c>
      <c r="I492" s="1" t="s">
        <v>40</v>
      </c>
      <c r="J492">
        <v>4833.47</v>
      </c>
    </row>
    <row r="493" spans="1:10" hidden="1" x14ac:dyDescent="0.35">
      <c r="A493" t="str">
        <f t="shared" si="7"/>
        <v>Malacacheta20161.1</v>
      </c>
      <c r="B493">
        <v>3139201</v>
      </c>
      <c r="C493" t="s">
        <v>52</v>
      </c>
      <c r="D493">
        <v>2016</v>
      </c>
      <c r="E493">
        <v>1</v>
      </c>
      <c r="F493">
        <v>24</v>
      </c>
      <c r="G493" t="s">
        <v>10</v>
      </c>
      <c r="H493" t="s">
        <v>11</v>
      </c>
      <c r="I493" s="1" t="s">
        <v>12</v>
      </c>
      <c r="J493">
        <v>0.25829999999999997</v>
      </c>
    </row>
    <row r="494" spans="1:10" hidden="1" x14ac:dyDescent="0.35">
      <c r="A494" t="str">
        <f t="shared" si="7"/>
        <v>Malacacheta20161.2</v>
      </c>
      <c r="B494">
        <v>3139201</v>
      </c>
      <c r="C494" t="s">
        <v>52</v>
      </c>
      <c r="D494">
        <v>2016</v>
      </c>
      <c r="E494">
        <v>1</v>
      </c>
      <c r="F494">
        <v>67</v>
      </c>
      <c r="G494" t="s">
        <v>13</v>
      </c>
      <c r="H494" t="s">
        <v>11</v>
      </c>
      <c r="I494" s="1" t="s">
        <v>14</v>
      </c>
      <c r="J494">
        <v>0.70169999999999999</v>
      </c>
    </row>
    <row r="495" spans="1:10" hidden="1" x14ac:dyDescent="0.35">
      <c r="A495" t="str">
        <f t="shared" si="7"/>
        <v>Malacacheta20161.3</v>
      </c>
      <c r="B495">
        <v>3139201</v>
      </c>
      <c r="C495" t="s">
        <v>52</v>
      </c>
      <c r="D495">
        <v>2016</v>
      </c>
      <c r="E495">
        <v>1</v>
      </c>
      <c r="F495">
        <v>68</v>
      </c>
      <c r="G495" t="s">
        <v>15</v>
      </c>
      <c r="H495" t="s">
        <v>11</v>
      </c>
      <c r="I495" s="1" t="s">
        <v>16</v>
      </c>
      <c r="J495">
        <v>0.28689999999999999</v>
      </c>
    </row>
    <row r="496" spans="1:10" hidden="1" x14ac:dyDescent="0.35">
      <c r="A496" t="str">
        <f t="shared" si="7"/>
        <v>Malacacheta20162.1</v>
      </c>
      <c r="B496">
        <v>3139201</v>
      </c>
      <c r="C496" t="s">
        <v>52</v>
      </c>
      <c r="D496">
        <v>2016</v>
      </c>
      <c r="E496">
        <v>1</v>
      </c>
      <c r="F496">
        <v>28</v>
      </c>
      <c r="G496" t="s">
        <v>17</v>
      </c>
      <c r="H496" t="s">
        <v>18</v>
      </c>
      <c r="I496" s="1" t="s">
        <v>19</v>
      </c>
      <c r="J496">
        <v>0.1492</v>
      </c>
    </row>
    <row r="497" spans="1:10" hidden="1" x14ac:dyDescent="0.35">
      <c r="A497" t="str">
        <f t="shared" si="7"/>
        <v>Malacacheta20162.2</v>
      </c>
      <c r="B497">
        <v>3139201</v>
      </c>
      <c r="C497" t="s">
        <v>52</v>
      </c>
      <c r="D497">
        <v>2016</v>
      </c>
      <c r="E497">
        <v>1</v>
      </c>
      <c r="F497">
        <v>29</v>
      </c>
      <c r="G497" t="s">
        <v>20</v>
      </c>
      <c r="H497" t="s">
        <v>18</v>
      </c>
      <c r="I497" s="1" t="s">
        <v>21</v>
      </c>
      <c r="J497">
        <v>0.64859999999999995</v>
      </c>
    </row>
    <row r="498" spans="1:10" hidden="1" x14ac:dyDescent="0.35">
      <c r="A498" t="str">
        <f t="shared" si="7"/>
        <v>Malacacheta20162.4</v>
      </c>
      <c r="B498">
        <v>3139201</v>
      </c>
      <c r="C498" t="s">
        <v>52</v>
      </c>
      <c r="D498">
        <v>2016</v>
      </c>
      <c r="E498">
        <v>1</v>
      </c>
      <c r="F498">
        <v>31</v>
      </c>
      <c r="G498" t="s">
        <v>22</v>
      </c>
      <c r="H498" t="s">
        <v>18</v>
      </c>
      <c r="I498" s="1" t="s">
        <v>23</v>
      </c>
      <c r="J498">
        <v>0.1515</v>
      </c>
    </row>
    <row r="499" spans="1:10" hidden="1" x14ac:dyDescent="0.35">
      <c r="A499" t="str">
        <f t="shared" si="7"/>
        <v>Malacacheta20162.5</v>
      </c>
      <c r="B499">
        <v>3139201</v>
      </c>
      <c r="C499" t="s">
        <v>52</v>
      </c>
      <c r="D499">
        <v>2016</v>
      </c>
      <c r="E499">
        <v>1</v>
      </c>
      <c r="F499">
        <v>32</v>
      </c>
      <c r="G499" t="s">
        <v>24</v>
      </c>
      <c r="H499" t="s">
        <v>18</v>
      </c>
      <c r="I499" s="1" t="s">
        <v>25</v>
      </c>
      <c r="J499">
        <v>0.45760000000000001</v>
      </c>
    </row>
    <row r="500" spans="1:10" hidden="1" x14ac:dyDescent="0.35">
      <c r="A500" t="str">
        <f t="shared" si="7"/>
        <v>Malacacheta20162.8</v>
      </c>
      <c r="B500">
        <v>3139201</v>
      </c>
      <c r="C500" t="s">
        <v>52</v>
      </c>
      <c r="D500">
        <v>2016</v>
      </c>
      <c r="E500">
        <v>1</v>
      </c>
      <c r="F500">
        <v>35</v>
      </c>
      <c r="G500" t="s">
        <v>26</v>
      </c>
      <c r="H500" t="s">
        <v>18</v>
      </c>
      <c r="I500" s="1" t="s">
        <v>27</v>
      </c>
      <c r="J500">
        <v>0.25059999999999999</v>
      </c>
    </row>
    <row r="501" spans="1:10" hidden="1" x14ac:dyDescent="0.35">
      <c r="A501" t="str">
        <f t="shared" si="7"/>
        <v>Malacacheta20164.1</v>
      </c>
      <c r="B501">
        <v>3139201</v>
      </c>
      <c r="C501" t="s">
        <v>52</v>
      </c>
      <c r="D501">
        <v>2016</v>
      </c>
      <c r="E501">
        <v>1</v>
      </c>
      <c r="F501">
        <v>44</v>
      </c>
      <c r="G501" t="s">
        <v>28</v>
      </c>
      <c r="H501" t="s">
        <v>29</v>
      </c>
      <c r="I501" s="1" t="s">
        <v>30</v>
      </c>
      <c r="J501">
        <v>2691.12</v>
      </c>
    </row>
    <row r="502" spans="1:10" hidden="1" x14ac:dyDescent="0.35">
      <c r="A502" t="str">
        <f t="shared" si="7"/>
        <v>Malacacheta20164.10</v>
      </c>
      <c r="B502">
        <v>3139201</v>
      </c>
      <c r="C502" t="s">
        <v>52</v>
      </c>
      <c r="D502">
        <v>2016</v>
      </c>
      <c r="E502">
        <v>1</v>
      </c>
      <c r="F502">
        <v>58</v>
      </c>
      <c r="G502" t="s">
        <v>31</v>
      </c>
      <c r="H502" t="s">
        <v>29</v>
      </c>
      <c r="I502" s="1" t="s">
        <v>32</v>
      </c>
      <c r="J502">
        <v>2403.02</v>
      </c>
    </row>
    <row r="503" spans="1:10" hidden="1" x14ac:dyDescent="0.35">
      <c r="A503" t="str">
        <f t="shared" si="7"/>
        <v>Malacacheta20164.11</v>
      </c>
      <c r="B503">
        <v>3139201</v>
      </c>
      <c r="C503" t="s">
        <v>52</v>
      </c>
      <c r="D503">
        <v>2016</v>
      </c>
      <c r="E503">
        <v>1</v>
      </c>
      <c r="F503">
        <v>59</v>
      </c>
      <c r="G503" t="s">
        <v>33</v>
      </c>
      <c r="H503" t="s">
        <v>29</v>
      </c>
      <c r="I503" s="1" t="s">
        <v>34</v>
      </c>
      <c r="J503">
        <v>1707.2</v>
      </c>
    </row>
    <row r="504" spans="1:10" hidden="1" x14ac:dyDescent="0.35">
      <c r="A504" t="str">
        <f t="shared" si="7"/>
        <v>Malacacheta20164.2</v>
      </c>
      <c r="B504">
        <v>3139201</v>
      </c>
      <c r="C504" t="s">
        <v>52</v>
      </c>
      <c r="D504">
        <v>2016</v>
      </c>
      <c r="E504">
        <v>1</v>
      </c>
      <c r="F504">
        <v>45</v>
      </c>
      <c r="G504" t="s">
        <v>35</v>
      </c>
      <c r="H504" t="s">
        <v>29</v>
      </c>
      <c r="I504" s="1" t="s">
        <v>36</v>
      </c>
      <c r="J504">
        <v>7864.53</v>
      </c>
    </row>
    <row r="505" spans="1:10" hidden="1" x14ac:dyDescent="0.35">
      <c r="A505" t="str">
        <f t="shared" si="7"/>
        <v>Malacacheta20164.8</v>
      </c>
      <c r="B505">
        <v>3139201</v>
      </c>
      <c r="C505" t="s">
        <v>52</v>
      </c>
      <c r="D505">
        <v>2016</v>
      </c>
      <c r="E505">
        <v>1</v>
      </c>
      <c r="F505">
        <v>56</v>
      </c>
      <c r="G505" t="s">
        <v>37</v>
      </c>
      <c r="H505" t="s">
        <v>29</v>
      </c>
      <c r="I505" s="1" t="s">
        <v>38</v>
      </c>
      <c r="J505">
        <v>5290.05</v>
      </c>
    </row>
    <row r="506" spans="1:10" hidden="1" x14ac:dyDescent="0.35">
      <c r="A506" t="str">
        <f t="shared" si="7"/>
        <v>Malacacheta20164.9</v>
      </c>
      <c r="B506">
        <v>3139201</v>
      </c>
      <c r="C506" t="s">
        <v>52</v>
      </c>
      <c r="D506">
        <v>2016</v>
      </c>
      <c r="E506">
        <v>1</v>
      </c>
      <c r="F506">
        <v>57</v>
      </c>
      <c r="G506" t="s">
        <v>39</v>
      </c>
      <c r="H506" t="s">
        <v>29</v>
      </c>
      <c r="I506" s="1" t="s">
        <v>40</v>
      </c>
      <c r="J506">
        <v>5290.05</v>
      </c>
    </row>
    <row r="507" spans="1:10" hidden="1" x14ac:dyDescent="0.35">
      <c r="A507" t="str">
        <f t="shared" si="7"/>
        <v>Nanuque20161.1</v>
      </c>
      <c r="B507">
        <v>3144300</v>
      </c>
      <c r="C507" t="s">
        <v>53</v>
      </c>
      <c r="D507">
        <v>2016</v>
      </c>
      <c r="E507">
        <v>1</v>
      </c>
      <c r="F507">
        <v>24</v>
      </c>
      <c r="G507" t="s">
        <v>10</v>
      </c>
      <c r="H507" t="s">
        <v>11</v>
      </c>
      <c r="I507" s="1" t="s">
        <v>12</v>
      </c>
      <c r="J507">
        <v>0.25040000000000001</v>
      </c>
    </row>
    <row r="508" spans="1:10" hidden="1" x14ac:dyDescent="0.35">
      <c r="A508" t="str">
        <f t="shared" si="7"/>
        <v>Nanuque20161.2</v>
      </c>
      <c r="B508">
        <v>3144300</v>
      </c>
      <c r="C508" t="s">
        <v>53</v>
      </c>
      <c r="D508">
        <v>2016</v>
      </c>
      <c r="E508">
        <v>1</v>
      </c>
      <c r="F508">
        <v>67</v>
      </c>
      <c r="G508" t="s">
        <v>13</v>
      </c>
      <c r="H508" t="s">
        <v>11</v>
      </c>
      <c r="I508" s="1" t="s">
        <v>14</v>
      </c>
      <c r="J508">
        <v>0.73839999999999995</v>
      </c>
    </row>
    <row r="509" spans="1:10" hidden="1" x14ac:dyDescent="0.35">
      <c r="A509" t="str">
        <f t="shared" si="7"/>
        <v>Nanuque20161.3</v>
      </c>
      <c r="B509">
        <v>3144300</v>
      </c>
      <c r="C509" t="s">
        <v>53</v>
      </c>
      <c r="D509">
        <v>2016</v>
      </c>
      <c r="E509">
        <v>1</v>
      </c>
      <c r="F509">
        <v>68</v>
      </c>
      <c r="G509" t="s">
        <v>15</v>
      </c>
      <c r="H509" t="s">
        <v>11</v>
      </c>
      <c r="I509" s="1" t="s">
        <v>16</v>
      </c>
      <c r="J509">
        <v>0.2616</v>
      </c>
    </row>
    <row r="510" spans="1:10" hidden="1" x14ac:dyDescent="0.35">
      <c r="A510" t="str">
        <f t="shared" si="7"/>
        <v>Nanuque20162.1</v>
      </c>
      <c r="B510">
        <v>3144300</v>
      </c>
      <c r="C510" t="s">
        <v>53</v>
      </c>
      <c r="D510">
        <v>2016</v>
      </c>
      <c r="E510">
        <v>1</v>
      </c>
      <c r="F510">
        <v>28</v>
      </c>
      <c r="G510" t="s">
        <v>17</v>
      </c>
      <c r="H510" t="s">
        <v>18</v>
      </c>
      <c r="I510" s="1" t="s">
        <v>19</v>
      </c>
      <c r="J510">
        <v>3.73E-2</v>
      </c>
    </row>
    <row r="511" spans="1:10" hidden="1" x14ac:dyDescent="0.35">
      <c r="A511" t="str">
        <f t="shared" si="7"/>
        <v>Nanuque20162.2</v>
      </c>
      <c r="B511">
        <v>3144300</v>
      </c>
      <c r="C511" t="s">
        <v>53</v>
      </c>
      <c r="D511">
        <v>2016</v>
      </c>
      <c r="E511">
        <v>1</v>
      </c>
      <c r="F511">
        <v>29</v>
      </c>
      <c r="G511" t="s">
        <v>20</v>
      </c>
      <c r="H511" t="s">
        <v>18</v>
      </c>
      <c r="I511" s="1" t="s">
        <v>21</v>
      </c>
      <c r="J511">
        <v>0.65669999999999995</v>
      </c>
    </row>
    <row r="512" spans="1:10" hidden="1" x14ac:dyDescent="0.35">
      <c r="A512" t="str">
        <f t="shared" si="7"/>
        <v>Nanuque20162.4</v>
      </c>
      <c r="B512">
        <v>3144300</v>
      </c>
      <c r="C512" t="s">
        <v>53</v>
      </c>
      <c r="D512">
        <v>2016</v>
      </c>
      <c r="E512">
        <v>1</v>
      </c>
      <c r="F512">
        <v>31</v>
      </c>
      <c r="G512" t="s">
        <v>22</v>
      </c>
      <c r="H512" t="s">
        <v>18</v>
      </c>
      <c r="I512" s="1" t="s">
        <v>23</v>
      </c>
      <c r="J512">
        <v>0.2954</v>
      </c>
    </row>
    <row r="513" spans="1:10" hidden="1" x14ac:dyDescent="0.35">
      <c r="A513" t="str">
        <f t="shared" si="7"/>
        <v>Nanuque20162.5</v>
      </c>
      <c r="B513">
        <v>3144300</v>
      </c>
      <c r="C513" t="s">
        <v>53</v>
      </c>
      <c r="D513">
        <v>2016</v>
      </c>
      <c r="E513">
        <v>1</v>
      </c>
      <c r="F513">
        <v>32</v>
      </c>
      <c r="G513" t="s">
        <v>24</v>
      </c>
      <c r="H513" t="s">
        <v>18</v>
      </c>
      <c r="I513" s="1" t="s">
        <v>25</v>
      </c>
      <c r="J513">
        <v>0.62960000000000005</v>
      </c>
    </row>
    <row r="514" spans="1:10" hidden="1" x14ac:dyDescent="0.35">
      <c r="A514" t="str">
        <f t="shared" si="7"/>
        <v>Nanuque20162.8</v>
      </c>
      <c r="B514">
        <v>3144300</v>
      </c>
      <c r="C514" t="s">
        <v>53</v>
      </c>
      <c r="D514">
        <v>2016</v>
      </c>
      <c r="E514">
        <v>1</v>
      </c>
      <c r="F514">
        <v>35</v>
      </c>
      <c r="G514" t="s">
        <v>26</v>
      </c>
      <c r="H514" t="s">
        <v>18</v>
      </c>
      <c r="I514" s="1" t="s">
        <v>27</v>
      </c>
      <c r="J514">
        <v>0.17860000000000001</v>
      </c>
    </row>
    <row r="515" spans="1:10" hidden="1" x14ac:dyDescent="0.35">
      <c r="A515" t="str">
        <f t="shared" si="7"/>
        <v>Nanuque20164.1</v>
      </c>
      <c r="B515">
        <v>3144300</v>
      </c>
      <c r="C515" t="s">
        <v>53</v>
      </c>
      <c r="D515">
        <v>2016</v>
      </c>
      <c r="E515">
        <v>1</v>
      </c>
      <c r="F515">
        <v>44</v>
      </c>
      <c r="G515" t="s">
        <v>28</v>
      </c>
      <c r="H515" t="s">
        <v>29</v>
      </c>
      <c r="I515" s="1" t="s">
        <v>30</v>
      </c>
      <c r="J515">
        <v>4657.3599999999997</v>
      </c>
    </row>
    <row r="516" spans="1:10" hidden="1" x14ac:dyDescent="0.35">
      <c r="A516" t="str">
        <f t="shared" ref="A516:A579" si="8">C516&amp;D516&amp;G516</f>
        <v>Nanuque20164.10</v>
      </c>
      <c r="B516">
        <v>3144300</v>
      </c>
      <c r="C516" t="s">
        <v>53</v>
      </c>
      <c r="D516">
        <v>2016</v>
      </c>
      <c r="E516">
        <v>1</v>
      </c>
      <c r="F516">
        <v>58</v>
      </c>
      <c r="G516" t="s">
        <v>31</v>
      </c>
      <c r="H516" t="s">
        <v>29</v>
      </c>
      <c r="I516" s="1" t="s">
        <v>32</v>
      </c>
      <c r="J516">
        <v>3160.16</v>
      </c>
    </row>
    <row r="517" spans="1:10" hidden="1" x14ac:dyDescent="0.35">
      <c r="A517" t="str">
        <f t="shared" si="8"/>
        <v>Nanuque20164.11</v>
      </c>
      <c r="B517">
        <v>3144300</v>
      </c>
      <c r="C517" t="s">
        <v>53</v>
      </c>
      <c r="D517">
        <v>2016</v>
      </c>
      <c r="E517">
        <v>1</v>
      </c>
      <c r="F517">
        <v>59</v>
      </c>
      <c r="G517" t="s">
        <v>33</v>
      </c>
      <c r="H517" t="s">
        <v>29</v>
      </c>
      <c r="I517" s="1" t="s">
        <v>34</v>
      </c>
      <c r="J517">
        <v>1423.53</v>
      </c>
    </row>
    <row r="518" spans="1:10" hidden="1" x14ac:dyDescent="0.35">
      <c r="A518" t="str">
        <f t="shared" si="8"/>
        <v>Nanuque20164.2</v>
      </c>
      <c r="B518">
        <v>3144300</v>
      </c>
      <c r="C518" t="s">
        <v>53</v>
      </c>
      <c r="D518">
        <v>2016</v>
      </c>
      <c r="E518">
        <v>1</v>
      </c>
      <c r="F518">
        <v>45</v>
      </c>
      <c r="G518" t="s">
        <v>35</v>
      </c>
      <c r="H518" t="s">
        <v>29</v>
      </c>
      <c r="I518" s="1" t="s">
        <v>36</v>
      </c>
      <c r="J518">
        <v>6604.35</v>
      </c>
    </row>
    <row r="519" spans="1:10" hidden="1" x14ac:dyDescent="0.35">
      <c r="A519" t="str">
        <f t="shared" si="8"/>
        <v>Nanuque20164.8</v>
      </c>
      <c r="B519">
        <v>3144300</v>
      </c>
      <c r="C519" t="s">
        <v>53</v>
      </c>
      <c r="D519">
        <v>2016</v>
      </c>
      <c r="E519">
        <v>1</v>
      </c>
      <c r="F519">
        <v>56</v>
      </c>
      <c r="G519" t="s">
        <v>37</v>
      </c>
      <c r="H519" t="s">
        <v>29</v>
      </c>
      <c r="I519" s="1" t="s">
        <v>38</v>
      </c>
      <c r="J519">
        <v>5466.01</v>
      </c>
    </row>
    <row r="520" spans="1:10" hidden="1" x14ac:dyDescent="0.35">
      <c r="A520" t="str">
        <f t="shared" si="8"/>
        <v>Nanuque20164.9</v>
      </c>
      <c r="B520">
        <v>3144300</v>
      </c>
      <c r="C520" t="s">
        <v>53</v>
      </c>
      <c r="D520">
        <v>2016</v>
      </c>
      <c r="E520">
        <v>1</v>
      </c>
      <c r="F520">
        <v>57</v>
      </c>
      <c r="G520" t="s">
        <v>39</v>
      </c>
      <c r="H520" t="s">
        <v>29</v>
      </c>
      <c r="I520" s="1" t="s">
        <v>40</v>
      </c>
      <c r="J520">
        <v>5466.01</v>
      </c>
    </row>
    <row r="521" spans="1:10" hidden="1" x14ac:dyDescent="0.35">
      <c r="A521" t="str">
        <f t="shared" si="8"/>
        <v>Novo Oriente de Minas20161.1</v>
      </c>
      <c r="B521">
        <v>3145356</v>
      </c>
      <c r="C521" t="s">
        <v>54</v>
      </c>
      <c r="D521">
        <v>2016</v>
      </c>
      <c r="E521">
        <v>1</v>
      </c>
      <c r="F521">
        <v>24</v>
      </c>
      <c r="G521" t="s">
        <v>10</v>
      </c>
      <c r="H521" t="s">
        <v>11</v>
      </c>
      <c r="I521" s="1" t="s">
        <v>12</v>
      </c>
      <c r="J521">
        <v>0.25109999999999999</v>
      </c>
    </row>
    <row r="522" spans="1:10" hidden="1" x14ac:dyDescent="0.35">
      <c r="A522" t="str">
        <f t="shared" si="8"/>
        <v>Novo Oriente de Minas20161.2</v>
      </c>
      <c r="B522">
        <v>3145356</v>
      </c>
      <c r="C522" t="s">
        <v>54</v>
      </c>
      <c r="D522">
        <v>2016</v>
      </c>
      <c r="E522">
        <v>1</v>
      </c>
      <c r="F522">
        <v>67</v>
      </c>
      <c r="G522" t="s">
        <v>13</v>
      </c>
      <c r="H522" t="s">
        <v>11</v>
      </c>
      <c r="I522" s="1" t="s">
        <v>14</v>
      </c>
      <c r="J522">
        <v>0.69450000000000001</v>
      </c>
    </row>
    <row r="523" spans="1:10" hidden="1" x14ac:dyDescent="0.35">
      <c r="A523" t="str">
        <f t="shared" si="8"/>
        <v>Novo Oriente de Minas20161.3</v>
      </c>
      <c r="B523">
        <v>3145356</v>
      </c>
      <c r="C523" t="s">
        <v>54</v>
      </c>
      <c r="D523">
        <v>2016</v>
      </c>
      <c r="E523">
        <v>1</v>
      </c>
      <c r="F523">
        <v>68</v>
      </c>
      <c r="G523" t="s">
        <v>15</v>
      </c>
      <c r="H523" t="s">
        <v>11</v>
      </c>
      <c r="I523" s="1" t="s">
        <v>16</v>
      </c>
      <c r="J523">
        <v>0.30549999999999999</v>
      </c>
    </row>
    <row r="524" spans="1:10" hidden="1" x14ac:dyDescent="0.35">
      <c r="A524" t="str">
        <f t="shared" si="8"/>
        <v>Novo Oriente de Minas20162.1</v>
      </c>
      <c r="B524">
        <v>3145356</v>
      </c>
      <c r="C524" t="s">
        <v>54</v>
      </c>
      <c r="D524">
        <v>2016</v>
      </c>
      <c r="E524">
        <v>1</v>
      </c>
      <c r="F524">
        <v>28</v>
      </c>
      <c r="G524" t="s">
        <v>17</v>
      </c>
      <c r="H524" t="s">
        <v>18</v>
      </c>
      <c r="I524" s="1" t="s">
        <v>19</v>
      </c>
      <c r="J524">
        <v>8.3299999999999999E-2</v>
      </c>
    </row>
    <row r="525" spans="1:10" hidden="1" x14ac:dyDescent="0.35">
      <c r="A525" t="str">
        <f t="shared" si="8"/>
        <v>Novo Oriente de Minas20162.2</v>
      </c>
      <c r="B525">
        <v>3145356</v>
      </c>
      <c r="C525" t="s">
        <v>54</v>
      </c>
      <c r="D525">
        <v>2016</v>
      </c>
      <c r="E525">
        <v>1</v>
      </c>
      <c r="F525">
        <v>29</v>
      </c>
      <c r="G525" t="s">
        <v>20</v>
      </c>
      <c r="H525" t="s">
        <v>18</v>
      </c>
      <c r="I525" s="1" t="s">
        <v>21</v>
      </c>
      <c r="J525">
        <v>0.78500000000000003</v>
      </c>
    </row>
    <row r="526" spans="1:10" hidden="1" x14ac:dyDescent="0.35">
      <c r="A526" t="str">
        <f t="shared" si="8"/>
        <v>Novo Oriente de Minas20162.4</v>
      </c>
      <c r="B526">
        <v>3145356</v>
      </c>
      <c r="C526" t="s">
        <v>54</v>
      </c>
      <c r="D526">
        <v>2016</v>
      </c>
      <c r="E526">
        <v>1</v>
      </c>
      <c r="F526">
        <v>31</v>
      </c>
      <c r="G526" t="s">
        <v>22</v>
      </c>
      <c r="H526" t="s">
        <v>18</v>
      </c>
      <c r="I526" s="1" t="s">
        <v>23</v>
      </c>
      <c r="J526">
        <v>0.1217</v>
      </c>
    </row>
    <row r="527" spans="1:10" hidden="1" x14ac:dyDescent="0.35">
      <c r="A527" t="str">
        <f t="shared" si="8"/>
        <v>Novo Oriente de Minas20162.5</v>
      </c>
      <c r="B527">
        <v>3145356</v>
      </c>
      <c r="C527" t="s">
        <v>54</v>
      </c>
      <c r="D527">
        <v>2016</v>
      </c>
      <c r="E527">
        <v>1</v>
      </c>
      <c r="F527">
        <v>32</v>
      </c>
      <c r="G527" t="s">
        <v>24</v>
      </c>
      <c r="H527" t="s">
        <v>18</v>
      </c>
      <c r="I527" s="1" t="s">
        <v>25</v>
      </c>
      <c r="J527">
        <v>0.72550000000000003</v>
      </c>
    </row>
    <row r="528" spans="1:10" hidden="1" x14ac:dyDescent="0.35">
      <c r="A528" t="str">
        <f t="shared" si="8"/>
        <v>Novo Oriente de Minas20162.8</v>
      </c>
      <c r="B528">
        <v>3145356</v>
      </c>
      <c r="C528" t="s">
        <v>54</v>
      </c>
      <c r="D528">
        <v>2016</v>
      </c>
      <c r="E528">
        <v>1</v>
      </c>
      <c r="F528">
        <v>35</v>
      </c>
      <c r="G528" t="s">
        <v>26</v>
      </c>
      <c r="H528" t="s">
        <v>18</v>
      </c>
      <c r="I528" s="1" t="s">
        <v>27</v>
      </c>
      <c r="J528">
        <v>0.32369999999999999</v>
      </c>
    </row>
    <row r="529" spans="1:10" hidden="1" x14ac:dyDescent="0.35">
      <c r="A529" t="str">
        <f t="shared" si="8"/>
        <v>Novo Oriente de Minas20164.1</v>
      </c>
      <c r="B529">
        <v>3145356</v>
      </c>
      <c r="C529" t="s">
        <v>54</v>
      </c>
      <c r="D529">
        <v>2016</v>
      </c>
      <c r="E529">
        <v>1</v>
      </c>
      <c r="F529">
        <v>44</v>
      </c>
      <c r="G529" t="s">
        <v>28</v>
      </c>
      <c r="H529" t="s">
        <v>29</v>
      </c>
      <c r="I529" s="1" t="s">
        <v>30</v>
      </c>
      <c r="J529">
        <v>2199.4299999999998</v>
      </c>
    </row>
    <row r="530" spans="1:10" hidden="1" x14ac:dyDescent="0.35">
      <c r="A530" t="str">
        <f t="shared" si="8"/>
        <v>Novo Oriente de Minas20164.10</v>
      </c>
      <c r="B530">
        <v>3145356</v>
      </c>
      <c r="C530" t="s">
        <v>54</v>
      </c>
      <c r="D530">
        <v>2016</v>
      </c>
      <c r="E530">
        <v>1</v>
      </c>
      <c r="F530">
        <v>58</v>
      </c>
      <c r="G530" t="s">
        <v>31</v>
      </c>
      <c r="H530" t="s">
        <v>29</v>
      </c>
      <c r="I530" s="1" t="s">
        <v>32</v>
      </c>
      <c r="J530">
        <v>2975.78</v>
      </c>
    </row>
    <row r="531" spans="1:10" hidden="1" x14ac:dyDescent="0.35">
      <c r="A531" t="str">
        <f t="shared" si="8"/>
        <v>Novo Oriente de Minas20164.11</v>
      </c>
      <c r="B531">
        <v>3145356</v>
      </c>
      <c r="C531" t="s">
        <v>54</v>
      </c>
      <c r="D531">
        <v>2016</v>
      </c>
      <c r="E531">
        <v>1</v>
      </c>
      <c r="F531">
        <v>59</v>
      </c>
      <c r="G531" t="s">
        <v>33</v>
      </c>
      <c r="H531" t="s">
        <v>29</v>
      </c>
      <c r="I531" s="1" t="s">
        <v>34</v>
      </c>
      <c r="J531">
        <v>1105.8800000000001</v>
      </c>
    </row>
    <row r="532" spans="1:10" hidden="1" x14ac:dyDescent="0.35">
      <c r="A532" t="str">
        <f t="shared" si="8"/>
        <v>Novo Oriente de Minas20164.2</v>
      </c>
      <c r="B532">
        <v>3145356</v>
      </c>
      <c r="C532" t="s">
        <v>54</v>
      </c>
      <c r="D532">
        <v>2016</v>
      </c>
      <c r="E532">
        <v>1</v>
      </c>
      <c r="F532">
        <v>45</v>
      </c>
      <c r="G532" t="s">
        <v>35</v>
      </c>
      <c r="H532" t="s">
        <v>29</v>
      </c>
      <c r="I532" s="1" t="s">
        <v>36</v>
      </c>
      <c r="J532">
        <v>7008.69</v>
      </c>
    </row>
    <row r="533" spans="1:10" hidden="1" x14ac:dyDescent="0.35">
      <c r="A533" t="str">
        <f t="shared" si="8"/>
        <v>Novo Oriente de Minas20164.8</v>
      </c>
      <c r="B533">
        <v>3145356</v>
      </c>
      <c r="C533" t="s">
        <v>54</v>
      </c>
      <c r="D533">
        <v>2016</v>
      </c>
      <c r="E533">
        <v>1</v>
      </c>
      <c r="F533">
        <v>56</v>
      </c>
      <c r="G533" t="s">
        <v>37</v>
      </c>
      <c r="H533" t="s">
        <v>29</v>
      </c>
      <c r="I533" s="1" t="s">
        <v>38</v>
      </c>
      <c r="J533">
        <v>5295.02</v>
      </c>
    </row>
    <row r="534" spans="1:10" hidden="1" x14ac:dyDescent="0.35">
      <c r="A534" t="str">
        <f t="shared" si="8"/>
        <v>Novo Oriente de Minas20164.9</v>
      </c>
      <c r="B534">
        <v>3145356</v>
      </c>
      <c r="C534" t="s">
        <v>54</v>
      </c>
      <c r="D534">
        <v>2016</v>
      </c>
      <c r="E534">
        <v>1</v>
      </c>
      <c r="F534">
        <v>57</v>
      </c>
      <c r="G534" t="s">
        <v>39</v>
      </c>
      <c r="H534" t="s">
        <v>29</v>
      </c>
      <c r="I534" s="1" t="s">
        <v>40</v>
      </c>
      <c r="J534">
        <v>5295.02</v>
      </c>
    </row>
    <row r="535" spans="1:10" hidden="1" x14ac:dyDescent="0.35">
      <c r="A535" t="str">
        <f t="shared" si="8"/>
        <v>Ouro Verde de Minas20161.1</v>
      </c>
      <c r="B535">
        <v>3146206</v>
      </c>
      <c r="C535" t="s">
        <v>55</v>
      </c>
      <c r="D535">
        <v>2016</v>
      </c>
      <c r="E535">
        <v>1</v>
      </c>
      <c r="F535">
        <v>24</v>
      </c>
      <c r="G535" t="s">
        <v>10</v>
      </c>
      <c r="H535" t="s">
        <v>11</v>
      </c>
      <c r="I535" s="1" t="s">
        <v>12</v>
      </c>
      <c r="J535">
        <v>0.2525</v>
      </c>
    </row>
    <row r="536" spans="1:10" hidden="1" x14ac:dyDescent="0.35">
      <c r="A536" t="str">
        <f t="shared" si="8"/>
        <v>Ouro Verde de Minas20161.2</v>
      </c>
      <c r="B536">
        <v>3146206</v>
      </c>
      <c r="C536" t="s">
        <v>55</v>
      </c>
      <c r="D536">
        <v>2016</v>
      </c>
      <c r="E536">
        <v>1</v>
      </c>
      <c r="F536">
        <v>67</v>
      </c>
      <c r="G536" t="s">
        <v>13</v>
      </c>
      <c r="H536" t="s">
        <v>11</v>
      </c>
      <c r="I536" s="1" t="s">
        <v>14</v>
      </c>
      <c r="J536">
        <v>0.92720000000000002</v>
      </c>
    </row>
    <row r="537" spans="1:10" hidden="1" x14ac:dyDescent="0.35">
      <c r="A537" t="str">
        <f t="shared" si="8"/>
        <v>Ouro Verde de Minas20161.3</v>
      </c>
      <c r="B537">
        <v>3146206</v>
      </c>
      <c r="C537" t="s">
        <v>55</v>
      </c>
      <c r="D537">
        <v>2016</v>
      </c>
      <c r="E537">
        <v>1</v>
      </c>
      <c r="F537">
        <v>68</v>
      </c>
      <c r="G537" t="s">
        <v>15</v>
      </c>
      <c r="H537" t="s">
        <v>11</v>
      </c>
      <c r="I537" s="1" t="s">
        <v>16</v>
      </c>
      <c r="J537">
        <v>7.2800000000000004E-2</v>
      </c>
    </row>
    <row r="538" spans="1:10" hidden="1" x14ac:dyDescent="0.35">
      <c r="A538" t="str">
        <f t="shared" si="8"/>
        <v>Ouro Verde de Minas20162.1</v>
      </c>
      <c r="B538">
        <v>3146206</v>
      </c>
      <c r="C538" t="s">
        <v>55</v>
      </c>
      <c r="D538">
        <v>2016</v>
      </c>
      <c r="E538">
        <v>1</v>
      </c>
      <c r="F538">
        <v>28</v>
      </c>
      <c r="G538" t="s">
        <v>17</v>
      </c>
      <c r="H538" t="s">
        <v>18</v>
      </c>
      <c r="I538" s="1" t="s">
        <v>19</v>
      </c>
      <c r="J538">
        <v>0.1062</v>
      </c>
    </row>
    <row r="539" spans="1:10" hidden="1" x14ac:dyDescent="0.35">
      <c r="A539" t="str">
        <f t="shared" si="8"/>
        <v>Ouro Verde de Minas20162.2</v>
      </c>
      <c r="B539">
        <v>3146206</v>
      </c>
      <c r="C539" t="s">
        <v>55</v>
      </c>
      <c r="D539">
        <v>2016</v>
      </c>
      <c r="E539">
        <v>1</v>
      </c>
      <c r="F539">
        <v>29</v>
      </c>
      <c r="G539" t="s">
        <v>20</v>
      </c>
      <c r="H539" t="s">
        <v>18</v>
      </c>
      <c r="I539" s="1" t="s">
        <v>21</v>
      </c>
      <c r="J539">
        <v>0.75649999999999995</v>
      </c>
    </row>
    <row r="540" spans="1:10" hidden="1" x14ac:dyDescent="0.35">
      <c r="A540" t="str">
        <f t="shared" si="8"/>
        <v>Ouro Verde de Minas20162.4</v>
      </c>
      <c r="B540">
        <v>3146206</v>
      </c>
      <c r="C540" t="s">
        <v>55</v>
      </c>
      <c r="D540">
        <v>2016</v>
      </c>
      <c r="E540">
        <v>1</v>
      </c>
      <c r="F540">
        <v>31</v>
      </c>
      <c r="G540" t="s">
        <v>22</v>
      </c>
      <c r="H540" t="s">
        <v>18</v>
      </c>
      <c r="I540" s="1" t="s">
        <v>23</v>
      </c>
      <c r="J540">
        <v>0.1245</v>
      </c>
    </row>
    <row r="541" spans="1:10" hidden="1" x14ac:dyDescent="0.35">
      <c r="A541" t="str">
        <f t="shared" si="8"/>
        <v>Ouro Verde de Minas20162.5</v>
      </c>
      <c r="B541">
        <v>3146206</v>
      </c>
      <c r="C541" t="s">
        <v>55</v>
      </c>
      <c r="D541">
        <v>2016</v>
      </c>
      <c r="E541">
        <v>1</v>
      </c>
      <c r="F541">
        <v>32</v>
      </c>
      <c r="G541" t="s">
        <v>24</v>
      </c>
      <c r="H541" t="s">
        <v>18</v>
      </c>
      <c r="I541" s="1" t="s">
        <v>25</v>
      </c>
      <c r="J541">
        <v>0.61619999999999997</v>
      </c>
    </row>
    <row r="542" spans="1:10" hidden="1" x14ac:dyDescent="0.35">
      <c r="A542" t="str">
        <f t="shared" si="8"/>
        <v>Ouro Verde de Minas20162.8</v>
      </c>
      <c r="B542">
        <v>3146206</v>
      </c>
      <c r="C542" t="s">
        <v>55</v>
      </c>
      <c r="D542">
        <v>2016</v>
      </c>
      <c r="E542">
        <v>1</v>
      </c>
      <c r="F542">
        <v>35</v>
      </c>
      <c r="G542" t="s">
        <v>26</v>
      </c>
      <c r="H542" t="s">
        <v>18</v>
      </c>
      <c r="I542" s="1" t="s">
        <v>27</v>
      </c>
      <c r="J542">
        <v>0.31869999999999998</v>
      </c>
    </row>
    <row r="543" spans="1:10" hidden="1" x14ac:dyDescent="0.35">
      <c r="A543" t="str">
        <f t="shared" si="8"/>
        <v>Ouro Verde de Minas20164.1</v>
      </c>
      <c r="B543">
        <v>3146206</v>
      </c>
      <c r="C543" t="s">
        <v>55</v>
      </c>
      <c r="D543">
        <v>2016</v>
      </c>
      <c r="E543">
        <v>1</v>
      </c>
      <c r="F543">
        <v>44</v>
      </c>
      <c r="G543" t="s">
        <v>28</v>
      </c>
      <c r="H543" t="s">
        <v>29</v>
      </c>
      <c r="I543" s="1" t="s">
        <v>30</v>
      </c>
      <c r="J543">
        <v>3082.81</v>
      </c>
    </row>
    <row r="544" spans="1:10" hidden="1" x14ac:dyDescent="0.35">
      <c r="A544" t="str">
        <f t="shared" si="8"/>
        <v>Ouro Verde de Minas20164.10</v>
      </c>
      <c r="B544">
        <v>3146206</v>
      </c>
      <c r="C544" t="s">
        <v>55</v>
      </c>
      <c r="D544">
        <v>2016</v>
      </c>
      <c r="E544">
        <v>1</v>
      </c>
      <c r="F544">
        <v>58</v>
      </c>
      <c r="G544" t="s">
        <v>31</v>
      </c>
      <c r="H544" t="s">
        <v>29</v>
      </c>
      <c r="I544" s="1" t="s">
        <v>32</v>
      </c>
      <c r="J544">
        <v>4361.26</v>
      </c>
    </row>
    <row r="545" spans="1:10" hidden="1" x14ac:dyDescent="0.35">
      <c r="A545" t="str">
        <f t="shared" si="8"/>
        <v>Ouro Verde de Minas20164.11</v>
      </c>
      <c r="B545">
        <v>3146206</v>
      </c>
      <c r="C545" t="s">
        <v>55</v>
      </c>
      <c r="D545">
        <v>2016</v>
      </c>
      <c r="E545">
        <v>1</v>
      </c>
      <c r="F545">
        <v>59</v>
      </c>
      <c r="G545" t="s">
        <v>33</v>
      </c>
      <c r="H545" t="s">
        <v>29</v>
      </c>
      <c r="I545" s="1" t="s">
        <v>34</v>
      </c>
      <c r="J545">
        <v>1176.58</v>
      </c>
    </row>
    <row r="546" spans="1:10" hidden="1" x14ac:dyDescent="0.35">
      <c r="A546" t="str">
        <f t="shared" si="8"/>
        <v>Ouro Verde de Minas20164.2</v>
      </c>
      <c r="B546">
        <v>3146206</v>
      </c>
      <c r="C546" t="s">
        <v>55</v>
      </c>
      <c r="D546">
        <v>2016</v>
      </c>
      <c r="E546">
        <v>1</v>
      </c>
      <c r="F546">
        <v>45</v>
      </c>
      <c r="G546" t="s">
        <v>35</v>
      </c>
      <c r="H546" t="s">
        <v>29</v>
      </c>
      <c r="I546" s="1" t="s">
        <v>36</v>
      </c>
      <c r="J546">
        <v>7493.16</v>
      </c>
    </row>
    <row r="547" spans="1:10" hidden="1" x14ac:dyDescent="0.35">
      <c r="A547" t="str">
        <f t="shared" si="8"/>
        <v>Ouro Verde de Minas20164.8</v>
      </c>
      <c r="B547">
        <v>3146206</v>
      </c>
      <c r="C547" t="s">
        <v>55</v>
      </c>
      <c r="D547">
        <v>2016</v>
      </c>
      <c r="E547">
        <v>1</v>
      </c>
      <c r="F547">
        <v>56</v>
      </c>
      <c r="G547" t="s">
        <v>37</v>
      </c>
      <c r="H547" t="s">
        <v>29</v>
      </c>
      <c r="I547" s="1" t="s">
        <v>38</v>
      </c>
      <c r="J547">
        <v>5996.78</v>
      </c>
    </row>
    <row r="548" spans="1:10" hidden="1" x14ac:dyDescent="0.35">
      <c r="A548" t="str">
        <f t="shared" si="8"/>
        <v>Ouro Verde de Minas20164.9</v>
      </c>
      <c r="B548">
        <v>3146206</v>
      </c>
      <c r="C548" t="s">
        <v>55</v>
      </c>
      <c r="D548">
        <v>2016</v>
      </c>
      <c r="E548">
        <v>1</v>
      </c>
      <c r="F548">
        <v>57</v>
      </c>
      <c r="G548" t="s">
        <v>39</v>
      </c>
      <c r="H548" t="s">
        <v>29</v>
      </c>
      <c r="I548" s="1" t="s">
        <v>40</v>
      </c>
      <c r="J548">
        <v>5996.78</v>
      </c>
    </row>
    <row r="549" spans="1:10" hidden="1" x14ac:dyDescent="0.35">
      <c r="A549" t="str">
        <f t="shared" si="8"/>
        <v>Pavão20161.1</v>
      </c>
      <c r="B549">
        <v>3148509</v>
      </c>
      <c r="C549" t="s">
        <v>56</v>
      </c>
      <c r="D549">
        <v>2016</v>
      </c>
      <c r="E549">
        <v>1</v>
      </c>
      <c r="F549">
        <v>24</v>
      </c>
      <c r="G549" t="s">
        <v>10</v>
      </c>
      <c r="H549" t="s">
        <v>11</v>
      </c>
      <c r="I549" s="1" t="s">
        <v>12</v>
      </c>
      <c r="J549">
        <v>0.26300000000000001</v>
      </c>
    </row>
    <row r="550" spans="1:10" hidden="1" x14ac:dyDescent="0.35">
      <c r="A550" t="str">
        <f t="shared" si="8"/>
        <v>Pavão20161.2</v>
      </c>
      <c r="B550">
        <v>3148509</v>
      </c>
      <c r="C550" t="s">
        <v>56</v>
      </c>
      <c r="D550">
        <v>2016</v>
      </c>
      <c r="E550">
        <v>1</v>
      </c>
      <c r="F550">
        <v>67</v>
      </c>
      <c r="G550" t="s">
        <v>13</v>
      </c>
      <c r="H550" t="s">
        <v>11</v>
      </c>
      <c r="I550" s="1" t="s">
        <v>14</v>
      </c>
      <c r="J550">
        <v>0.78859999999999997</v>
      </c>
    </row>
    <row r="551" spans="1:10" hidden="1" x14ac:dyDescent="0.35">
      <c r="A551" t="str">
        <f t="shared" si="8"/>
        <v>Pavão20161.3</v>
      </c>
      <c r="B551">
        <v>3148509</v>
      </c>
      <c r="C551" t="s">
        <v>56</v>
      </c>
      <c r="D551">
        <v>2016</v>
      </c>
      <c r="E551">
        <v>1</v>
      </c>
      <c r="F551">
        <v>68</v>
      </c>
      <c r="G551" t="s">
        <v>15</v>
      </c>
      <c r="H551" t="s">
        <v>11</v>
      </c>
      <c r="I551" s="1" t="s">
        <v>16</v>
      </c>
      <c r="J551">
        <v>0.2114</v>
      </c>
    </row>
    <row r="552" spans="1:10" hidden="1" x14ac:dyDescent="0.35">
      <c r="A552" t="str">
        <f t="shared" si="8"/>
        <v>Pavão20162.1</v>
      </c>
      <c r="B552">
        <v>3148509</v>
      </c>
      <c r="C552" t="s">
        <v>56</v>
      </c>
      <c r="D552">
        <v>2016</v>
      </c>
      <c r="E552">
        <v>1</v>
      </c>
      <c r="F552">
        <v>28</v>
      </c>
      <c r="G552" t="s">
        <v>17</v>
      </c>
      <c r="H552" t="s">
        <v>18</v>
      </c>
      <c r="I552" s="1" t="s">
        <v>19</v>
      </c>
      <c r="J552">
        <v>0.33529999999999999</v>
      </c>
    </row>
    <row r="553" spans="1:10" hidden="1" x14ac:dyDescent="0.35">
      <c r="A553" t="str">
        <f t="shared" si="8"/>
        <v>Pavão20162.2</v>
      </c>
      <c r="B553">
        <v>3148509</v>
      </c>
      <c r="C553" t="s">
        <v>56</v>
      </c>
      <c r="D553">
        <v>2016</v>
      </c>
      <c r="E553">
        <v>1</v>
      </c>
      <c r="F553">
        <v>29</v>
      </c>
      <c r="G553" t="s">
        <v>20</v>
      </c>
      <c r="H553" t="s">
        <v>18</v>
      </c>
      <c r="I553" s="1" t="s">
        <v>21</v>
      </c>
      <c r="J553">
        <v>0.6552</v>
      </c>
    </row>
    <row r="554" spans="1:10" hidden="1" x14ac:dyDescent="0.35">
      <c r="A554" t="str">
        <f t="shared" si="8"/>
        <v>Pavão20162.4</v>
      </c>
      <c r="B554">
        <v>3148509</v>
      </c>
      <c r="C554" t="s">
        <v>56</v>
      </c>
      <c r="D554">
        <v>2016</v>
      </c>
      <c r="E554">
        <v>1</v>
      </c>
      <c r="F554">
        <v>31</v>
      </c>
      <c r="G554" t="s">
        <v>22</v>
      </c>
      <c r="H554" t="s">
        <v>18</v>
      </c>
      <c r="I554" s="1" t="s">
        <v>23</v>
      </c>
      <c r="J554">
        <v>0.20549999999999999</v>
      </c>
    </row>
    <row r="555" spans="1:10" hidden="1" x14ac:dyDescent="0.35">
      <c r="A555" t="str">
        <f t="shared" si="8"/>
        <v>Pavão20162.5</v>
      </c>
      <c r="B555">
        <v>3148509</v>
      </c>
      <c r="C555" t="s">
        <v>56</v>
      </c>
      <c r="D555">
        <v>2016</v>
      </c>
      <c r="E555">
        <v>1</v>
      </c>
      <c r="F555">
        <v>32</v>
      </c>
      <c r="G555" t="s">
        <v>24</v>
      </c>
      <c r="H555" t="s">
        <v>18</v>
      </c>
      <c r="I555" s="1" t="s">
        <v>25</v>
      </c>
      <c r="J555">
        <v>0.65800000000000003</v>
      </c>
    </row>
    <row r="556" spans="1:10" hidden="1" x14ac:dyDescent="0.35">
      <c r="A556" t="str">
        <f t="shared" si="8"/>
        <v>Pavão20162.8</v>
      </c>
      <c r="B556">
        <v>3148509</v>
      </c>
      <c r="C556" t="s">
        <v>56</v>
      </c>
      <c r="D556">
        <v>2016</v>
      </c>
      <c r="E556">
        <v>1</v>
      </c>
      <c r="F556">
        <v>35</v>
      </c>
      <c r="G556" t="s">
        <v>26</v>
      </c>
      <c r="H556" t="s">
        <v>18</v>
      </c>
      <c r="I556" s="1" t="s">
        <v>27</v>
      </c>
      <c r="J556">
        <v>0.29070000000000001</v>
      </c>
    </row>
    <row r="557" spans="1:10" hidden="1" x14ac:dyDescent="0.35">
      <c r="A557" t="str">
        <f t="shared" si="8"/>
        <v>Pavão20164.1</v>
      </c>
      <c r="B557">
        <v>3148509</v>
      </c>
      <c r="C557" t="s">
        <v>56</v>
      </c>
      <c r="D557">
        <v>2016</v>
      </c>
      <c r="E557">
        <v>1</v>
      </c>
      <c r="F557">
        <v>44</v>
      </c>
      <c r="G557" t="s">
        <v>28</v>
      </c>
      <c r="H557" t="s">
        <v>29</v>
      </c>
      <c r="I557" s="1" t="s">
        <v>30</v>
      </c>
      <c r="J557">
        <v>6015.94</v>
      </c>
    </row>
    <row r="558" spans="1:10" hidden="1" x14ac:dyDescent="0.35">
      <c r="A558" t="str">
        <f t="shared" si="8"/>
        <v>Pavão20164.10</v>
      </c>
      <c r="B558">
        <v>3148509</v>
      </c>
      <c r="C558" t="s">
        <v>56</v>
      </c>
      <c r="D558">
        <v>2016</v>
      </c>
      <c r="E558">
        <v>1</v>
      </c>
      <c r="F558">
        <v>58</v>
      </c>
      <c r="G558" t="s">
        <v>31</v>
      </c>
      <c r="H558" t="s">
        <v>29</v>
      </c>
      <c r="I558" s="1" t="s">
        <v>32</v>
      </c>
      <c r="J558">
        <v>5379.79</v>
      </c>
    </row>
    <row r="559" spans="1:10" hidden="1" x14ac:dyDescent="0.35">
      <c r="A559" t="str">
        <f t="shared" si="8"/>
        <v>Pavão20164.11</v>
      </c>
      <c r="B559">
        <v>3148509</v>
      </c>
      <c r="C559" t="s">
        <v>56</v>
      </c>
      <c r="D559">
        <v>2016</v>
      </c>
      <c r="E559">
        <v>1</v>
      </c>
      <c r="F559">
        <v>59</v>
      </c>
      <c r="G559" t="s">
        <v>33</v>
      </c>
      <c r="H559" t="s">
        <v>29</v>
      </c>
      <c r="I559" s="1" t="s">
        <v>34</v>
      </c>
      <c r="J559">
        <v>1697.84</v>
      </c>
    </row>
    <row r="560" spans="1:10" hidden="1" x14ac:dyDescent="0.35">
      <c r="A560" t="str">
        <f t="shared" si="8"/>
        <v>Pavão20164.2</v>
      </c>
      <c r="B560">
        <v>3148509</v>
      </c>
      <c r="C560" t="s">
        <v>56</v>
      </c>
      <c r="D560">
        <v>2016</v>
      </c>
      <c r="E560">
        <v>1</v>
      </c>
      <c r="F560">
        <v>45</v>
      </c>
      <c r="G560" t="s">
        <v>35</v>
      </c>
      <c r="H560" t="s">
        <v>29</v>
      </c>
      <c r="I560" s="1" t="s">
        <v>36</v>
      </c>
      <c r="J560">
        <v>9868.66</v>
      </c>
    </row>
    <row r="561" spans="1:10" hidden="1" x14ac:dyDescent="0.35">
      <c r="A561" t="str">
        <f t="shared" si="8"/>
        <v>Pavão20164.8</v>
      </c>
      <c r="B561">
        <v>3148509</v>
      </c>
      <c r="C561" t="s">
        <v>56</v>
      </c>
      <c r="D561">
        <v>2016</v>
      </c>
      <c r="E561">
        <v>1</v>
      </c>
      <c r="F561">
        <v>56</v>
      </c>
      <c r="G561" t="s">
        <v>37</v>
      </c>
      <c r="H561" t="s">
        <v>29</v>
      </c>
      <c r="I561" s="1" t="s">
        <v>38</v>
      </c>
      <c r="J561">
        <v>8651.1200000000008</v>
      </c>
    </row>
    <row r="562" spans="1:10" hidden="1" x14ac:dyDescent="0.35">
      <c r="A562" t="str">
        <f t="shared" si="8"/>
        <v>Pavão20164.9</v>
      </c>
      <c r="B562">
        <v>3148509</v>
      </c>
      <c r="C562" t="s">
        <v>56</v>
      </c>
      <c r="D562">
        <v>2016</v>
      </c>
      <c r="E562">
        <v>1</v>
      </c>
      <c r="F562">
        <v>57</v>
      </c>
      <c r="G562" t="s">
        <v>39</v>
      </c>
      <c r="H562" t="s">
        <v>29</v>
      </c>
      <c r="I562" s="1" t="s">
        <v>40</v>
      </c>
      <c r="J562">
        <v>8651.1200000000008</v>
      </c>
    </row>
    <row r="563" spans="1:10" hidden="1" x14ac:dyDescent="0.35">
      <c r="A563" t="str">
        <f t="shared" si="8"/>
        <v>Poté20161.1</v>
      </c>
      <c r="B563">
        <v>3152402</v>
      </c>
      <c r="C563" t="s">
        <v>57</v>
      </c>
      <c r="D563">
        <v>2016</v>
      </c>
      <c r="E563">
        <v>1</v>
      </c>
      <c r="F563">
        <v>24</v>
      </c>
      <c r="G563" t="s">
        <v>10</v>
      </c>
      <c r="H563" t="s">
        <v>11</v>
      </c>
      <c r="I563" s="1" t="s">
        <v>12</v>
      </c>
      <c r="J563">
        <v>0.27010000000000001</v>
      </c>
    </row>
    <row r="564" spans="1:10" hidden="1" x14ac:dyDescent="0.35">
      <c r="A564" t="str">
        <f t="shared" si="8"/>
        <v>Poté20161.2</v>
      </c>
      <c r="B564">
        <v>3152402</v>
      </c>
      <c r="C564" t="s">
        <v>57</v>
      </c>
      <c r="D564">
        <v>2016</v>
      </c>
      <c r="E564">
        <v>1</v>
      </c>
      <c r="F564">
        <v>67</v>
      </c>
      <c r="G564" t="s">
        <v>13</v>
      </c>
      <c r="H564" t="s">
        <v>11</v>
      </c>
      <c r="I564" s="1" t="s">
        <v>14</v>
      </c>
      <c r="J564">
        <v>0.85819999999999996</v>
      </c>
    </row>
    <row r="565" spans="1:10" hidden="1" x14ac:dyDescent="0.35">
      <c r="A565" t="str">
        <f t="shared" si="8"/>
        <v>Poté20161.3</v>
      </c>
      <c r="B565">
        <v>3152402</v>
      </c>
      <c r="C565" t="s">
        <v>57</v>
      </c>
      <c r="D565">
        <v>2016</v>
      </c>
      <c r="E565">
        <v>1</v>
      </c>
      <c r="F565">
        <v>68</v>
      </c>
      <c r="G565" t="s">
        <v>15</v>
      </c>
      <c r="H565" t="s">
        <v>11</v>
      </c>
      <c r="I565" s="1" t="s">
        <v>16</v>
      </c>
      <c r="J565">
        <v>0.14180000000000001</v>
      </c>
    </row>
    <row r="566" spans="1:10" hidden="1" x14ac:dyDescent="0.35">
      <c r="A566" t="str">
        <f t="shared" si="8"/>
        <v>Poté20162.1</v>
      </c>
      <c r="B566">
        <v>3152402</v>
      </c>
      <c r="C566" t="s">
        <v>57</v>
      </c>
      <c r="D566">
        <v>2016</v>
      </c>
      <c r="E566">
        <v>1</v>
      </c>
      <c r="F566">
        <v>28</v>
      </c>
      <c r="G566" t="s">
        <v>17</v>
      </c>
      <c r="H566" t="s">
        <v>18</v>
      </c>
      <c r="I566" s="1" t="s">
        <v>19</v>
      </c>
      <c r="J566">
        <v>7.3200000000000001E-2</v>
      </c>
    </row>
    <row r="567" spans="1:10" hidden="1" x14ac:dyDescent="0.35">
      <c r="A567" t="str">
        <f t="shared" si="8"/>
        <v>Poté20162.2</v>
      </c>
      <c r="B567">
        <v>3152402</v>
      </c>
      <c r="C567" t="s">
        <v>57</v>
      </c>
      <c r="D567">
        <v>2016</v>
      </c>
      <c r="E567">
        <v>1</v>
      </c>
      <c r="F567">
        <v>29</v>
      </c>
      <c r="G567" t="s">
        <v>20</v>
      </c>
      <c r="H567" t="s">
        <v>18</v>
      </c>
      <c r="I567" s="1" t="s">
        <v>21</v>
      </c>
      <c r="J567">
        <v>0.87560000000000004</v>
      </c>
    </row>
    <row r="568" spans="1:10" hidden="1" x14ac:dyDescent="0.35">
      <c r="A568" t="str">
        <f t="shared" si="8"/>
        <v>Poté20162.4</v>
      </c>
      <c r="B568">
        <v>3152402</v>
      </c>
      <c r="C568" t="s">
        <v>57</v>
      </c>
      <c r="D568">
        <v>2016</v>
      </c>
      <c r="E568">
        <v>1</v>
      </c>
      <c r="F568">
        <v>31</v>
      </c>
      <c r="G568" t="s">
        <v>22</v>
      </c>
      <c r="H568" t="s">
        <v>18</v>
      </c>
      <c r="I568" s="1" t="s">
        <v>23</v>
      </c>
      <c r="J568">
        <v>0.14269999999999999</v>
      </c>
    </row>
    <row r="569" spans="1:10" hidden="1" x14ac:dyDescent="0.35">
      <c r="A569" t="str">
        <f t="shared" si="8"/>
        <v>Poté20162.5</v>
      </c>
      <c r="B569">
        <v>3152402</v>
      </c>
      <c r="C569" t="s">
        <v>57</v>
      </c>
      <c r="D569">
        <v>2016</v>
      </c>
      <c r="E569">
        <v>1</v>
      </c>
      <c r="F569">
        <v>32</v>
      </c>
      <c r="G569" t="s">
        <v>24</v>
      </c>
      <c r="H569" t="s">
        <v>18</v>
      </c>
      <c r="I569" s="1" t="s">
        <v>25</v>
      </c>
      <c r="J569">
        <v>0.63490000000000002</v>
      </c>
    </row>
    <row r="570" spans="1:10" hidden="1" x14ac:dyDescent="0.35">
      <c r="A570" t="str">
        <f t="shared" si="8"/>
        <v>Poté20162.8</v>
      </c>
      <c r="B570">
        <v>3152402</v>
      </c>
      <c r="C570" t="s">
        <v>57</v>
      </c>
      <c r="D570">
        <v>2016</v>
      </c>
      <c r="E570">
        <v>1</v>
      </c>
      <c r="F570">
        <v>35</v>
      </c>
      <c r="G570" t="s">
        <v>26</v>
      </c>
      <c r="H570" t="s">
        <v>18</v>
      </c>
      <c r="I570" s="1" t="s">
        <v>27</v>
      </c>
      <c r="J570">
        <v>0.29099999999999998</v>
      </c>
    </row>
    <row r="571" spans="1:10" hidden="1" x14ac:dyDescent="0.35">
      <c r="A571" t="str">
        <f t="shared" si="8"/>
        <v>Poté20164.1</v>
      </c>
      <c r="B571">
        <v>3152402</v>
      </c>
      <c r="C571" t="s">
        <v>57</v>
      </c>
      <c r="D571">
        <v>2016</v>
      </c>
      <c r="E571">
        <v>1</v>
      </c>
      <c r="F571">
        <v>44</v>
      </c>
      <c r="G571" t="s">
        <v>28</v>
      </c>
      <c r="H571" t="s">
        <v>29</v>
      </c>
      <c r="I571" s="1" t="s">
        <v>30</v>
      </c>
      <c r="J571">
        <v>3175.67</v>
      </c>
    </row>
    <row r="572" spans="1:10" hidden="1" x14ac:dyDescent="0.35">
      <c r="A572" t="str">
        <f t="shared" si="8"/>
        <v>Poté20164.10</v>
      </c>
      <c r="B572">
        <v>3152402</v>
      </c>
      <c r="C572" t="s">
        <v>57</v>
      </c>
      <c r="D572">
        <v>2016</v>
      </c>
      <c r="E572">
        <v>1</v>
      </c>
      <c r="F572">
        <v>58</v>
      </c>
      <c r="G572" t="s">
        <v>31</v>
      </c>
      <c r="H572" t="s">
        <v>29</v>
      </c>
      <c r="I572" s="1" t="s">
        <v>32</v>
      </c>
      <c r="J572">
        <v>2693.38</v>
      </c>
    </row>
    <row r="573" spans="1:10" hidden="1" x14ac:dyDescent="0.35">
      <c r="A573" t="str">
        <f t="shared" si="8"/>
        <v>Poté20164.11</v>
      </c>
      <c r="B573">
        <v>3152402</v>
      </c>
      <c r="C573" t="s">
        <v>57</v>
      </c>
      <c r="D573">
        <v>2016</v>
      </c>
      <c r="E573">
        <v>1</v>
      </c>
      <c r="F573">
        <v>59</v>
      </c>
      <c r="G573" t="s">
        <v>33</v>
      </c>
      <c r="H573" t="s">
        <v>29</v>
      </c>
      <c r="I573" s="1" t="s">
        <v>34</v>
      </c>
      <c r="J573">
        <v>976.18</v>
      </c>
    </row>
    <row r="574" spans="1:10" hidden="1" x14ac:dyDescent="0.35">
      <c r="A574" t="str">
        <f t="shared" si="8"/>
        <v>Poté20164.2</v>
      </c>
      <c r="B574">
        <v>3152402</v>
      </c>
      <c r="C574" t="s">
        <v>57</v>
      </c>
      <c r="D574">
        <v>2016</v>
      </c>
      <c r="E574">
        <v>1</v>
      </c>
      <c r="F574">
        <v>45</v>
      </c>
      <c r="G574" t="s">
        <v>35</v>
      </c>
      <c r="H574" t="s">
        <v>29</v>
      </c>
      <c r="I574" s="1" t="s">
        <v>36</v>
      </c>
      <c r="J574">
        <v>5275.6</v>
      </c>
    </row>
    <row r="575" spans="1:10" hidden="1" x14ac:dyDescent="0.35">
      <c r="A575" t="str">
        <f t="shared" si="8"/>
        <v>Poté20164.8</v>
      </c>
      <c r="B575">
        <v>3152402</v>
      </c>
      <c r="C575" t="s">
        <v>57</v>
      </c>
      <c r="D575">
        <v>2016</v>
      </c>
      <c r="E575">
        <v>1</v>
      </c>
      <c r="F575">
        <v>56</v>
      </c>
      <c r="G575" t="s">
        <v>37</v>
      </c>
      <c r="H575" t="s">
        <v>29</v>
      </c>
      <c r="I575" s="1" t="s">
        <v>38</v>
      </c>
      <c r="J575">
        <v>4591.51</v>
      </c>
    </row>
    <row r="576" spans="1:10" hidden="1" x14ac:dyDescent="0.35">
      <c r="A576" t="str">
        <f t="shared" si="8"/>
        <v>Poté20164.9</v>
      </c>
      <c r="B576">
        <v>3152402</v>
      </c>
      <c r="C576" t="s">
        <v>57</v>
      </c>
      <c r="D576">
        <v>2016</v>
      </c>
      <c r="E576">
        <v>1</v>
      </c>
      <c r="F576">
        <v>57</v>
      </c>
      <c r="G576" t="s">
        <v>39</v>
      </c>
      <c r="H576" t="s">
        <v>29</v>
      </c>
      <c r="I576" s="1" t="s">
        <v>40</v>
      </c>
      <c r="J576">
        <v>4591.51</v>
      </c>
    </row>
    <row r="577" spans="1:10" hidden="1" x14ac:dyDescent="0.35">
      <c r="A577" t="str">
        <f t="shared" si="8"/>
        <v>Santa Helena de Minas20161.1</v>
      </c>
      <c r="B577">
        <v>3157658</v>
      </c>
      <c r="C577" t="s">
        <v>58</v>
      </c>
      <c r="D577">
        <v>2016</v>
      </c>
      <c r="E577">
        <v>1</v>
      </c>
      <c r="F577">
        <v>24</v>
      </c>
      <c r="G577" t="s">
        <v>10</v>
      </c>
      <c r="H577" t="s">
        <v>11</v>
      </c>
      <c r="I577" s="1" t="s">
        <v>12</v>
      </c>
      <c r="J577">
        <v>0.25600000000000001</v>
      </c>
    </row>
    <row r="578" spans="1:10" hidden="1" x14ac:dyDescent="0.35">
      <c r="A578" t="str">
        <f t="shared" si="8"/>
        <v>Santa Helena de Minas20161.2</v>
      </c>
      <c r="B578">
        <v>3157658</v>
      </c>
      <c r="C578" t="s">
        <v>58</v>
      </c>
      <c r="D578">
        <v>2016</v>
      </c>
      <c r="E578">
        <v>1</v>
      </c>
      <c r="F578">
        <v>67</v>
      </c>
      <c r="G578" t="s">
        <v>13</v>
      </c>
      <c r="H578" t="s">
        <v>11</v>
      </c>
      <c r="I578" s="1" t="s">
        <v>14</v>
      </c>
      <c r="J578">
        <v>0.81569999999999998</v>
      </c>
    </row>
    <row r="579" spans="1:10" hidden="1" x14ac:dyDescent="0.35">
      <c r="A579" t="str">
        <f t="shared" si="8"/>
        <v>Santa Helena de Minas20161.3</v>
      </c>
      <c r="B579">
        <v>3157658</v>
      </c>
      <c r="C579" t="s">
        <v>58</v>
      </c>
      <c r="D579">
        <v>2016</v>
      </c>
      <c r="E579">
        <v>1</v>
      </c>
      <c r="F579">
        <v>68</v>
      </c>
      <c r="G579" t="s">
        <v>15</v>
      </c>
      <c r="H579" t="s">
        <v>11</v>
      </c>
      <c r="I579" s="1" t="s">
        <v>16</v>
      </c>
      <c r="J579">
        <v>0.1842</v>
      </c>
    </row>
    <row r="580" spans="1:10" hidden="1" x14ac:dyDescent="0.35">
      <c r="A580" t="str">
        <f t="shared" ref="A580:A643" si="9">C580&amp;D580&amp;G580</f>
        <v>Santa Helena de Minas20162.1</v>
      </c>
      <c r="B580">
        <v>3157658</v>
      </c>
      <c r="C580" t="s">
        <v>58</v>
      </c>
      <c r="D580">
        <v>2016</v>
      </c>
      <c r="E580">
        <v>1</v>
      </c>
      <c r="F580">
        <v>28</v>
      </c>
      <c r="G580" t="s">
        <v>17</v>
      </c>
      <c r="H580" t="s">
        <v>18</v>
      </c>
      <c r="I580" s="1" t="s">
        <v>19</v>
      </c>
      <c r="J580">
        <v>3.3E-3</v>
      </c>
    </row>
    <row r="581" spans="1:10" hidden="1" x14ac:dyDescent="0.35">
      <c r="A581" t="str">
        <f t="shared" si="9"/>
        <v>Santa Helena de Minas20162.2</v>
      </c>
      <c r="B581">
        <v>3157658</v>
      </c>
      <c r="C581" t="s">
        <v>58</v>
      </c>
      <c r="D581">
        <v>2016</v>
      </c>
      <c r="E581">
        <v>1</v>
      </c>
      <c r="F581">
        <v>29</v>
      </c>
      <c r="G581" t="s">
        <v>20</v>
      </c>
      <c r="H581" t="s">
        <v>18</v>
      </c>
      <c r="I581" s="1" t="s">
        <v>21</v>
      </c>
      <c r="J581">
        <v>0.79139999999999999</v>
      </c>
    </row>
    <row r="582" spans="1:10" hidden="1" x14ac:dyDescent="0.35">
      <c r="A582" t="str">
        <f t="shared" si="9"/>
        <v>Santa Helena de Minas20162.4</v>
      </c>
      <c r="B582">
        <v>3157658</v>
      </c>
      <c r="C582" t="s">
        <v>58</v>
      </c>
      <c r="D582">
        <v>2016</v>
      </c>
      <c r="E582">
        <v>1</v>
      </c>
      <c r="F582">
        <v>31</v>
      </c>
      <c r="G582" t="s">
        <v>22</v>
      </c>
      <c r="H582" t="s">
        <v>18</v>
      </c>
      <c r="I582" s="1" t="s">
        <v>23</v>
      </c>
      <c r="J582">
        <v>0.10440000000000001</v>
      </c>
    </row>
    <row r="583" spans="1:10" hidden="1" x14ac:dyDescent="0.35">
      <c r="A583" t="str">
        <f t="shared" si="9"/>
        <v>Santa Helena de Minas20162.5</v>
      </c>
      <c r="B583">
        <v>3157658</v>
      </c>
      <c r="C583" t="s">
        <v>58</v>
      </c>
      <c r="D583">
        <v>2016</v>
      </c>
      <c r="E583">
        <v>1</v>
      </c>
      <c r="F583">
        <v>32</v>
      </c>
      <c r="G583" t="s">
        <v>24</v>
      </c>
      <c r="H583" t="s">
        <v>18</v>
      </c>
      <c r="I583" s="1" t="s">
        <v>25</v>
      </c>
      <c r="J583">
        <v>0.76780000000000004</v>
      </c>
    </row>
    <row r="584" spans="1:10" hidden="1" x14ac:dyDescent="0.35">
      <c r="A584" t="str">
        <f t="shared" si="9"/>
        <v>Santa Helena de Minas20162.8</v>
      </c>
      <c r="B584">
        <v>3157658</v>
      </c>
      <c r="C584" t="s">
        <v>58</v>
      </c>
      <c r="D584">
        <v>2016</v>
      </c>
      <c r="E584">
        <v>1</v>
      </c>
      <c r="F584">
        <v>35</v>
      </c>
      <c r="G584" t="s">
        <v>26</v>
      </c>
      <c r="H584" t="s">
        <v>18</v>
      </c>
      <c r="I584" s="1" t="s">
        <v>27</v>
      </c>
      <c r="J584">
        <v>0.25009999999999999</v>
      </c>
    </row>
    <row r="585" spans="1:10" hidden="1" x14ac:dyDescent="0.35">
      <c r="A585" t="str">
        <f t="shared" si="9"/>
        <v>Santa Helena de Minas20164.1</v>
      </c>
      <c r="B585">
        <v>3157658</v>
      </c>
      <c r="C585" t="s">
        <v>58</v>
      </c>
      <c r="D585">
        <v>2016</v>
      </c>
      <c r="E585">
        <v>1</v>
      </c>
      <c r="F585">
        <v>44</v>
      </c>
      <c r="G585" t="s">
        <v>28</v>
      </c>
      <c r="H585" t="s">
        <v>29</v>
      </c>
      <c r="I585" s="1" t="s">
        <v>30</v>
      </c>
      <c r="J585">
        <v>2399.7199999999998</v>
      </c>
    </row>
    <row r="586" spans="1:10" hidden="1" x14ac:dyDescent="0.35">
      <c r="A586" t="str">
        <f t="shared" si="9"/>
        <v>Santa Helena de Minas20164.10</v>
      </c>
      <c r="B586">
        <v>3157658</v>
      </c>
      <c r="C586" t="s">
        <v>58</v>
      </c>
      <c r="D586">
        <v>2016</v>
      </c>
      <c r="E586">
        <v>1</v>
      </c>
      <c r="F586">
        <v>58</v>
      </c>
      <c r="G586" t="s">
        <v>31</v>
      </c>
      <c r="H586" t="s">
        <v>29</v>
      </c>
      <c r="I586" s="1" t="s">
        <v>32</v>
      </c>
      <c r="J586">
        <v>3548.86</v>
      </c>
    </row>
    <row r="587" spans="1:10" hidden="1" x14ac:dyDescent="0.35">
      <c r="A587" t="str">
        <f t="shared" si="9"/>
        <v>Santa Helena de Minas20164.11</v>
      </c>
      <c r="B587">
        <v>3157658</v>
      </c>
      <c r="C587" t="s">
        <v>58</v>
      </c>
      <c r="D587">
        <v>2016</v>
      </c>
      <c r="E587">
        <v>1</v>
      </c>
      <c r="F587">
        <v>59</v>
      </c>
      <c r="G587" t="s">
        <v>33</v>
      </c>
      <c r="H587" t="s">
        <v>29</v>
      </c>
      <c r="I587" s="1" t="s">
        <v>34</v>
      </c>
      <c r="J587">
        <v>1392.82</v>
      </c>
    </row>
    <row r="588" spans="1:10" hidden="1" x14ac:dyDescent="0.35">
      <c r="A588" t="str">
        <f t="shared" si="9"/>
        <v>Santa Helena de Minas20164.2</v>
      </c>
      <c r="B588">
        <v>3157658</v>
      </c>
      <c r="C588" t="s">
        <v>58</v>
      </c>
      <c r="D588">
        <v>2016</v>
      </c>
      <c r="E588">
        <v>1</v>
      </c>
      <c r="F588">
        <v>45</v>
      </c>
      <c r="G588" t="s">
        <v>35</v>
      </c>
      <c r="H588" t="s">
        <v>29</v>
      </c>
      <c r="I588" s="1" t="s">
        <v>36</v>
      </c>
      <c r="J588">
        <v>6905.82</v>
      </c>
    </row>
    <row r="589" spans="1:10" hidden="1" x14ac:dyDescent="0.35">
      <c r="A589" t="str">
        <f t="shared" si="9"/>
        <v>Santa Helena de Minas20164.8</v>
      </c>
      <c r="B589">
        <v>3157658</v>
      </c>
      <c r="C589" t="s">
        <v>58</v>
      </c>
      <c r="D589">
        <v>2016</v>
      </c>
      <c r="E589">
        <v>1</v>
      </c>
      <c r="F589">
        <v>56</v>
      </c>
      <c r="G589" t="s">
        <v>37</v>
      </c>
      <c r="H589" t="s">
        <v>29</v>
      </c>
      <c r="I589" s="1" t="s">
        <v>38</v>
      </c>
      <c r="J589">
        <v>5647.13</v>
      </c>
    </row>
    <row r="590" spans="1:10" hidden="1" x14ac:dyDescent="0.35">
      <c r="A590" t="str">
        <f t="shared" si="9"/>
        <v>Santa Helena de Minas20164.9</v>
      </c>
      <c r="B590">
        <v>3157658</v>
      </c>
      <c r="C590" t="s">
        <v>58</v>
      </c>
      <c r="D590">
        <v>2016</v>
      </c>
      <c r="E590">
        <v>1</v>
      </c>
      <c r="F590">
        <v>57</v>
      </c>
      <c r="G590" t="s">
        <v>39</v>
      </c>
      <c r="H590" t="s">
        <v>29</v>
      </c>
      <c r="I590" s="1" t="s">
        <v>40</v>
      </c>
      <c r="J590">
        <v>5647.13</v>
      </c>
    </row>
    <row r="591" spans="1:10" hidden="1" x14ac:dyDescent="0.35">
      <c r="A591" t="str">
        <f t="shared" si="9"/>
        <v>Serra dos Aimorés20161.1</v>
      </c>
      <c r="B591">
        <v>3166709</v>
      </c>
      <c r="C591" t="s">
        <v>59</v>
      </c>
      <c r="D591">
        <v>2016</v>
      </c>
      <c r="E591">
        <v>1</v>
      </c>
      <c r="F591">
        <v>24</v>
      </c>
      <c r="G591" t="s">
        <v>10</v>
      </c>
      <c r="H591" t="s">
        <v>11</v>
      </c>
      <c r="I591" s="1" t="s">
        <v>12</v>
      </c>
      <c r="J591">
        <v>0.27889999999999998</v>
      </c>
    </row>
    <row r="592" spans="1:10" hidden="1" x14ac:dyDescent="0.35">
      <c r="A592" t="str">
        <f t="shared" si="9"/>
        <v>Serra dos Aimorés20161.2</v>
      </c>
      <c r="B592">
        <v>3166709</v>
      </c>
      <c r="C592" t="s">
        <v>59</v>
      </c>
      <c r="D592">
        <v>2016</v>
      </c>
      <c r="E592">
        <v>1</v>
      </c>
      <c r="F592">
        <v>67</v>
      </c>
      <c r="G592" t="s">
        <v>13</v>
      </c>
      <c r="H592" t="s">
        <v>11</v>
      </c>
      <c r="I592" s="1" t="s">
        <v>14</v>
      </c>
      <c r="J592">
        <v>0.90710000000000002</v>
      </c>
    </row>
    <row r="593" spans="1:10" hidden="1" x14ac:dyDescent="0.35">
      <c r="A593" t="str">
        <f t="shared" si="9"/>
        <v>Serra dos Aimorés20161.3</v>
      </c>
      <c r="B593">
        <v>3166709</v>
      </c>
      <c r="C593" t="s">
        <v>59</v>
      </c>
      <c r="D593">
        <v>2016</v>
      </c>
      <c r="E593">
        <v>1</v>
      </c>
      <c r="F593">
        <v>68</v>
      </c>
      <c r="G593" t="s">
        <v>15</v>
      </c>
      <c r="H593" t="s">
        <v>11</v>
      </c>
      <c r="I593" s="1" t="s">
        <v>16</v>
      </c>
      <c r="J593">
        <v>5.4600000000000003E-2</v>
      </c>
    </row>
    <row r="594" spans="1:10" hidden="1" x14ac:dyDescent="0.35">
      <c r="A594" t="str">
        <f t="shared" si="9"/>
        <v>Serra dos Aimorés20162.1</v>
      </c>
      <c r="B594">
        <v>3166709</v>
      </c>
      <c r="C594" t="s">
        <v>59</v>
      </c>
      <c r="D594">
        <v>2016</v>
      </c>
      <c r="E594">
        <v>1</v>
      </c>
      <c r="F594">
        <v>28</v>
      </c>
      <c r="G594" t="s">
        <v>17</v>
      </c>
      <c r="H594" t="s">
        <v>18</v>
      </c>
      <c r="I594" s="1" t="s">
        <v>19</v>
      </c>
      <c r="J594">
        <v>1.9099999999999999E-2</v>
      </c>
    </row>
    <row r="595" spans="1:10" hidden="1" x14ac:dyDescent="0.35">
      <c r="A595" t="str">
        <f t="shared" si="9"/>
        <v>Serra dos Aimorés20162.2</v>
      </c>
      <c r="B595">
        <v>3166709</v>
      </c>
      <c r="C595" t="s">
        <v>59</v>
      </c>
      <c r="D595">
        <v>2016</v>
      </c>
      <c r="E595">
        <v>1</v>
      </c>
      <c r="F595">
        <v>29</v>
      </c>
      <c r="G595" t="s">
        <v>20</v>
      </c>
      <c r="H595" t="s">
        <v>18</v>
      </c>
      <c r="I595" s="1" t="s">
        <v>21</v>
      </c>
      <c r="J595">
        <v>0.76100000000000001</v>
      </c>
    </row>
    <row r="596" spans="1:10" hidden="1" x14ac:dyDescent="0.35">
      <c r="A596" t="str">
        <f t="shared" si="9"/>
        <v>Serra dos Aimorés20162.4</v>
      </c>
      <c r="B596">
        <v>3166709</v>
      </c>
      <c r="C596" t="s">
        <v>59</v>
      </c>
      <c r="D596">
        <v>2016</v>
      </c>
      <c r="E596">
        <v>1</v>
      </c>
      <c r="F596">
        <v>31</v>
      </c>
      <c r="G596" t="s">
        <v>22</v>
      </c>
      <c r="H596" t="s">
        <v>18</v>
      </c>
      <c r="I596" s="1" t="s">
        <v>23</v>
      </c>
      <c r="J596">
        <v>0.1002</v>
      </c>
    </row>
    <row r="597" spans="1:10" hidden="1" x14ac:dyDescent="0.35">
      <c r="A597" t="str">
        <f t="shared" si="9"/>
        <v>Serra dos Aimorés20162.5</v>
      </c>
      <c r="B597">
        <v>3166709</v>
      </c>
      <c r="C597" t="s">
        <v>59</v>
      </c>
      <c r="D597">
        <v>2016</v>
      </c>
      <c r="E597">
        <v>1</v>
      </c>
      <c r="F597">
        <v>32</v>
      </c>
      <c r="G597" t="s">
        <v>24</v>
      </c>
      <c r="H597" t="s">
        <v>18</v>
      </c>
      <c r="I597" s="1" t="s">
        <v>25</v>
      </c>
      <c r="J597">
        <v>0.76990000000000003</v>
      </c>
    </row>
    <row r="598" spans="1:10" hidden="1" x14ac:dyDescent="0.35">
      <c r="A598" t="str">
        <f t="shared" si="9"/>
        <v>Serra dos Aimorés20162.8</v>
      </c>
      <c r="B598">
        <v>3166709</v>
      </c>
      <c r="C598" t="s">
        <v>59</v>
      </c>
      <c r="D598">
        <v>2016</v>
      </c>
      <c r="E598">
        <v>1</v>
      </c>
      <c r="F598">
        <v>35</v>
      </c>
      <c r="G598" t="s">
        <v>26</v>
      </c>
      <c r="H598" t="s">
        <v>18</v>
      </c>
      <c r="I598" s="1" t="s">
        <v>27</v>
      </c>
      <c r="J598">
        <v>0.34560000000000002</v>
      </c>
    </row>
    <row r="599" spans="1:10" hidden="1" x14ac:dyDescent="0.35">
      <c r="A599" t="str">
        <f t="shared" si="9"/>
        <v>Serra dos Aimorés20164.1</v>
      </c>
      <c r="B599">
        <v>3166709</v>
      </c>
      <c r="C599" t="s">
        <v>59</v>
      </c>
      <c r="D599">
        <v>2016</v>
      </c>
      <c r="E599">
        <v>1</v>
      </c>
      <c r="F599">
        <v>44</v>
      </c>
      <c r="G599" t="s">
        <v>28</v>
      </c>
      <c r="H599" t="s">
        <v>29</v>
      </c>
      <c r="I599" s="1" t="s">
        <v>30</v>
      </c>
      <c r="J599">
        <v>2049.94</v>
      </c>
    </row>
    <row r="600" spans="1:10" hidden="1" x14ac:dyDescent="0.35">
      <c r="A600" t="str">
        <f t="shared" si="9"/>
        <v>Serra dos Aimorés20164.10</v>
      </c>
      <c r="B600">
        <v>3166709</v>
      </c>
      <c r="C600" t="s">
        <v>59</v>
      </c>
      <c r="D600">
        <v>2016</v>
      </c>
      <c r="E600">
        <v>1</v>
      </c>
      <c r="F600">
        <v>58</v>
      </c>
      <c r="G600" t="s">
        <v>31</v>
      </c>
      <c r="H600" t="s">
        <v>29</v>
      </c>
      <c r="I600" s="1" t="s">
        <v>32</v>
      </c>
      <c r="J600">
        <v>3561.63</v>
      </c>
    </row>
    <row r="601" spans="1:10" hidden="1" x14ac:dyDescent="0.35">
      <c r="A601" t="str">
        <f t="shared" si="9"/>
        <v>Serra dos Aimorés20164.11</v>
      </c>
      <c r="B601">
        <v>3166709</v>
      </c>
      <c r="C601" t="s">
        <v>59</v>
      </c>
      <c r="D601">
        <v>2016</v>
      </c>
      <c r="E601">
        <v>1</v>
      </c>
      <c r="F601">
        <v>59</v>
      </c>
      <c r="G601" t="s">
        <v>33</v>
      </c>
      <c r="H601" t="s">
        <v>29</v>
      </c>
      <c r="I601" s="1" t="s">
        <v>34</v>
      </c>
      <c r="J601">
        <v>572.77</v>
      </c>
    </row>
    <row r="602" spans="1:10" hidden="1" x14ac:dyDescent="0.35">
      <c r="A602" t="str">
        <f t="shared" si="9"/>
        <v>Serra dos Aimorés20164.2</v>
      </c>
      <c r="B602">
        <v>3166709</v>
      </c>
      <c r="C602" t="s">
        <v>59</v>
      </c>
      <c r="D602">
        <v>2016</v>
      </c>
      <c r="E602">
        <v>1</v>
      </c>
      <c r="F602">
        <v>45</v>
      </c>
      <c r="G602" t="s">
        <v>35</v>
      </c>
      <c r="H602" t="s">
        <v>29</v>
      </c>
      <c r="I602" s="1" t="s">
        <v>36</v>
      </c>
      <c r="J602">
        <v>8221.44</v>
      </c>
    </row>
    <row r="603" spans="1:10" hidden="1" x14ac:dyDescent="0.35">
      <c r="A603" t="str">
        <f t="shared" si="9"/>
        <v>Serra dos Aimorés20164.8</v>
      </c>
      <c r="B603">
        <v>3166709</v>
      </c>
      <c r="C603" t="s">
        <v>59</v>
      </c>
      <c r="D603">
        <v>2016</v>
      </c>
      <c r="E603">
        <v>1</v>
      </c>
      <c r="F603">
        <v>56</v>
      </c>
      <c r="G603" t="s">
        <v>37</v>
      </c>
      <c r="H603" t="s">
        <v>29</v>
      </c>
      <c r="I603" s="1" t="s">
        <v>38</v>
      </c>
      <c r="J603">
        <v>5767.42</v>
      </c>
    </row>
    <row r="604" spans="1:10" hidden="1" x14ac:dyDescent="0.35">
      <c r="A604" t="str">
        <f t="shared" si="9"/>
        <v>Serra dos Aimorés20164.9</v>
      </c>
      <c r="B604">
        <v>3166709</v>
      </c>
      <c r="C604" t="s">
        <v>59</v>
      </c>
      <c r="D604">
        <v>2016</v>
      </c>
      <c r="E604">
        <v>1</v>
      </c>
      <c r="F604">
        <v>57</v>
      </c>
      <c r="G604" t="s">
        <v>39</v>
      </c>
      <c r="H604" t="s">
        <v>29</v>
      </c>
      <c r="I604" s="1" t="s">
        <v>40</v>
      </c>
      <c r="J604">
        <v>5767.42</v>
      </c>
    </row>
    <row r="605" spans="1:10" hidden="1" x14ac:dyDescent="0.35">
      <c r="A605" t="str">
        <f t="shared" si="9"/>
        <v>Setubinha20161.1</v>
      </c>
      <c r="B605">
        <v>3165552</v>
      </c>
      <c r="C605" t="s">
        <v>60</v>
      </c>
      <c r="D605">
        <v>2016</v>
      </c>
      <c r="E605">
        <v>1</v>
      </c>
      <c r="F605">
        <v>24</v>
      </c>
      <c r="G605" t="s">
        <v>10</v>
      </c>
      <c r="H605" t="s">
        <v>11</v>
      </c>
      <c r="I605" s="1" t="s">
        <v>12</v>
      </c>
      <c r="J605">
        <v>0.27279999999999999</v>
      </c>
    </row>
    <row r="606" spans="1:10" hidden="1" x14ac:dyDescent="0.35">
      <c r="A606" t="str">
        <f t="shared" si="9"/>
        <v>Setubinha20161.2</v>
      </c>
      <c r="B606">
        <v>3165552</v>
      </c>
      <c r="C606" t="s">
        <v>60</v>
      </c>
      <c r="D606">
        <v>2016</v>
      </c>
      <c r="E606">
        <v>1</v>
      </c>
      <c r="F606">
        <v>67</v>
      </c>
      <c r="G606" t="s">
        <v>13</v>
      </c>
      <c r="H606" t="s">
        <v>11</v>
      </c>
      <c r="I606" s="1" t="s">
        <v>14</v>
      </c>
      <c r="J606">
        <v>0.69179999999999997</v>
      </c>
    </row>
    <row r="607" spans="1:10" hidden="1" x14ac:dyDescent="0.35">
      <c r="A607" t="str">
        <f t="shared" si="9"/>
        <v>Setubinha20161.3</v>
      </c>
      <c r="B607">
        <v>3165552</v>
      </c>
      <c r="C607" t="s">
        <v>60</v>
      </c>
      <c r="D607">
        <v>2016</v>
      </c>
      <c r="E607">
        <v>1</v>
      </c>
      <c r="F607">
        <v>68</v>
      </c>
      <c r="G607" t="s">
        <v>15</v>
      </c>
      <c r="H607" t="s">
        <v>11</v>
      </c>
      <c r="I607" s="1" t="s">
        <v>16</v>
      </c>
      <c r="J607">
        <v>0.29770000000000002</v>
      </c>
    </row>
    <row r="608" spans="1:10" hidden="1" x14ac:dyDescent="0.35">
      <c r="A608" t="str">
        <f t="shared" si="9"/>
        <v>Setubinha20162.1</v>
      </c>
      <c r="B608">
        <v>3165552</v>
      </c>
      <c r="C608" t="s">
        <v>60</v>
      </c>
      <c r="D608">
        <v>2016</v>
      </c>
      <c r="E608">
        <v>1</v>
      </c>
      <c r="F608">
        <v>28</v>
      </c>
      <c r="G608" t="s">
        <v>17</v>
      </c>
      <c r="H608" t="s">
        <v>18</v>
      </c>
      <c r="I608" s="1" t="s">
        <v>19</v>
      </c>
      <c r="J608">
        <v>4.0500000000000001E-2</v>
      </c>
    </row>
    <row r="609" spans="1:10" hidden="1" x14ac:dyDescent="0.35">
      <c r="A609" t="str">
        <f t="shared" si="9"/>
        <v>Setubinha20162.2</v>
      </c>
      <c r="B609">
        <v>3165552</v>
      </c>
      <c r="C609" t="s">
        <v>60</v>
      </c>
      <c r="D609">
        <v>2016</v>
      </c>
      <c r="E609">
        <v>1</v>
      </c>
      <c r="F609">
        <v>29</v>
      </c>
      <c r="G609" t="s">
        <v>20</v>
      </c>
      <c r="H609" t="s">
        <v>18</v>
      </c>
      <c r="I609" s="1" t="s">
        <v>21</v>
      </c>
      <c r="J609">
        <v>0.78110000000000002</v>
      </c>
    </row>
    <row r="610" spans="1:10" hidden="1" x14ac:dyDescent="0.35">
      <c r="A610" t="str">
        <f t="shared" si="9"/>
        <v>Setubinha20162.4</v>
      </c>
      <c r="B610">
        <v>3165552</v>
      </c>
      <c r="C610" t="s">
        <v>60</v>
      </c>
      <c r="D610">
        <v>2016</v>
      </c>
      <c r="E610">
        <v>1</v>
      </c>
      <c r="F610">
        <v>31</v>
      </c>
      <c r="G610" t="s">
        <v>22</v>
      </c>
      <c r="H610" t="s">
        <v>18</v>
      </c>
      <c r="I610" s="1" t="s">
        <v>23</v>
      </c>
      <c r="J610">
        <v>9.4E-2</v>
      </c>
    </row>
    <row r="611" spans="1:10" hidden="1" x14ac:dyDescent="0.35">
      <c r="A611" t="str">
        <f t="shared" si="9"/>
        <v>Setubinha20162.5</v>
      </c>
      <c r="B611">
        <v>3165552</v>
      </c>
      <c r="C611" t="s">
        <v>60</v>
      </c>
      <c r="D611">
        <v>2016</v>
      </c>
      <c r="E611">
        <v>1</v>
      </c>
      <c r="F611">
        <v>32</v>
      </c>
      <c r="G611" t="s">
        <v>24</v>
      </c>
      <c r="H611" t="s">
        <v>18</v>
      </c>
      <c r="I611" s="1" t="s">
        <v>25</v>
      </c>
      <c r="J611">
        <v>0.42930000000000001</v>
      </c>
    </row>
    <row r="612" spans="1:10" hidden="1" x14ac:dyDescent="0.35">
      <c r="A612" t="str">
        <f t="shared" si="9"/>
        <v>Setubinha20162.8</v>
      </c>
      <c r="B612">
        <v>3165552</v>
      </c>
      <c r="C612" t="s">
        <v>60</v>
      </c>
      <c r="D612">
        <v>2016</v>
      </c>
      <c r="E612">
        <v>1</v>
      </c>
      <c r="F612">
        <v>35</v>
      </c>
      <c r="G612" t="s">
        <v>26</v>
      </c>
      <c r="H612" t="s">
        <v>18</v>
      </c>
      <c r="I612" s="1" t="s">
        <v>27</v>
      </c>
      <c r="J612">
        <v>0.36259999999999998</v>
      </c>
    </row>
    <row r="613" spans="1:10" hidden="1" x14ac:dyDescent="0.35">
      <c r="A613" t="str">
        <f t="shared" si="9"/>
        <v>Setubinha20164.1</v>
      </c>
      <c r="B613">
        <v>3165552</v>
      </c>
      <c r="C613" t="s">
        <v>60</v>
      </c>
      <c r="D613">
        <v>2016</v>
      </c>
      <c r="E613">
        <v>1</v>
      </c>
      <c r="F613">
        <v>44</v>
      </c>
      <c r="G613" t="s">
        <v>28</v>
      </c>
      <c r="H613" t="s">
        <v>29</v>
      </c>
      <c r="I613" s="1" t="s">
        <v>30</v>
      </c>
      <c r="J613">
        <v>2491.9499999999998</v>
      </c>
    </row>
    <row r="614" spans="1:10" hidden="1" x14ac:dyDescent="0.35">
      <c r="A614" t="str">
        <f t="shared" si="9"/>
        <v>Setubinha20164.10</v>
      </c>
      <c r="B614">
        <v>3165552</v>
      </c>
      <c r="C614" t="s">
        <v>60</v>
      </c>
      <c r="D614">
        <v>2016</v>
      </c>
      <c r="E614">
        <v>1</v>
      </c>
      <c r="F614">
        <v>58</v>
      </c>
      <c r="G614" t="s">
        <v>31</v>
      </c>
      <c r="H614" t="s">
        <v>29</v>
      </c>
      <c r="I614" s="1" t="s">
        <v>32</v>
      </c>
      <c r="J614">
        <v>2429.23</v>
      </c>
    </row>
    <row r="615" spans="1:10" hidden="1" x14ac:dyDescent="0.35">
      <c r="A615" t="str">
        <f t="shared" si="9"/>
        <v>Setubinha20164.11</v>
      </c>
      <c r="B615">
        <v>3165552</v>
      </c>
      <c r="C615" t="s">
        <v>60</v>
      </c>
      <c r="D615">
        <v>2016</v>
      </c>
      <c r="E615">
        <v>1</v>
      </c>
      <c r="F615">
        <v>59</v>
      </c>
      <c r="G615" t="s">
        <v>33</v>
      </c>
      <c r="H615" t="s">
        <v>29</v>
      </c>
      <c r="I615" s="1" t="s">
        <v>34</v>
      </c>
      <c r="J615">
        <v>2252.62</v>
      </c>
    </row>
    <row r="616" spans="1:10" hidden="1" x14ac:dyDescent="0.35">
      <c r="A616" t="str">
        <f t="shared" si="9"/>
        <v>Setubinha20164.2</v>
      </c>
      <c r="B616">
        <v>3165552</v>
      </c>
      <c r="C616" t="s">
        <v>60</v>
      </c>
      <c r="D616">
        <v>2016</v>
      </c>
      <c r="E616">
        <v>1</v>
      </c>
      <c r="F616">
        <v>45</v>
      </c>
      <c r="G616" t="s">
        <v>35</v>
      </c>
      <c r="H616" t="s">
        <v>29</v>
      </c>
      <c r="I616" s="1" t="s">
        <v>36</v>
      </c>
      <c r="J616">
        <v>7079.08</v>
      </c>
    </row>
    <row r="617" spans="1:10" hidden="1" x14ac:dyDescent="0.35">
      <c r="A617" t="str">
        <f t="shared" si="9"/>
        <v>Setubinha20164.8</v>
      </c>
      <c r="B617">
        <v>3165552</v>
      </c>
      <c r="C617" t="s">
        <v>60</v>
      </c>
      <c r="D617">
        <v>2016</v>
      </c>
      <c r="E617">
        <v>1</v>
      </c>
      <c r="F617">
        <v>56</v>
      </c>
      <c r="G617" t="s">
        <v>37</v>
      </c>
      <c r="H617" t="s">
        <v>29</v>
      </c>
      <c r="I617" s="1" t="s">
        <v>38</v>
      </c>
      <c r="J617">
        <v>5320.06</v>
      </c>
    </row>
    <row r="618" spans="1:10" hidden="1" x14ac:dyDescent="0.35">
      <c r="A618" t="str">
        <f t="shared" si="9"/>
        <v>Setubinha20164.9</v>
      </c>
      <c r="B618">
        <v>3165552</v>
      </c>
      <c r="C618" t="s">
        <v>60</v>
      </c>
      <c r="D618">
        <v>2016</v>
      </c>
      <c r="E618">
        <v>1</v>
      </c>
      <c r="F618">
        <v>57</v>
      </c>
      <c r="G618" t="s">
        <v>39</v>
      </c>
      <c r="H618" t="s">
        <v>29</v>
      </c>
      <c r="I618" s="1" t="s">
        <v>40</v>
      </c>
      <c r="J618">
        <v>5320.06</v>
      </c>
    </row>
    <row r="619" spans="1:10" hidden="1" x14ac:dyDescent="0.35">
      <c r="A619" t="str">
        <f t="shared" si="9"/>
        <v>Teófilo Otoni20161.1</v>
      </c>
      <c r="B619">
        <v>3168606</v>
      </c>
      <c r="C619" t="s">
        <v>61</v>
      </c>
      <c r="D619">
        <v>2016</v>
      </c>
      <c r="E619">
        <v>1</v>
      </c>
      <c r="F619">
        <v>24</v>
      </c>
      <c r="G619" t="s">
        <v>10</v>
      </c>
      <c r="H619" t="s">
        <v>11</v>
      </c>
      <c r="I619" s="1" t="s">
        <v>12</v>
      </c>
      <c r="J619">
        <v>0.26040000000000002</v>
      </c>
    </row>
    <row r="620" spans="1:10" hidden="1" x14ac:dyDescent="0.35">
      <c r="A620" t="str">
        <f t="shared" si="9"/>
        <v>Teófilo Otoni20161.2</v>
      </c>
      <c r="B620">
        <v>3168606</v>
      </c>
      <c r="C620" t="s">
        <v>61</v>
      </c>
      <c r="D620">
        <v>2016</v>
      </c>
      <c r="E620">
        <v>1</v>
      </c>
      <c r="F620">
        <v>67</v>
      </c>
      <c r="G620" t="s">
        <v>13</v>
      </c>
      <c r="H620" t="s">
        <v>11</v>
      </c>
      <c r="I620" s="1" t="s">
        <v>14</v>
      </c>
      <c r="J620">
        <v>0.82279999999999998</v>
      </c>
    </row>
    <row r="621" spans="1:10" hidden="1" x14ac:dyDescent="0.35">
      <c r="A621" t="str">
        <f t="shared" si="9"/>
        <v>Teófilo Otoni20161.3</v>
      </c>
      <c r="B621">
        <v>3168606</v>
      </c>
      <c r="C621" t="s">
        <v>61</v>
      </c>
      <c r="D621">
        <v>2016</v>
      </c>
      <c r="E621">
        <v>1</v>
      </c>
      <c r="F621">
        <v>68</v>
      </c>
      <c r="G621" t="s">
        <v>15</v>
      </c>
      <c r="H621" t="s">
        <v>11</v>
      </c>
      <c r="I621" s="1" t="s">
        <v>16</v>
      </c>
      <c r="J621">
        <v>0.1772</v>
      </c>
    </row>
    <row r="622" spans="1:10" hidden="1" x14ac:dyDescent="0.35">
      <c r="A622" t="str">
        <f t="shared" si="9"/>
        <v>Teófilo Otoni20162.1</v>
      </c>
      <c r="B622">
        <v>3168606</v>
      </c>
      <c r="C622" t="s">
        <v>61</v>
      </c>
      <c r="D622">
        <v>2016</v>
      </c>
      <c r="E622">
        <v>1</v>
      </c>
      <c r="F622">
        <v>28</v>
      </c>
      <c r="G622" t="s">
        <v>17</v>
      </c>
      <c r="H622" t="s">
        <v>18</v>
      </c>
      <c r="I622" s="1" t="s">
        <v>19</v>
      </c>
      <c r="J622">
        <v>5.5300000000000002E-2</v>
      </c>
    </row>
    <row r="623" spans="1:10" hidden="1" x14ac:dyDescent="0.35">
      <c r="A623" t="str">
        <f t="shared" si="9"/>
        <v>Teófilo Otoni20162.2</v>
      </c>
      <c r="B623">
        <v>3168606</v>
      </c>
      <c r="C623" t="s">
        <v>61</v>
      </c>
      <c r="D623">
        <v>2016</v>
      </c>
      <c r="E623">
        <v>1</v>
      </c>
      <c r="F623">
        <v>29</v>
      </c>
      <c r="G623" t="s">
        <v>20</v>
      </c>
      <c r="H623" t="s">
        <v>18</v>
      </c>
      <c r="I623" s="1" t="s">
        <v>21</v>
      </c>
      <c r="J623">
        <v>0.76519999999999999</v>
      </c>
    </row>
    <row r="624" spans="1:10" hidden="1" x14ac:dyDescent="0.35">
      <c r="A624" t="str">
        <f t="shared" si="9"/>
        <v>Teófilo Otoni20162.4</v>
      </c>
      <c r="B624">
        <v>3168606</v>
      </c>
      <c r="C624" t="s">
        <v>61</v>
      </c>
      <c r="D624">
        <v>2016</v>
      </c>
      <c r="E624">
        <v>1</v>
      </c>
      <c r="F624">
        <v>31</v>
      </c>
      <c r="G624" t="s">
        <v>22</v>
      </c>
      <c r="H624" t="s">
        <v>18</v>
      </c>
      <c r="I624" s="1" t="s">
        <v>23</v>
      </c>
      <c r="J624">
        <v>0.18410000000000001</v>
      </c>
    </row>
    <row r="625" spans="1:10" hidden="1" x14ac:dyDescent="0.35">
      <c r="A625" t="str">
        <f t="shared" si="9"/>
        <v>Teófilo Otoni20162.5</v>
      </c>
      <c r="B625">
        <v>3168606</v>
      </c>
      <c r="C625" t="s">
        <v>61</v>
      </c>
      <c r="D625">
        <v>2016</v>
      </c>
      <c r="E625">
        <v>1</v>
      </c>
      <c r="F625">
        <v>32</v>
      </c>
      <c r="G625" t="s">
        <v>24</v>
      </c>
      <c r="H625" t="s">
        <v>18</v>
      </c>
      <c r="I625" s="1" t="s">
        <v>25</v>
      </c>
      <c r="J625">
        <v>0.62960000000000005</v>
      </c>
    </row>
    <row r="626" spans="1:10" hidden="1" x14ac:dyDescent="0.35">
      <c r="A626" t="str">
        <f t="shared" si="9"/>
        <v>Teófilo Otoni20162.8</v>
      </c>
      <c r="B626">
        <v>3168606</v>
      </c>
      <c r="C626" t="s">
        <v>61</v>
      </c>
      <c r="D626">
        <v>2016</v>
      </c>
      <c r="E626">
        <v>1</v>
      </c>
      <c r="F626">
        <v>35</v>
      </c>
      <c r="G626" t="s">
        <v>26</v>
      </c>
      <c r="H626" t="s">
        <v>18</v>
      </c>
      <c r="I626" s="1" t="s">
        <v>27</v>
      </c>
      <c r="J626">
        <v>0.17829999999999999</v>
      </c>
    </row>
    <row r="627" spans="1:10" hidden="1" x14ac:dyDescent="0.35">
      <c r="A627" t="str">
        <f t="shared" si="9"/>
        <v>Teófilo Otoni20164.1</v>
      </c>
      <c r="B627">
        <v>3168606</v>
      </c>
      <c r="C627" t="s">
        <v>61</v>
      </c>
      <c r="D627">
        <v>2016</v>
      </c>
      <c r="E627">
        <v>1</v>
      </c>
      <c r="F627">
        <v>44</v>
      </c>
      <c r="G627" t="s">
        <v>28</v>
      </c>
      <c r="H627" t="s">
        <v>29</v>
      </c>
      <c r="I627" s="1" t="s">
        <v>30</v>
      </c>
      <c r="J627">
        <v>3768.25</v>
      </c>
    </row>
    <row r="628" spans="1:10" hidden="1" x14ac:dyDescent="0.35">
      <c r="A628" t="str">
        <f t="shared" si="9"/>
        <v>Teófilo Otoni20164.10</v>
      </c>
      <c r="B628">
        <v>3168606</v>
      </c>
      <c r="C628" t="s">
        <v>61</v>
      </c>
      <c r="D628">
        <v>2016</v>
      </c>
      <c r="E628">
        <v>1</v>
      </c>
      <c r="F628">
        <v>58</v>
      </c>
      <c r="G628" t="s">
        <v>31</v>
      </c>
      <c r="H628" t="s">
        <v>29</v>
      </c>
      <c r="I628" s="1" t="s">
        <v>32</v>
      </c>
      <c r="J628">
        <v>3238.65</v>
      </c>
    </row>
    <row r="629" spans="1:10" hidden="1" x14ac:dyDescent="0.35">
      <c r="A629" t="str">
        <f t="shared" si="9"/>
        <v>Teófilo Otoni20164.11</v>
      </c>
      <c r="B629">
        <v>3168606</v>
      </c>
      <c r="C629" t="s">
        <v>61</v>
      </c>
      <c r="D629">
        <v>2016</v>
      </c>
      <c r="E629">
        <v>1</v>
      </c>
      <c r="F629">
        <v>59</v>
      </c>
      <c r="G629" t="s">
        <v>33</v>
      </c>
      <c r="H629" t="s">
        <v>29</v>
      </c>
      <c r="I629" s="1" t="s">
        <v>34</v>
      </c>
      <c r="J629">
        <v>670.12</v>
      </c>
    </row>
    <row r="630" spans="1:10" hidden="1" x14ac:dyDescent="0.35">
      <c r="A630" t="str">
        <f t="shared" si="9"/>
        <v>Teófilo Otoni20164.2</v>
      </c>
      <c r="B630">
        <v>3168606</v>
      </c>
      <c r="C630" t="s">
        <v>61</v>
      </c>
      <c r="D630">
        <v>2016</v>
      </c>
      <c r="E630">
        <v>1</v>
      </c>
      <c r="F630">
        <v>45</v>
      </c>
      <c r="G630" t="s">
        <v>35</v>
      </c>
      <c r="H630" t="s">
        <v>29</v>
      </c>
      <c r="I630" s="1" t="s">
        <v>36</v>
      </c>
      <c r="J630">
        <v>6174.69</v>
      </c>
    </row>
    <row r="631" spans="1:10" hidden="1" x14ac:dyDescent="0.35">
      <c r="A631" t="str">
        <f t="shared" si="9"/>
        <v>Teófilo Otoni20164.8</v>
      </c>
      <c r="B631">
        <v>3168606</v>
      </c>
      <c r="C631" t="s">
        <v>61</v>
      </c>
      <c r="D631">
        <v>2016</v>
      </c>
      <c r="E631">
        <v>1</v>
      </c>
      <c r="F631">
        <v>56</v>
      </c>
      <c r="G631" t="s">
        <v>37</v>
      </c>
      <c r="H631" t="s">
        <v>29</v>
      </c>
      <c r="I631" s="1" t="s">
        <v>38</v>
      </c>
      <c r="J631">
        <v>5316.01</v>
      </c>
    </row>
    <row r="632" spans="1:10" hidden="1" x14ac:dyDescent="0.35">
      <c r="A632" t="str">
        <f t="shared" si="9"/>
        <v>Teófilo Otoni20164.9</v>
      </c>
      <c r="B632">
        <v>3168606</v>
      </c>
      <c r="C632" t="s">
        <v>61</v>
      </c>
      <c r="D632">
        <v>2016</v>
      </c>
      <c r="E632">
        <v>1</v>
      </c>
      <c r="F632">
        <v>57</v>
      </c>
      <c r="G632" t="s">
        <v>39</v>
      </c>
      <c r="H632" t="s">
        <v>29</v>
      </c>
      <c r="I632" s="1" t="s">
        <v>40</v>
      </c>
      <c r="J632">
        <v>5316.01</v>
      </c>
    </row>
    <row r="633" spans="1:10" hidden="1" x14ac:dyDescent="0.35">
      <c r="A633" t="str">
        <f t="shared" si="9"/>
        <v>Umburatiba20161.1</v>
      </c>
      <c r="B633">
        <v>3170305</v>
      </c>
      <c r="C633" t="s">
        <v>62</v>
      </c>
      <c r="D633">
        <v>2016</v>
      </c>
      <c r="E633">
        <v>1</v>
      </c>
      <c r="F633">
        <v>24</v>
      </c>
      <c r="G633" t="s">
        <v>10</v>
      </c>
      <c r="H633" t="s">
        <v>11</v>
      </c>
      <c r="I633" s="1" t="s">
        <v>12</v>
      </c>
      <c r="J633">
        <v>0.25650000000000001</v>
      </c>
    </row>
    <row r="634" spans="1:10" hidden="1" x14ac:dyDescent="0.35">
      <c r="A634" t="str">
        <f t="shared" si="9"/>
        <v>Umburatiba20161.2</v>
      </c>
      <c r="B634">
        <v>3170305</v>
      </c>
      <c r="C634" t="s">
        <v>62</v>
      </c>
      <c r="D634">
        <v>2016</v>
      </c>
      <c r="E634">
        <v>1</v>
      </c>
      <c r="F634">
        <v>67</v>
      </c>
      <c r="G634" t="s">
        <v>13</v>
      </c>
      <c r="H634" t="s">
        <v>11</v>
      </c>
      <c r="I634" s="1" t="s">
        <v>14</v>
      </c>
      <c r="J634">
        <v>0.79510000000000003</v>
      </c>
    </row>
    <row r="635" spans="1:10" hidden="1" x14ac:dyDescent="0.35">
      <c r="A635" t="str">
        <f t="shared" si="9"/>
        <v>Umburatiba20161.3</v>
      </c>
      <c r="B635">
        <v>3170305</v>
      </c>
      <c r="C635" t="s">
        <v>62</v>
      </c>
      <c r="D635">
        <v>2016</v>
      </c>
      <c r="E635">
        <v>1</v>
      </c>
      <c r="F635">
        <v>68</v>
      </c>
      <c r="G635" t="s">
        <v>15</v>
      </c>
      <c r="H635" t="s">
        <v>11</v>
      </c>
      <c r="I635" s="1" t="s">
        <v>16</v>
      </c>
      <c r="J635">
        <v>0.2049</v>
      </c>
    </row>
    <row r="636" spans="1:10" hidden="1" x14ac:dyDescent="0.35">
      <c r="A636" t="str">
        <f t="shared" si="9"/>
        <v>Umburatiba20162.1</v>
      </c>
      <c r="B636">
        <v>3170305</v>
      </c>
      <c r="C636" t="s">
        <v>62</v>
      </c>
      <c r="D636">
        <v>2016</v>
      </c>
      <c r="E636">
        <v>1</v>
      </c>
      <c r="F636">
        <v>28</v>
      </c>
      <c r="G636" t="s">
        <v>17</v>
      </c>
      <c r="H636" t="s">
        <v>18</v>
      </c>
      <c r="I636" s="1" t="s">
        <v>19</v>
      </c>
      <c r="J636">
        <v>1.67E-2</v>
      </c>
    </row>
    <row r="637" spans="1:10" hidden="1" x14ac:dyDescent="0.35">
      <c r="A637" t="str">
        <f t="shared" si="9"/>
        <v>Umburatiba20162.2</v>
      </c>
      <c r="B637">
        <v>3170305</v>
      </c>
      <c r="C637" t="s">
        <v>62</v>
      </c>
      <c r="D637">
        <v>2016</v>
      </c>
      <c r="E637">
        <v>1</v>
      </c>
      <c r="F637">
        <v>29</v>
      </c>
      <c r="G637" t="s">
        <v>20</v>
      </c>
      <c r="H637" t="s">
        <v>18</v>
      </c>
      <c r="I637" s="1" t="s">
        <v>21</v>
      </c>
      <c r="J637">
        <v>0.84409999999999996</v>
      </c>
    </row>
    <row r="638" spans="1:10" hidden="1" x14ac:dyDescent="0.35">
      <c r="A638" t="str">
        <f t="shared" si="9"/>
        <v>Umburatiba20162.4</v>
      </c>
      <c r="B638">
        <v>3170305</v>
      </c>
      <c r="C638" t="s">
        <v>62</v>
      </c>
      <c r="D638">
        <v>2016</v>
      </c>
      <c r="E638">
        <v>1</v>
      </c>
      <c r="F638">
        <v>31</v>
      </c>
      <c r="G638" t="s">
        <v>22</v>
      </c>
      <c r="H638" t="s">
        <v>18</v>
      </c>
      <c r="I638" s="1" t="s">
        <v>23</v>
      </c>
      <c r="J638">
        <v>9.3799999999999994E-2</v>
      </c>
    </row>
    <row r="639" spans="1:10" hidden="1" x14ac:dyDescent="0.35">
      <c r="A639" t="str">
        <f t="shared" si="9"/>
        <v>Umburatiba20162.5</v>
      </c>
      <c r="B639">
        <v>3170305</v>
      </c>
      <c r="C639" t="s">
        <v>62</v>
      </c>
      <c r="D639">
        <v>2016</v>
      </c>
      <c r="E639">
        <v>1</v>
      </c>
      <c r="F639">
        <v>32</v>
      </c>
      <c r="G639" t="s">
        <v>24</v>
      </c>
      <c r="H639" t="s">
        <v>18</v>
      </c>
      <c r="I639" s="1" t="s">
        <v>25</v>
      </c>
      <c r="J639">
        <v>0.83109999999999995</v>
      </c>
    </row>
    <row r="640" spans="1:10" hidden="1" x14ac:dyDescent="0.35">
      <c r="A640" t="str">
        <f t="shared" si="9"/>
        <v>Umburatiba20162.8</v>
      </c>
      <c r="B640">
        <v>3170305</v>
      </c>
      <c r="C640" t="s">
        <v>62</v>
      </c>
      <c r="D640">
        <v>2016</v>
      </c>
      <c r="E640">
        <v>1</v>
      </c>
      <c r="F640">
        <v>35</v>
      </c>
      <c r="G640" t="s">
        <v>26</v>
      </c>
      <c r="H640" t="s">
        <v>18</v>
      </c>
      <c r="I640" s="1" t="s">
        <v>27</v>
      </c>
      <c r="J640">
        <v>0.21199999999999999</v>
      </c>
    </row>
    <row r="641" spans="1:10" hidden="1" x14ac:dyDescent="0.35">
      <c r="A641" t="str">
        <f t="shared" si="9"/>
        <v>Umburatiba20164.1</v>
      </c>
      <c r="B641">
        <v>3170305</v>
      </c>
      <c r="C641" t="s">
        <v>62</v>
      </c>
      <c r="D641">
        <v>2016</v>
      </c>
      <c r="E641">
        <v>1</v>
      </c>
      <c r="F641">
        <v>44</v>
      </c>
      <c r="G641" t="s">
        <v>28</v>
      </c>
      <c r="H641" t="s">
        <v>29</v>
      </c>
      <c r="I641" s="1" t="s">
        <v>30</v>
      </c>
      <c r="J641">
        <v>3692.61</v>
      </c>
    </row>
    <row r="642" spans="1:10" hidden="1" x14ac:dyDescent="0.35">
      <c r="A642" t="str">
        <f t="shared" si="9"/>
        <v>Umburatiba20164.10</v>
      </c>
      <c r="B642">
        <v>3170305</v>
      </c>
      <c r="C642" t="s">
        <v>62</v>
      </c>
      <c r="D642">
        <v>2016</v>
      </c>
      <c r="E642">
        <v>1</v>
      </c>
      <c r="F642">
        <v>58</v>
      </c>
      <c r="G642" t="s">
        <v>31</v>
      </c>
      <c r="H642" t="s">
        <v>29</v>
      </c>
      <c r="I642" s="1" t="s">
        <v>32</v>
      </c>
      <c r="J642">
        <v>3187.15</v>
      </c>
    </row>
    <row r="643" spans="1:10" hidden="1" x14ac:dyDescent="0.35">
      <c r="A643" t="str">
        <f t="shared" si="9"/>
        <v>Umburatiba20164.11</v>
      </c>
      <c r="B643">
        <v>3170305</v>
      </c>
      <c r="C643" t="s">
        <v>62</v>
      </c>
      <c r="D643">
        <v>2016</v>
      </c>
      <c r="E643">
        <v>1</v>
      </c>
      <c r="F643">
        <v>59</v>
      </c>
      <c r="G643" t="s">
        <v>33</v>
      </c>
      <c r="H643" t="s">
        <v>29</v>
      </c>
      <c r="I643" s="1" t="s">
        <v>34</v>
      </c>
      <c r="J643">
        <v>1260.52</v>
      </c>
    </row>
    <row r="644" spans="1:10" hidden="1" x14ac:dyDescent="0.35">
      <c r="A644" t="str">
        <f t="shared" ref="A644:A707" si="10">C644&amp;D644&amp;G644</f>
        <v>Umburatiba20164.2</v>
      </c>
      <c r="B644">
        <v>3170305</v>
      </c>
      <c r="C644" t="s">
        <v>62</v>
      </c>
      <c r="D644">
        <v>2016</v>
      </c>
      <c r="E644">
        <v>1</v>
      </c>
      <c r="F644">
        <v>45</v>
      </c>
      <c r="G644" t="s">
        <v>35</v>
      </c>
      <c r="H644" t="s">
        <v>29</v>
      </c>
      <c r="I644" s="1" t="s">
        <v>36</v>
      </c>
      <c r="J644">
        <v>6330.97</v>
      </c>
    </row>
    <row r="645" spans="1:10" hidden="1" x14ac:dyDescent="0.35">
      <c r="A645" t="str">
        <f t="shared" si="10"/>
        <v>Umburatiba20164.8</v>
      </c>
      <c r="B645">
        <v>3170305</v>
      </c>
      <c r="C645" t="s">
        <v>62</v>
      </c>
      <c r="D645">
        <v>2016</v>
      </c>
      <c r="E645">
        <v>1</v>
      </c>
      <c r="F645">
        <v>56</v>
      </c>
      <c r="G645" t="s">
        <v>37</v>
      </c>
      <c r="H645" t="s">
        <v>29</v>
      </c>
      <c r="I645" s="1" t="s">
        <v>38</v>
      </c>
      <c r="J645">
        <v>5933.73</v>
      </c>
    </row>
    <row r="646" spans="1:10" hidden="1" x14ac:dyDescent="0.35">
      <c r="A646" t="str">
        <f t="shared" si="10"/>
        <v>Umburatiba20164.9</v>
      </c>
      <c r="B646">
        <v>3170305</v>
      </c>
      <c r="C646" t="s">
        <v>62</v>
      </c>
      <c r="D646">
        <v>2016</v>
      </c>
      <c r="E646">
        <v>1</v>
      </c>
      <c r="F646">
        <v>57</v>
      </c>
      <c r="G646" t="s">
        <v>39</v>
      </c>
      <c r="H646" t="s">
        <v>29</v>
      </c>
      <c r="I646" s="1" t="s">
        <v>40</v>
      </c>
      <c r="J646">
        <v>5933.73</v>
      </c>
    </row>
    <row r="647" spans="1:10" hidden="1" x14ac:dyDescent="0.35">
      <c r="A647" t="str">
        <f t="shared" si="10"/>
        <v>Águas Formosas20171.1</v>
      </c>
      <c r="B647">
        <v>3100906</v>
      </c>
      <c r="C647" t="s">
        <v>9</v>
      </c>
      <c r="D647">
        <v>2017</v>
      </c>
      <c r="E647">
        <v>6</v>
      </c>
      <c r="F647">
        <v>24</v>
      </c>
      <c r="G647" t="s">
        <v>10</v>
      </c>
      <c r="H647" t="s">
        <v>11</v>
      </c>
      <c r="I647" s="1" t="s">
        <v>12</v>
      </c>
      <c r="J647">
        <v>0.28139999999999998</v>
      </c>
    </row>
    <row r="648" spans="1:10" hidden="1" x14ac:dyDescent="0.35">
      <c r="A648" t="str">
        <f t="shared" si="10"/>
        <v>Águas Formosas20171.2</v>
      </c>
      <c r="B648">
        <v>3100906</v>
      </c>
      <c r="C648" t="s">
        <v>9</v>
      </c>
      <c r="D648">
        <v>2017</v>
      </c>
      <c r="E648">
        <v>6</v>
      </c>
      <c r="F648">
        <v>67</v>
      </c>
      <c r="G648" t="s">
        <v>13</v>
      </c>
      <c r="H648" t="s">
        <v>11</v>
      </c>
      <c r="I648" s="1" t="s">
        <v>14</v>
      </c>
      <c r="J648">
        <v>0.79730000000000001</v>
      </c>
    </row>
    <row r="649" spans="1:10" hidden="1" x14ac:dyDescent="0.35">
      <c r="A649" t="str">
        <f t="shared" si="10"/>
        <v>Águas Formosas20171.3</v>
      </c>
      <c r="B649">
        <v>3100906</v>
      </c>
      <c r="C649" t="s">
        <v>9</v>
      </c>
      <c r="D649">
        <v>2017</v>
      </c>
      <c r="E649">
        <v>6</v>
      </c>
      <c r="F649">
        <v>68</v>
      </c>
      <c r="G649" t="s">
        <v>15</v>
      </c>
      <c r="H649" t="s">
        <v>11</v>
      </c>
      <c r="I649" s="1" t="s">
        <v>16</v>
      </c>
      <c r="J649">
        <v>0.20269999999999999</v>
      </c>
    </row>
    <row r="650" spans="1:10" hidden="1" x14ac:dyDescent="0.35">
      <c r="A650" t="str">
        <f t="shared" si="10"/>
        <v>Águas Formosas20172.1</v>
      </c>
      <c r="B650">
        <v>3100906</v>
      </c>
      <c r="C650" t="s">
        <v>9</v>
      </c>
      <c r="D650">
        <v>2017</v>
      </c>
      <c r="E650">
        <v>6</v>
      </c>
      <c r="F650">
        <v>28</v>
      </c>
      <c r="G650" t="s">
        <v>17</v>
      </c>
      <c r="H650" t="s">
        <v>18</v>
      </c>
      <c r="I650" s="1" t="s">
        <v>19</v>
      </c>
      <c r="J650">
        <v>0.6391</v>
      </c>
    </row>
    <row r="651" spans="1:10" hidden="1" x14ac:dyDescent="0.35">
      <c r="A651" t="str">
        <f t="shared" si="10"/>
        <v>Águas Formosas20172.2</v>
      </c>
      <c r="B651">
        <v>3100906</v>
      </c>
      <c r="C651" t="s">
        <v>9</v>
      </c>
      <c r="D651">
        <v>2017</v>
      </c>
      <c r="E651">
        <v>6</v>
      </c>
      <c r="F651">
        <v>29</v>
      </c>
      <c r="G651" t="s">
        <v>20</v>
      </c>
      <c r="H651" t="s">
        <v>18</v>
      </c>
      <c r="I651" s="1" t="s">
        <v>21</v>
      </c>
      <c r="J651">
        <v>0.57589999999999997</v>
      </c>
    </row>
    <row r="652" spans="1:10" hidden="1" x14ac:dyDescent="0.35">
      <c r="A652" t="str">
        <f t="shared" si="10"/>
        <v>Águas Formosas20172.4</v>
      </c>
      <c r="B652">
        <v>3100906</v>
      </c>
      <c r="C652" t="s">
        <v>9</v>
      </c>
      <c r="D652">
        <v>2017</v>
      </c>
      <c r="E652">
        <v>6</v>
      </c>
      <c r="F652">
        <v>31</v>
      </c>
      <c r="G652" t="s">
        <v>22</v>
      </c>
      <c r="H652" t="s">
        <v>18</v>
      </c>
      <c r="I652" s="1" t="s">
        <v>23</v>
      </c>
      <c r="J652">
        <v>0.43830000000000002</v>
      </c>
    </row>
    <row r="653" spans="1:10" hidden="1" x14ac:dyDescent="0.35">
      <c r="A653" t="str">
        <f t="shared" si="10"/>
        <v>Águas Formosas20172.5</v>
      </c>
      <c r="B653">
        <v>3100906</v>
      </c>
      <c r="C653" t="s">
        <v>9</v>
      </c>
      <c r="D653">
        <v>2017</v>
      </c>
      <c r="E653">
        <v>6</v>
      </c>
      <c r="F653">
        <v>32</v>
      </c>
      <c r="G653" t="s">
        <v>24</v>
      </c>
      <c r="H653" t="s">
        <v>18</v>
      </c>
      <c r="I653" s="1" t="s">
        <v>25</v>
      </c>
      <c r="J653">
        <v>0.38100000000000001</v>
      </c>
    </row>
    <row r="654" spans="1:10" hidden="1" x14ac:dyDescent="0.35">
      <c r="A654" t="str">
        <f t="shared" si="10"/>
        <v>Águas Formosas20172.8</v>
      </c>
      <c r="B654">
        <v>3100906</v>
      </c>
      <c r="C654" t="s">
        <v>9</v>
      </c>
      <c r="D654">
        <v>2017</v>
      </c>
      <c r="E654">
        <v>6</v>
      </c>
      <c r="F654">
        <v>35</v>
      </c>
      <c r="G654" t="s">
        <v>26</v>
      </c>
      <c r="H654" t="s">
        <v>18</v>
      </c>
      <c r="I654" s="1" t="s">
        <v>27</v>
      </c>
      <c r="J654">
        <v>0.2387</v>
      </c>
    </row>
    <row r="655" spans="1:10" hidden="1" x14ac:dyDescent="0.35">
      <c r="A655" t="str">
        <f t="shared" si="10"/>
        <v>Águas Formosas20174.1</v>
      </c>
      <c r="B655">
        <v>3100906</v>
      </c>
      <c r="C655" t="s">
        <v>9</v>
      </c>
      <c r="D655">
        <v>2017</v>
      </c>
      <c r="E655">
        <v>6</v>
      </c>
      <c r="F655">
        <v>44</v>
      </c>
      <c r="G655" t="s">
        <v>28</v>
      </c>
      <c r="H655" t="s">
        <v>29</v>
      </c>
      <c r="I655" s="1" t="s">
        <v>30</v>
      </c>
      <c r="J655">
        <v>5320.03</v>
      </c>
    </row>
    <row r="656" spans="1:10" hidden="1" x14ac:dyDescent="0.35">
      <c r="A656" t="str">
        <f t="shared" si="10"/>
        <v>Águas Formosas20174.10</v>
      </c>
      <c r="B656">
        <v>3100906</v>
      </c>
      <c r="C656" t="s">
        <v>9</v>
      </c>
      <c r="D656">
        <v>2017</v>
      </c>
      <c r="E656">
        <v>6</v>
      </c>
      <c r="F656">
        <v>58</v>
      </c>
      <c r="G656" t="s">
        <v>31</v>
      </c>
      <c r="H656" t="s">
        <v>29</v>
      </c>
      <c r="I656" s="1" t="s">
        <v>32</v>
      </c>
      <c r="J656">
        <v>3329.57</v>
      </c>
    </row>
    <row r="657" spans="1:12" hidden="1" x14ac:dyDescent="0.35">
      <c r="A657" t="str">
        <f t="shared" si="10"/>
        <v>Águas Formosas20174.11</v>
      </c>
      <c r="B657">
        <v>3100906</v>
      </c>
      <c r="C657" t="s">
        <v>9</v>
      </c>
      <c r="D657">
        <v>2017</v>
      </c>
      <c r="E657">
        <v>6</v>
      </c>
      <c r="F657">
        <v>59</v>
      </c>
      <c r="G657" t="s">
        <v>33</v>
      </c>
      <c r="H657" t="s">
        <v>29</v>
      </c>
      <c r="I657" s="1" t="s">
        <v>34</v>
      </c>
      <c r="J657">
        <v>1406.71</v>
      </c>
    </row>
    <row r="658" spans="1:12" x14ac:dyDescent="0.35">
      <c r="A658" t="str">
        <f t="shared" si="10"/>
        <v>Águas Formosas20174.2</v>
      </c>
      <c r="B658" s="4">
        <v>3100906</v>
      </c>
      <c r="C658" t="s">
        <v>9</v>
      </c>
      <c r="D658">
        <v>2017</v>
      </c>
      <c r="E658">
        <v>6</v>
      </c>
      <c r="F658">
        <v>45</v>
      </c>
      <c r="G658" t="s">
        <v>35</v>
      </c>
      <c r="H658" t="s">
        <v>29</v>
      </c>
      <c r="I658" s="1" t="s">
        <v>36</v>
      </c>
      <c r="J658" s="5">
        <v>7284.54</v>
      </c>
      <c r="L658" s="10"/>
    </row>
    <row r="659" spans="1:12" hidden="1" x14ac:dyDescent="0.35">
      <c r="A659" t="str">
        <f t="shared" si="10"/>
        <v>Águas Formosas20174.8</v>
      </c>
      <c r="B659">
        <v>3100906</v>
      </c>
      <c r="C659" t="s">
        <v>9</v>
      </c>
      <c r="D659">
        <v>2017</v>
      </c>
      <c r="E659">
        <v>6</v>
      </c>
      <c r="F659">
        <v>56</v>
      </c>
      <c r="G659" t="s">
        <v>37</v>
      </c>
      <c r="H659" t="s">
        <v>29</v>
      </c>
      <c r="I659" s="1" t="s">
        <v>38</v>
      </c>
      <c r="J659">
        <v>5649.81</v>
      </c>
    </row>
    <row r="660" spans="1:12" hidden="1" x14ac:dyDescent="0.35">
      <c r="A660" t="str">
        <f t="shared" si="10"/>
        <v>Águas Formosas20174.9</v>
      </c>
      <c r="B660">
        <v>3100906</v>
      </c>
      <c r="C660" t="s">
        <v>9</v>
      </c>
      <c r="D660">
        <v>2017</v>
      </c>
      <c r="E660">
        <v>6</v>
      </c>
      <c r="F660">
        <v>57</v>
      </c>
      <c r="G660" t="s">
        <v>39</v>
      </c>
      <c r="H660" t="s">
        <v>29</v>
      </c>
      <c r="I660" s="1" t="s">
        <v>40</v>
      </c>
      <c r="J660">
        <v>5667.43</v>
      </c>
    </row>
    <row r="661" spans="1:12" hidden="1" x14ac:dyDescent="0.35">
      <c r="A661" t="str">
        <f t="shared" si="10"/>
        <v>Ataléia20171.1</v>
      </c>
      <c r="B661">
        <v>3104700</v>
      </c>
      <c r="C661" t="s">
        <v>41</v>
      </c>
      <c r="D661">
        <v>2017</v>
      </c>
      <c r="E661">
        <v>6</v>
      </c>
      <c r="F661">
        <v>24</v>
      </c>
      <c r="G661" t="s">
        <v>10</v>
      </c>
      <c r="H661" t="s">
        <v>11</v>
      </c>
      <c r="I661" s="1" t="s">
        <v>12</v>
      </c>
      <c r="J661">
        <v>0.25209999999999999</v>
      </c>
    </row>
    <row r="662" spans="1:12" hidden="1" x14ac:dyDescent="0.35">
      <c r="A662" t="str">
        <f t="shared" si="10"/>
        <v>Ataléia20171.2</v>
      </c>
      <c r="B662">
        <v>3104700</v>
      </c>
      <c r="C662" t="s">
        <v>41</v>
      </c>
      <c r="D662">
        <v>2017</v>
      </c>
      <c r="E662">
        <v>6</v>
      </c>
      <c r="F662">
        <v>67</v>
      </c>
      <c r="G662" t="s">
        <v>13</v>
      </c>
      <c r="H662" t="s">
        <v>11</v>
      </c>
      <c r="I662" s="1" t="s">
        <v>14</v>
      </c>
      <c r="J662">
        <v>1</v>
      </c>
    </row>
    <row r="663" spans="1:12" hidden="1" x14ac:dyDescent="0.35">
      <c r="A663" t="str">
        <f t="shared" si="10"/>
        <v>Ataléia20171.3</v>
      </c>
      <c r="B663">
        <v>3104700</v>
      </c>
      <c r="C663" t="s">
        <v>41</v>
      </c>
      <c r="D663">
        <v>2017</v>
      </c>
      <c r="E663">
        <v>6</v>
      </c>
      <c r="F663">
        <v>68</v>
      </c>
      <c r="G663" t="s">
        <v>15</v>
      </c>
      <c r="H663" t="s">
        <v>11</v>
      </c>
      <c r="I663" s="1" t="s">
        <v>16</v>
      </c>
    </row>
    <row r="664" spans="1:12" hidden="1" x14ac:dyDescent="0.35">
      <c r="A664" t="str">
        <f t="shared" si="10"/>
        <v>Ataléia20172.1</v>
      </c>
      <c r="B664">
        <v>3104700</v>
      </c>
      <c r="C664" t="s">
        <v>41</v>
      </c>
      <c r="D664">
        <v>2017</v>
      </c>
      <c r="E664">
        <v>6</v>
      </c>
      <c r="F664">
        <v>28</v>
      </c>
      <c r="G664" t="s">
        <v>17</v>
      </c>
      <c r="H664" t="s">
        <v>18</v>
      </c>
      <c r="I664" s="1" t="s">
        <v>19</v>
      </c>
      <c r="J664">
        <v>0.2031</v>
      </c>
    </row>
    <row r="665" spans="1:12" hidden="1" x14ac:dyDescent="0.35">
      <c r="A665" t="str">
        <f t="shared" si="10"/>
        <v>Ataléia20172.2</v>
      </c>
      <c r="B665">
        <v>3104700</v>
      </c>
      <c r="C665" t="s">
        <v>41</v>
      </c>
      <c r="D665">
        <v>2017</v>
      </c>
      <c r="E665">
        <v>6</v>
      </c>
      <c r="F665">
        <v>29</v>
      </c>
      <c r="G665" t="s">
        <v>20</v>
      </c>
      <c r="H665" t="s">
        <v>18</v>
      </c>
      <c r="I665" s="1" t="s">
        <v>21</v>
      </c>
      <c r="J665">
        <v>0.79690000000000005</v>
      </c>
    </row>
    <row r="666" spans="1:12" hidden="1" x14ac:dyDescent="0.35">
      <c r="A666" t="str">
        <f t="shared" si="10"/>
        <v>Ataléia20172.4</v>
      </c>
      <c r="B666">
        <v>3104700</v>
      </c>
      <c r="C666" t="s">
        <v>41</v>
      </c>
      <c r="D666">
        <v>2017</v>
      </c>
      <c r="E666">
        <v>6</v>
      </c>
      <c r="F666">
        <v>31</v>
      </c>
      <c r="G666" t="s">
        <v>22</v>
      </c>
      <c r="H666" t="s">
        <v>18</v>
      </c>
      <c r="I666" s="1" t="s">
        <v>23</v>
      </c>
      <c r="J666">
        <v>0.2019</v>
      </c>
    </row>
    <row r="667" spans="1:12" hidden="1" x14ac:dyDescent="0.35">
      <c r="A667" t="str">
        <f t="shared" si="10"/>
        <v>Ataléia20172.5</v>
      </c>
      <c r="B667">
        <v>3104700</v>
      </c>
      <c r="C667" t="s">
        <v>41</v>
      </c>
      <c r="D667">
        <v>2017</v>
      </c>
      <c r="E667">
        <v>6</v>
      </c>
      <c r="F667">
        <v>32</v>
      </c>
      <c r="G667" t="s">
        <v>24</v>
      </c>
      <c r="H667" t="s">
        <v>18</v>
      </c>
      <c r="I667" s="1" t="s">
        <v>25</v>
      </c>
      <c r="J667">
        <v>0.72750000000000004</v>
      </c>
    </row>
    <row r="668" spans="1:12" hidden="1" x14ac:dyDescent="0.35">
      <c r="A668" t="str">
        <f t="shared" si="10"/>
        <v>Ataléia20172.8</v>
      </c>
      <c r="B668">
        <v>3104700</v>
      </c>
      <c r="C668" t="s">
        <v>41</v>
      </c>
      <c r="D668">
        <v>2017</v>
      </c>
      <c r="E668">
        <v>6</v>
      </c>
      <c r="F668">
        <v>35</v>
      </c>
      <c r="G668" t="s">
        <v>26</v>
      </c>
      <c r="H668" t="s">
        <v>18</v>
      </c>
      <c r="I668" s="1" t="s">
        <v>27</v>
      </c>
      <c r="J668">
        <v>0.28999999999999998</v>
      </c>
    </row>
    <row r="669" spans="1:12" hidden="1" x14ac:dyDescent="0.35">
      <c r="A669" t="str">
        <f t="shared" si="10"/>
        <v>Ataléia20174.1</v>
      </c>
      <c r="B669">
        <v>3104700</v>
      </c>
      <c r="C669" t="s">
        <v>41</v>
      </c>
      <c r="D669">
        <v>2017</v>
      </c>
      <c r="E669">
        <v>6</v>
      </c>
      <c r="F669">
        <v>44</v>
      </c>
      <c r="G669" t="s">
        <v>28</v>
      </c>
      <c r="H669" t="s">
        <v>29</v>
      </c>
      <c r="I669" s="1" t="s">
        <v>30</v>
      </c>
      <c r="J669">
        <v>4117.6499999999996</v>
      </c>
    </row>
    <row r="670" spans="1:12" hidden="1" x14ac:dyDescent="0.35">
      <c r="A670" t="str">
        <f t="shared" si="10"/>
        <v>Ataléia20174.10</v>
      </c>
      <c r="B670">
        <v>3104700</v>
      </c>
      <c r="C670" t="s">
        <v>41</v>
      </c>
      <c r="D670">
        <v>2017</v>
      </c>
      <c r="E670">
        <v>6</v>
      </c>
      <c r="F670">
        <v>58</v>
      </c>
      <c r="G670" t="s">
        <v>31</v>
      </c>
      <c r="H670" t="s">
        <v>29</v>
      </c>
      <c r="I670" s="1" t="s">
        <v>32</v>
      </c>
      <c r="J670">
        <v>7365.03</v>
      </c>
    </row>
    <row r="671" spans="1:12" hidden="1" x14ac:dyDescent="0.35">
      <c r="A671" t="str">
        <f t="shared" si="10"/>
        <v>Ataléia20174.11</v>
      </c>
      <c r="B671">
        <v>3104700</v>
      </c>
      <c r="C671" t="s">
        <v>41</v>
      </c>
      <c r="D671">
        <v>2017</v>
      </c>
      <c r="E671">
        <v>6</v>
      </c>
      <c r="F671">
        <v>59</v>
      </c>
      <c r="G671" t="s">
        <v>33</v>
      </c>
      <c r="H671" t="s">
        <v>29</v>
      </c>
      <c r="I671" s="1" t="s">
        <v>34</v>
      </c>
    </row>
    <row r="672" spans="1:12" x14ac:dyDescent="0.35">
      <c r="A672" t="str">
        <f t="shared" si="10"/>
        <v>Ataléia20174.2</v>
      </c>
      <c r="B672" s="3">
        <v>3104700</v>
      </c>
      <c r="C672" s="2" t="s">
        <v>41</v>
      </c>
      <c r="D672" s="2">
        <v>2017</v>
      </c>
      <c r="E672">
        <v>6</v>
      </c>
      <c r="F672">
        <v>45</v>
      </c>
      <c r="G672" t="s">
        <v>35</v>
      </c>
      <c r="H672" s="2" t="s">
        <v>29</v>
      </c>
      <c r="I672" s="7" t="s">
        <v>36</v>
      </c>
      <c r="J672" s="8">
        <v>9947.9599999999991</v>
      </c>
    </row>
    <row r="673" spans="1:10" hidden="1" x14ac:dyDescent="0.35">
      <c r="A673" t="str">
        <f t="shared" si="10"/>
        <v>Ataléia20174.8</v>
      </c>
      <c r="B673">
        <v>3104700</v>
      </c>
      <c r="C673" t="s">
        <v>41</v>
      </c>
      <c r="D673">
        <v>2017</v>
      </c>
      <c r="E673">
        <v>6</v>
      </c>
      <c r="F673">
        <v>56</v>
      </c>
      <c r="G673" t="s">
        <v>37</v>
      </c>
      <c r="H673" t="s">
        <v>29</v>
      </c>
      <c r="I673" s="1" t="s">
        <v>38</v>
      </c>
      <c r="J673">
        <v>7365.03</v>
      </c>
    </row>
    <row r="674" spans="1:10" hidden="1" x14ac:dyDescent="0.35">
      <c r="A674" t="str">
        <f t="shared" si="10"/>
        <v>Ataléia20174.9</v>
      </c>
      <c r="B674">
        <v>3104700</v>
      </c>
      <c r="C674" t="s">
        <v>41</v>
      </c>
      <c r="D674">
        <v>2017</v>
      </c>
      <c r="E674">
        <v>6</v>
      </c>
      <c r="F674">
        <v>57</v>
      </c>
      <c r="G674" t="s">
        <v>39</v>
      </c>
      <c r="H674" t="s">
        <v>29</v>
      </c>
      <c r="I674" s="1" t="s">
        <v>40</v>
      </c>
      <c r="J674">
        <v>7365.03</v>
      </c>
    </row>
    <row r="675" spans="1:10" hidden="1" x14ac:dyDescent="0.35">
      <c r="A675" t="str">
        <f t="shared" si="10"/>
        <v>Bertópolis20171.1</v>
      </c>
      <c r="B675">
        <v>3106606</v>
      </c>
      <c r="C675" t="s">
        <v>42</v>
      </c>
      <c r="D675">
        <v>2017</v>
      </c>
      <c r="E675">
        <v>6</v>
      </c>
      <c r="F675">
        <v>24</v>
      </c>
      <c r="G675" t="s">
        <v>10</v>
      </c>
      <c r="H675" t="s">
        <v>11</v>
      </c>
      <c r="I675" s="1" t="s">
        <v>12</v>
      </c>
      <c r="J675">
        <v>0.34470000000000001</v>
      </c>
    </row>
    <row r="676" spans="1:10" hidden="1" x14ac:dyDescent="0.35">
      <c r="A676" t="str">
        <f t="shared" si="10"/>
        <v>Bertópolis20171.2</v>
      </c>
      <c r="B676">
        <v>3106606</v>
      </c>
      <c r="C676" t="s">
        <v>42</v>
      </c>
      <c r="D676">
        <v>2017</v>
      </c>
      <c r="E676">
        <v>6</v>
      </c>
      <c r="F676">
        <v>67</v>
      </c>
      <c r="G676" t="s">
        <v>13</v>
      </c>
      <c r="H676" t="s">
        <v>11</v>
      </c>
      <c r="I676" s="1" t="s">
        <v>14</v>
      </c>
      <c r="J676">
        <v>0.62180000000000002</v>
      </c>
    </row>
    <row r="677" spans="1:10" hidden="1" x14ac:dyDescent="0.35">
      <c r="A677" t="str">
        <f t="shared" si="10"/>
        <v>Bertópolis20171.3</v>
      </c>
      <c r="B677">
        <v>3106606</v>
      </c>
      <c r="C677" t="s">
        <v>42</v>
      </c>
      <c r="D677">
        <v>2017</v>
      </c>
      <c r="E677">
        <v>6</v>
      </c>
      <c r="F677">
        <v>68</v>
      </c>
      <c r="G677" t="s">
        <v>15</v>
      </c>
      <c r="H677" t="s">
        <v>11</v>
      </c>
      <c r="I677" s="1" t="s">
        <v>16</v>
      </c>
      <c r="J677">
        <v>0.37819999999999998</v>
      </c>
    </row>
    <row r="678" spans="1:10" hidden="1" x14ac:dyDescent="0.35">
      <c r="A678" t="str">
        <f t="shared" si="10"/>
        <v>Bertópolis20172.1</v>
      </c>
      <c r="B678">
        <v>3106606</v>
      </c>
      <c r="C678" t="s">
        <v>42</v>
      </c>
      <c r="D678">
        <v>2017</v>
      </c>
      <c r="E678">
        <v>6</v>
      </c>
      <c r="F678">
        <v>28</v>
      </c>
      <c r="G678" t="s">
        <v>17</v>
      </c>
      <c r="H678" t="s">
        <v>18</v>
      </c>
      <c r="I678" s="1" t="s">
        <v>19</v>
      </c>
      <c r="J678">
        <v>0.2243</v>
      </c>
    </row>
    <row r="679" spans="1:10" hidden="1" x14ac:dyDescent="0.35">
      <c r="A679" t="str">
        <f t="shared" si="10"/>
        <v>Bertópolis20172.2</v>
      </c>
      <c r="B679">
        <v>3106606</v>
      </c>
      <c r="C679" t="s">
        <v>42</v>
      </c>
      <c r="D679">
        <v>2017</v>
      </c>
      <c r="E679">
        <v>6</v>
      </c>
      <c r="F679">
        <v>29</v>
      </c>
      <c r="G679" t="s">
        <v>20</v>
      </c>
      <c r="H679" t="s">
        <v>18</v>
      </c>
      <c r="I679" s="1" t="s">
        <v>21</v>
      </c>
      <c r="J679">
        <v>0.77569999999999995</v>
      </c>
    </row>
    <row r="680" spans="1:10" hidden="1" x14ac:dyDescent="0.35">
      <c r="A680" t="str">
        <f t="shared" si="10"/>
        <v>Bertópolis20172.4</v>
      </c>
      <c r="B680">
        <v>3106606</v>
      </c>
      <c r="C680" t="s">
        <v>42</v>
      </c>
      <c r="D680">
        <v>2017</v>
      </c>
      <c r="E680">
        <v>6</v>
      </c>
      <c r="F680">
        <v>31</v>
      </c>
      <c r="G680" t="s">
        <v>22</v>
      </c>
      <c r="H680" t="s">
        <v>18</v>
      </c>
      <c r="I680" s="1" t="s">
        <v>23</v>
      </c>
      <c r="J680">
        <v>0.18859999999999999</v>
      </c>
    </row>
    <row r="681" spans="1:10" hidden="1" x14ac:dyDescent="0.35">
      <c r="A681" t="str">
        <f t="shared" si="10"/>
        <v>Bertópolis20172.5</v>
      </c>
      <c r="B681">
        <v>3106606</v>
      </c>
      <c r="C681" t="s">
        <v>42</v>
      </c>
      <c r="D681">
        <v>2017</v>
      </c>
      <c r="E681">
        <v>6</v>
      </c>
      <c r="F681">
        <v>32</v>
      </c>
      <c r="G681" t="s">
        <v>24</v>
      </c>
      <c r="H681" t="s">
        <v>18</v>
      </c>
      <c r="I681" s="1" t="s">
        <v>25</v>
      </c>
      <c r="J681">
        <v>0.70369999999999999</v>
      </c>
    </row>
    <row r="682" spans="1:10" hidden="1" x14ac:dyDescent="0.35">
      <c r="A682" t="str">
        <f t="shared" si="10"/>
        <v>Bertópolis20172.8</v>
      </c>
      <c r="B682">
        <v>3106606</v>
      </c>
      <c r="C682" t="s">
        <v>42</v>
      </c>
      <c r="D682">
        <v>2017</v>
      </c>
      <c r="E682">
        <v>6</v>
      </c>
      <c r="F682">
        <v>35</v>
      </c>
      <c r="G682" t="s">
        <v>26</v>
      </c>
      <c r="H682" t="s">
        <v>18</v>
      </c>
      <c r="I682" s="1" t="s">
        <v>27</v>
      </c>
      <c r="J682">
        <v>0.26329999999999998</v>
      </c>
    </row>
    <row r="683" spans="1:10" hidden="1" x14ac:dyDescent="0.35">
      <c r="A683" t="str">
        <f t="shared" si="10"/>
        <v>Bertópolis20174.1</v>
      </c>
      <c r="B683">
        <v>3106606</v>
      </c>
      <c r="C683" t="s">
        <v>42</v>
      </c>
      <c r="D683">
        <v>2017</v>
      </c>
      <c r="E683">
        <v>6</v>
      </c>
      <c r="F683">
        <v>44</v>
      </c>
      <c r="G683" t="s">
        <v>28</v>
      </c>
      <c r="H683" t="s">
        <v>29</v>
      </c>
      <c r="I683" s="1" t="s">
        <v>30</v>
      </c>
      <c r="J683">
        <v>3431.37</v>
      </c>
    </row>
    <row r="684" spans="1:10" hidden="1" x14ac:dyDescent="0.35">
      <c r="A684" t="str">
        <f t="shared" si="10"/>
        <v>Bertópolis20174.10</v>
      </c>
      <c r="B684">
        <v>3106606</v>
      </c>
      <c r="C684" t="s">
        <v>42</v>
      </c>
      <c r="D684">
        <v>2017</v>
      </c>
      <c r="E684">
        <v>6</v>
      </c>
      <c r="F684">
        <v>58</v>
      </c>
      <c r="G684" t="s">
        <v>31</v>
      </c>
      <c r="H684" t="s">
        <v>29</v>
      </c>
      <c r="I684" s="1" t="s">
        <v>32</v>
      </c>
      <c r="J684">
        <v>4750.7299999999996</v>
      </c>
    </row>
    <row r="685" spans="1:10" hidden="1" x14ac:dyDescent="0.35">
      <c r="A685" t="str">
        <f t="shared" si="10"/>
        <v>Bertópolis20174.11</v>
      </c>
      <c r="B685">
        <v>3106606</v>
      </c>
      <c r="C685" t="s">
        <v>42</v>
      </c>
      <c r="D685">
        <v>2017</v>
      </c>
      <c r="E685">
        <v>6</v>
      </c>
      <c r="F685">
        <v>59</v>
      </c>
      <c r="G685" t="s">
        <v>33</v>
      </c>
      <c r="H685" t="s">
        <v>29</v>
      </c>
      <c r="I685" s="1" t="s">
        <v>34</v>
      </c>
      <c r="J685">
        <v>2213.8000000000002</v>
      </c>
    </row>
    <row r="686" spans="1:10" hidden="1" x14ac:dyDescent="0.35">
      <c r="A686" t="str">
        <f t="shared" si="10"/>
        <v>Bertópolis20174.2</v>
      </c>
      <c r="B686">
        <v>3106606</v>
      </c>
      <c r="C686" t="s">
        <v>42</v>
      </c>
      <c r="D686">
        <v>2017</v>
      </c>
      <c r="E686">
        <v>6</v>
      </c>
      <c r="F686">
        <v>45</v>
      </c>
      <c r="G686" t="s">
        <v>35</v>
      </c>
      <c r="H686" t="s">
        <v>29</v>
      </c>
      <c r="I686" s="1" t="s">
        <v>36</v>
      </c>
      <c r="J686">
        <v>9715.84</v>
      </c>
    </row>
    <row r="687" spans="1:10" hidden="1" x14ac:dyDescent="0.35">
      <c r="A687" t="str">
        <f t="shared" si="10"/>
        <v>Bertópolis20174.8</v>
      </c>
      <c r="B687">
        <v>3106606</v>
      </c>
      <c r="C687" t="s">
        <v>42</v>
      </c>
      <c r="D687">
        <v>2017</v>
      </c>
      <c r="E687">
        <v>6</v>
      </c>
      <c r="F687">
        <v>56</v>
      </c>
      <c r="G687" t="s">
        <v>37</v>
      </c>
      <c r="H687" t="s">
        <v>29</v>
      </c>
      <c r="I687" s="1" t="s">
        <v>38</v>
      </c>
      <c r="J687">
        <v>6964.53</v>
      </c>
    </row>
    <row r="688" spans="1:10" hidden="1" x14ac:dyDescent="0.35">
      <c r="A688" t="str">
        <f t="shared" si="10"/>
        <v>Bertópolis20174.9</v>
      </c>
      <c r="B688">
        <v>3106606</v>
      </c>
      <c r="C688" t="s">
        <v>42</v>
      </c>
      <c r="D688">
        <v>2017</v>
      </c>
      <c r="E688">
        <v>6</v>
      </c>
      <c r="F688">
        <v>57</v>
      </c>
      <c r="G688" t="s">
        <v>39</v>
      </c>
      <c r="H688" t="s">
        <v>29</v>
      </c>
      <c r="I688" s="1" t="s">
        <v>40</v>
      </c>
      <c r="J688">
        <v>6964.53</v>
      </c>
    </row>
    <row r="689" spans="1:10" hidden="1" x14ac:dyDescent="0.35">
      <c r="A689" t="str">
        <f t="shared" si="10"/>
        <v>Carlos Chagas20171.1</v>
      </c>
      <c r="B689">
        <v>3113701</v>
      </c>
      <c r="C689" t="s">
        <v>43</v>
      </c>
      <c r="D689">
        <v>2017</v>
      </c>
      <c r="E689">
        <v>6</v>
      </c>
      <c r="F689">
        <v>24</v>
      </c>
      <c r="G689" t="s">
        <v>10</v>
      </c>
      <c r="H689" t="s">
        <v>11</v>
      </c>
      <c r="I689" s="1" t="s">
        <v>12</v>
      </c>
      <c r="J689">
        <v>0.2969</v>
      </c>
    </row>
    <row r="690" spans="1:10" hidden="1" x14ac:dyDescent="0.35">
      <c r="A690" t="str">
        <f t="shared" si="10"/>
        <v>Carlos Chagas20171.2</v>
      </c>
      <c r="B690">
        <v>3113701</v>
      </c>
      <c r="C690" t="s">
        <v>43</v>
      </c>
      <c r="D690">
        <v>2017</v>
      </c>
      <c r="E690">
        <v>6</v>
      </c>
      <c r="F690">
        <v>67</v>
      </c>
      <c r="G690" t="s">
        <v>13</v>
      </c>
      <c r="H690" t="s">
        <v>11</v>
      </c>
      <c r="I690" s="1" t="s">
        <v>14</v>
      </c>
      <c r="J690">
        <v>0.70089999999999997</v>
      </c>
    </row>
    <row r="691" spans="1:10" hidden="1" x14ac:dyDescent="0.35">
      <c r="A691" t="str">
        <f t="shared" si="10"/>
        <v>Carlos Chagas20171.3</v>
      </c>
      <c r="B691">
        <v>3113701</v>
      </c>
      <c r="C691" t="s">
        <v>43</v>
      </c>
      <c r="D691">
        <v>2017</v>
      </c>
      <c r="E691">
        <v>6</v>
      </c>
      <c r="F691">
        <v>68</v>
      </c>
      <c r="G691" t="s">
        <v>15</v>
      </c>
      <c r="H691" t="s">
        <v>11</v>
      </c>
      <c r="I691" s="1" t="s">
        <v>16</v>
      </c>
      <c r="J691">
        <v>0.29659999999999997</v>
      </c>
    </row>
    <row r="692" spans="1:10" hidden="1" x14ac:dyDescent="0.35">
      <c r="A692" t="str">
        <f t="shared" si="10"/>
        <v>Carlos Chagas20172.1</v>
      </c>
      <c r="B692">
        <v>3113701</v>
      </c>
      <c r="C692" t="s">
        <v>43</v>
      </c>
      <c r="D692">
        <v>2017</v>
      </c>
      <c r="E692">
        <v>6</v>
      </c>
      <c r="F692">
        <v>28</v>
      </c>
      <c r="G692" t="s">
        <v>17</v>
      </c>
      <c r="H692" t="s">
        <v>18</v>
      </c>
      <c r="I692" s="1" t="s">
        <v>19</v>
      </c>
      <c r="J692">
        <v>0.37690000000000001</v>
      </c>
    </row>
    <row r="693" spans="1:10" hidden="1" x14ac:dyDescent="0.35">
      <c r="A693" t="str">
        <f t="shared" si="10"/>
        <v>Carlos Chagas20172.2</v>
      </c>
      <c r="B693">
        <v>3113701</v>
      </c>
      <c r="C693" t="s">
        <v>43</v>
      </c>
      <c r="D693">
        <v>2017</v>
      </c>
      <c r="E693">
        <v>6</v>
      </c>
      <c r="F693">
        <v>29</v>
      </c>
      <c r="G693" t="s">
        <v>20</v>
      </c>
      <c r="H693" t="s">
        <v>18</v>
      </c>
      <c r="I693" s="1" t="s">
        <v>21</v>
      </c>
      <c r="J693">
        <v>0.62050000000000005</v>
      </c>
    </row>
    <row r="694" spans="1:10" hidden="1" x14ac:dyDescent="0.35">
      <c r="A694" t="str">
        <f t="shared" si="10"/>
        <v>Carlos Chagas20172.4</v>
      </c>
      <c r="B694">
        <v>3113701</v>
      </c>
      <c r="C694" t="s">
        <v>43</v>
      </c>
      <c r="D694">
        <v>2017</v>
      </c>
      <c r="E694">
        <v>6</v>
      </c>
      <c r="F694">
        <v>31</v>
      </c>
      <c r="G694" t="s">
        <v>22</v>
      </c>
      <c r="H694" t="s">
        <v>18</v>
      </c>
      <c r="I694" s="1" t="s">
        <v>23</v>
      </c>
      <c r="J694">
        <v>0.2054</v>
      </c>
    </row>
    <row r="695" spans="1:10" hidden="1" x14ac:dyDescent="0.35">
      <c r="A695" t="str">
        <f t="shared" si="10"/>
        <v>Carlos Chagas20172.5</v>
      </c>
      <c r="B695">
        <v>3113701</v>
      </c>
      <c r="C695" t="s">
        <v>43</v>
      </c>
      <c r="D695">
        <v>2017</v>
      </c>
      <c r="E695">
        <v>6</v>
      </c>
      <c r="F695">
        <v>32</v>
      </c>
      <c r="G695" t="s">
        <v>24</v>
      </c>
      <c r="H695" t="s">
        <v>18</v>
      </c>
      <c r="I695" s="1" t="s">
        <v>25</v>
      </c>
      <c r="J695">
        <v>0.66020000000000001</v>
      </c>
    </row>
    <row r="696" spans="1:10" hidden="1" x14ac:dyDescent="0.35">
      <c r="A696" t="str">
        <f t="shared" si="10"/>
        <v>Carlos Chagas20172.8</v>
      </c>
      <c r="B696">
        <v>3113701</v>
      </c>
      <c r="C696" t="s">
        <v>43</v>
      </c>
      <c r="D696">
        <v>2017</v>
      </c>
      <c r="E696">
        <v>6</v>
      </c>
      <c r="F696">
        <v>35</v>
      </c>
      <c r="G696" t="s">
        <v>26</v>
      </c>
      <c r="H696" t="s">
        <v>18</v>
      </c>
      <c r="I696" s="1" t="s">
        <v>27</v>
      </c>
      <c r="J696">
        <v>0.27389999999999998</v>
      </c>
    </row>
    <row r="697" spans="1:10" hidden="1" x14ac:dyDescent="0.35">
      <c r="A697" t="str">
        <f t="shared" si="10"/>
        <v>Carlos Chagas20174.1</v>
      </c>
      <c r="B697">
        <v>3113701</v>
      </c>
      <c r="C697" t="s">
        <v>43</v>
      </c>
      <c r="D697">
        <v>2017</v>
      </c>
      <c r="E697">
        <v>6</v>
      </c>
      <c r="F697">
        <v>44</v>
      </c>
      <c r="G697" t="s">
        <v>28</v>
      </c>
      <c r="H697" t="s">
        <v>29</v>
      </c>
      <c r="I697" s="1" t="s">
        <v>30</v>
      </c>
      <c r="J697">
        <v>5414.71</v>
      </c>
    </row>
    <row r="698" spans="1:10" hidden="1" x14ac:dyDescent="0.35">
      <c r="A698" t="str">
        <f t="shared" si="10"/>
        <v>Carlos Chagas20174.10</v>
      </c>
      <c r="B698">
        <v>3113701</v>
      </c>
      <c r="C698" t="s">
        <v>43</v>
      </c>
      <c r="D698">
        <v>2017</v>
      </c>
      <c r="E698">
        <v>6</v>
      </c>
      <c r="F698">
        <v>58</v>
      </c>
      <c r="G698" t="s">
        <v>31</v>
      </c>
      <c r="H698" t="s">
        <v>29</v>
      </c>
      <c r="I698" s="1" t="s">
        <v>32</v>
      </c>
      <c r="J698">
        <v>2563.08</v>
      </c>
    </row>
    <row r="699" spans="1:10" hidden="1" x14ac:dyDescent="0.35">
      <c r="A699" t="str">
        <f t="shared" si="10"/>
        <v>Carlos Chagas20174.11</v>
      </c>
      <c r="B699">
        <v>3113701</v>
      </c>
      <c r="C699" t="s">
        <v>43</v>
      </c>
      <c r="D699">
        <v>2017</v>
      </c>
      <c r="E699">
        <v>6</v>
      </c>
      <c r="F699">
        <v>59</v>
      </c>
      <c r="G699" t="s">
        <v>33</v>
      </c>
      <c r="H699" t="s">
        <v>29</v>
      </c>
      <c r="I699" s="1" t="s">
        <v>34</v>
      </c>
      <c r="J699">
        <v>746.77</v>
      </c>
    </row>
    <row r="700" spans="1:10" x14ac:dyDescent="0.35">
      <c r="A700" t="str">
        <f t="shared" si="10"/>
        <v>Carlos Chagas20174.2</v>
      </c>
      <c r="B700" s="4">
        <v>3113701</v>
      </c>
      <c r="C700" t="s">
        <v>43</v>
      </c>
      <c r="D700">
        <v>2017</v>
      </c>
      <c r="E700">
        <v>6</v>
      </c>
      <c r="F700">
        <v>45</v>
      </c>
      <c r="G700" t="s">
        <v>35</v>
      </c>
      <c r="H700" t="s">
        <v>29</v>
      </c>
      <c r="I700" s="1" t="s">
        <v>36</v>
      </c>
      <c r="J700" s="5">
        <v>4786.51</v>
      </c>
    </row>
    <row r="701" spans="1:10" hidden="1" x14ac:dyDescent="0.35">
      <c r="A701" t="str">
        <f t="shared" si="10"/>
        <v>Carlos Chagas20174.8</v>
      </c>
      <c r="B701">
        <v>3113701</v>
      </c>
      <c r="C701" t="s">
        <v>43</v>
      </c>
      <c r="D701">
        <v>2017</v>
      </c>
      <c r="E701">
        <v>6</v>
      </c>
      <c r="F701">
        <v>56</v>
      </c>
      <c r="G701" t="s">
        <v>37</v>
      </c>
      <c r="H701" t="s">
        <v>29</v>
      </c>
      <c r="I701" s="1" t="s">
        <v>38</v>
      </c>
      <c r="J701">
        <v>4742.75</v>
      </c>
    </row>
    <row r="702" spans="1:10" hidden="1" x14ac:dyDescent="0.35">
      <c r="A702" t="str">
        <f t="shared" si="10"/>
        <v>Carlos Chagas20174.9</v>
      </c>
      <c r="B702">
        <v>3113701</v>
      </c>
      <c r="C702" t="s">
        <v>43</v>
      </c>
      <c r="D702">
        <v>2017</v>
      </c>
      <c r="E702">
        <v>6</v>
      </c>
      <c r="F702">
        <v>57</v>
      </c>
      <c r="G702" t="s">
        <v>39</v>
      </c>
      <c r="H702" t="s">
        <v>29</v>
      </c>
      <c r="I702" s="1" t="s">
        <v>40</v>
      </c>
      <c r="J702">
        <v>4742.75</v>
      </c>
    </row>
    <row r="703" spans="1:10" hidden="1" x14ac:dyDescent="0.35">
      <c r="A703" t="str">
        <f t="shared" si="10"/>
        <v>Catuji20171.1</v>
      </c>
      <c r="B703">
        <v>3115458</v>
      </c>
      <c r="C703" t="s">
        <v>44</v>
      </c>
      <c r="D703">
        <v>2017</v>
      </c>
      <c r="E703">
        <v>6</v>
      </c>
      <c r="F703">
        <v>24</v>
      </c>
      <c r="G703" t="s">
        <v>10</v>
      </c>
      <c r="H703" t="s">
        <v>11</v>
      </c>
      <c r="I703" s="1" t="s">
        <v>12</v>
      </c>
      <c r="J703">
        <v>0.26319999999999999</v>
      </c>
    </row>
    <row r="704" spans="1:10" hidden="1" x14ac:dyDescent="0.35">
      <c r="A704" t="str">
        <f t="shared" si="10"/>
        <v>Catuji20171.2</v>
      </c>
      <c r="B704">
        <v>3115458</v>
      </c>
      <c r="C704" t="s">
        <v>44</v>
      </c>
      <c r="D704">
        <v>2017</v>
      </c>
      <c r="E704">
        <v>6</v>
      </c>
      <c r="F704">
        <v>67</v>
      </c>
      <c r="G704" t="s">
        <v>13</v>
      </c>
      <c r="H704" t="s">
        <v>11</v>
      </c>
      <c r="I704" s="1" t="s">
        <v>14</v>
      </c>
      <c r="J704">
        <v>0.66120000000000001</v>
      </c>
    </row>
    <row r="705" spans="1:10" hidden="1" x14ac:dyDescent="0.35">
      <c r="A705" t="str">
        <f t="shared" si="10"/>
        <v>Catuji20171.3</v>
      </c>
      <c r="B705">
        <v>3115458</v>
      </c>
      <c r="C705" t="s">
        <v>44</v>
      </c>
      <c r="D705">
        <v>2017</v>
      </c>
      <c r="E705">
        <v>6</v>
      </c>
      <c r="F705">
        <v>68</v>
      </c>
      <c r="G705" t="s">
        <v>15</v>
      </c>
      <c r="H705" t="s">
        <v>11</v>
      </c>
      <c r="I705" s="1" t="s">
        <v>16</v>
      </c>
      <c r="J705">
        <v>0.31979999999999997</v>
      </c>
    </row>
    <row r="706" spans="1:10" hidden="1" x14ac:dyDescent="0.35">
      <c r="A706" t="str">
        <f t="shared" si="10"/>
        <v>Catuji20172.1</v>
      </c>
      <c r="B706">
        <v>3115458</v>
      </c>
      <c r="C706" t="s">
        <v>44</v>
      </c>
      <c r="D706">
        <v>2017</v>
      </c>
      <c r="E706">
        <v>6</v>
      </c>
      <c r="F706">
        <v>28</v>
      </c>
      <c r="G706" t="s">
        <v>17</v>
      </c>
      <c r="H706" t="s">
        <v>18</v>
      </c>
      <c r="I706" s="1" t="s">
        <v>19</v>
      </c>
      <c r="J706">
        <v>5.8999999999999997E-2</v>
      </c>
    </row>
    <row r="707" spans="1:10" hidden="1" x14ac:dyDescent="0.35">
      <c r="A707" t="str">
        <f t="shared" si="10"/>
        <v>Catuji20172.2</v>
      </c>
      <c r="B707">
        <v>3115458</v>
      </c>
      <c r="C707" t="s">
        <v>44</v>
      </c>
      <c r="D707">
        <v>2017</v>
      </c>
      <c r="E707">
        <v>6</v>
      </c>
      <c r="F707">
        <v>29</v>
      </c>
      <c r="G707" t="s">
        <v>20</v>
      </c>
      <c r="H707" t="s">
        <v>18</v>
      </c>
      <c r="I707" s="1" t="s">
        <v>21</v>
      </c>
      <c r="J707">
        <v>0.92200000000000004</v>
      </c>
    </row>
    <row r="708" spans="1:10" hidden="1" x14ac:dyDescent="0.35">
      <c r="A708" t="str">
        <f t="shared" ref="A708:A771" si="11">C708&amp;D708&amp;G708</f>
        <v>Catuji20172.4</v>
      </c>
      <c r="B708">
        <v>3115458</v>
      </c>
      <c r="C708" t="s">
        <v>44</v>
      </c>
      <c r="D708">
        <v>2017</v>
      </c>
      <c r="E708">
        <v>6</v>
      </c>
      <c r="F708">
        <v>31</v>
      </c>
      <c r="G708" t="s">
        <v>22</v>
      </c>
      <c r="H708" t="s">
        <v>18</v>
      </c>
      <c r="I708" s="1" t="s">
        <v>23</v>
      </c>
      <c r="J708">
        <v>2.9000000000000001E-2</v>
      </c>
    </row>
    <row r="709" spans="1:10" hidden="1" x14ac:dyDescent="0.35">
      <c r="A709" t="str">
        <f t="shared" si="11"/>
        <v>Catuji20172.5</v>
      </c>
      <c r="B709">
        <v>3115458</v>
      </c>
      <c r="C709" t="s">
        <v>44</v>
      </c>
      <c r="D709">
        <v>2017</v>
      </c>
      <c r="E709">
        <v>6</v>
      </c>
      <c r="F709">
        <v>32</v>
      </c>
      <c r="G709" t="s">
        <v>24</v>
      </c>
      <c r="H709" t="s">
        <v>18</v>
      </c>
      <c r="I709" s="1" t="s">
        <v>25</v>
      </c>
      <c r="J709">
        <v>0.75700000000000001</v>
      </c>
    </row>
    <row r="710" spans="1:10" hidden="1" x14ac:dyDescent="0.35">
      <c r="A710" t="str">
        <f t="shared" si="11"/>
        <v>Catuji20172.8</v>
      </c>
      <c r="B710">
        <v>3115458</v>
      </c>
      <c r="C710" t="s">
        <v>44</v>
      </c>
      <c r="D710">
        <v>2017</v>
      </c>
      <c r="E710">
        <v>6</v>
      </c>
      <c r="F710">
        <v>35</v>
      </c>
      <c r="G710" t="s">
        <v>26</v>
      </c>
      <c r="H710" t="s">
        <v>18</v>
      </c>
      <c r="I710" s="1" t="s">
        <v>27</v>
      </c>
      <c r="J710">
        <v>0.31309999999999999</v>
      </c>
    </row>
    <row r="711" spans="1:10" hidden="1" x14ac:dyDescent="0.35">
      <c r="A711" t="str">
        <f t="shared" si="11"/>
        <v>Catuji20174.1</v>
      </c>
      <c r="B711">
        <v>3115458</v>
      </c>
      <c r="C711" t="s">
        <v>44</v>
      </c>
      <c r="D711">
        <v>2017</v>
      </c>
      <c r="E711">
        <v>6</v>
      </c>
      <c r="F711">
        <v>44</v>
      </c>
      <c r="G711" t="s">
        <v>28</v>
      </c>
      <c r="H711" t="s">
        <v>29</v>
      </c>
      <c r="I711" s="1" t="s">
        <v>30</v>
      </c>
      <c r="J711">
        <v>598.01</v>
      </c>
    </row>
    <row r="712" spans="1:10" hidden="1" x14ac:dyDescent="0.35">
      <c r="A712" t="str">
        <f t="shared" si="11"/>
        <v>Catuji20174.10</v>
      </c>
      <c r="B712">
        <v>3115458</v>
      </c>
      <c r="C712" t="s">
        <v>44</v>
      </c>
      <c r="D712">
        <v>2017</v>
      </c>
      <c r="E712">
        <v>6</v>
      </c>
      <c r="F712">
        <v>58</v>
      </c>
      <c r="G712" t="s">
        <v>31</v>
      </c>
      <c r="H712" t="s">
        <v>29</v>
      </c>
      <c r="I712" s="1" t="s">
        <v>32</v>
      </c>
      <c r="J712">
        <v>3813.95</v>
      </c>
    </row>
    <row r="713" spans="1:10" hidden="1" x14ac:dyDescent="0.35">
      <c r="A713" t="str">
        <f t="shared" si="11"/>
        <v>Catuji20174.11</v>
      </c>
      <c r="B713">
        <v>3115458</v>
      </c>
      <c r="C713" t="s">
        <v>44</v>
      </c>
      <c r="D713">
        <v>2017</v>
      </c>
      <c r="E713">
        <v>6</v>
      </c>
      <c r="F713">
        <v>59</v>
      </c>
      <c r="G713" t="s">
        <v>33</v>
      </c>
      <c r="H713" t="s">
        <v>29</v>
      </c>
      <c r="I713" s="1" t="s">
        <v>34</v>
      </c>
      <c r="J713">
        <v>952.43</v>
      </c>
    </row>
    <row r="714" spans="1:10" hidden="1" x14ac:dyDescent="0.35">
      <c r="A714" t="str">
        <f t="shared" si="11"/>
        <v>Catuji20174.2</v>
      </c>
      <c r="B714">
        <v>3115458</v>
      </c>
      <c r="C714" t="s">
        <v>44</v>
      </c>
      <c r="D714">
        <v>2017</v>
      </c>
      <c r="E714">
        <v>6</v>
      </c>
      <c r="F714">
        <v>45</v>
      </c>
      <c r="G714" t="s">
        <v>35</v>
      </c>
      <c r="H714" t="s">
        <v>29</v>
      </c>
      <c r="I714" s="1" t="s">
        <v>36</v>
      </c>
      <c r="J714">
        <v>7177.49</v>
      </c>
    </row>
    <row r="715" spans="1:10" hidden="1" x14ac:dyDescent="0.35">
      <c r="A715" t="str">
        <f t="shared" si="11"/>
        <v>Catuji20174.8</v>
      </c>
      <c r="B715">
        <v>3115458</v>
      </c>
      <c r="C715" t="s">
        <v>44</v>
      </c>
      <c r="D715">
        <v>2017</v>
      </c>
      <c r="E715">
        <v>6</v>
      </c>
      <c r="F715">
        <v>56</v>
      </c>
      <c r="G715" t="s">
        <v>37</v>
      </c>
      <c r="H715" t="s">
        <v>29</v>
      </c>
      <c r="I715" s="1" t="s">
        <v>38</v>
      </c>
      <c r="J715">
        <v>4766.38</v>
      </c>
    </row>
    <row r="716" spans="1:10" hidden="1" x14ac:dyDescent="0.35">
      <c r="A716" t="str">
        <f t="shared" si="11"/>
        <v>Catuji20174.9</v>
      </c>
      <c r="B716">
        <v>3115458</v>
      </c>
      <c r="C716" t="s">
        <v>44</v>
      </c>
      <c r="D716">
        <v>2017</v>
      </c>
      <c r="E716">
        <v>6</v>
      </c>
      <c r="F716">
        <v>57</v>
      </c>
      <c r="G716" t="s">
        <v>39</v>
      </c>
      <c r="H716" t="s">
        <v>29</v>
      </c>
      <c r="I716" s="1" t="s">
        <v>40</v>
      </c>
      <c r="J716">
        <v>4766.38</v>
      </c>
    </row>
    <row r="717" spans="1:10" hidden="1" x14ac:dyDescent="0.35">
      <c r="A717" t="str">
        <f t="shared" si="11"/>
        <v>Crisólita20171.1</v>
      </c>
      <c r="B717">
        <v>3120151</v>
      </c>
      <c r="C717" t="s">
        <v>45</v>
      </c>
      <c r="D717">
        <v>2017</v>
      </c>
      <c r="E717">
        <v>6</v>
      </c>
      <c r="F717">
        <v>24</v>
      </c>
      <c r="G717" t="s">
        <v>10</v>
      </c>
      <c r="H717" t="s">
        <v>11</v>
      </c>
      <c r="I717" s="1" t="s">
        <v>12</v>
      </c>
      <c r="J717">
        <v>0.25209999999999999</v>
      </c>
    </row>
    <row r="718" spans="1:10" hidden="1" x14ac:dyDescent="0.35">
      <c r="A718" t="str">
        <f t="shared" si="11"/>
        <v>Crisólita20171.2</v>
      </c>
      <c r="B718">
        <v>3120151</v>
      </c>
      <c r="C718" t="s">
        <v>45</v>
      </c>
      <c r="D718">
        <v>2017</v>
      </c>
      <c r="E718">
        <v>6</v>
      </c>
      <c r="F718">
        <v>67</v>
      </c>
      <c r="G718" t="s">
        <v>13</v>
      </c>
      <c r="H718" t="s">
        <v>11</v>
      </c>
      <c r="I718" s="1" t="s">
        <v>14</v>
      </c>
      <c r="J718">
        <v>0.64190000000000003</v>
      </c>
    </row>
    <row r="719" spans="1:10" hidden="1" x14ac:dyDescent="0.35">
      <c r="A719" t="str">
        <f t="shared" si="11"/>
        <v>Crisólita20171.3</v>
      </c>
      <c r="B719">
        <v>3120151</v>
      </c>
      <c r="C719" t="s">
        <v>45</v>
      </c>
      <c r="D719">
        <v>2017</v>
      </c>
      <c r="E719">
        <v>6</v>
      </c>
      <c r="F719">
        <v>68</v>
      </c>
      <c r="G719" t="s">
        <v>15</v>
      </c>
      <c r="H719" t="s">
        <v>11</v>
      </c>
      <c r="I719" s="1" t="s">
        <v>16</v>
      </c>
      <c r="J719">
        <v>0.3579</v>
      </c>
    </row>
    <row r="720" spans="1:10" hidden="1" x14ac:dyDescent="0.35">
      <c r="A720" t="str">
        <f t="shared" si="11"/>
        <v>Crisólita20172.1</v>
      </c>
      <c r="B720">
        <v>3120151</v>
      </c>
      <c r="C720" t="s">
        <v>45</v>
      </c>
      <c r="D720">
        <v>2017</v>
      </c>
      <c r="E720">
        <v>6</v>
      </c>
      <c r="F720">
        <v>28</v>
      </c>
      <c r="G720" t="s">
        <v>17</v>
      </c>
      <c r="H720" t="s">
        <v>18</v>
      </c>
      <c r="I720" s="1" t="s">
        <v>19</v>
      </c>
      <c r="J720">
        <v>9.0399999999999994E-2</v>
      </c>
    </row>
    <row r="721" spans="1:10" hidden="1" x14ac:dyDescent="0.35">
      <c r="A721" t="str">
        <f t="shared" si="11"/>
        <v>Crisólita20172.2</v>
      </c>
      <c r="B721">
        <v>3120151</v>
      </c>
      <c r="C721" t="s">
        <v>45</v>
      </c>
      <c r="D721">
        <v>2017</v>
      </c>
      <c r="E721">
        <v>6</v>
      </c>
      <c r="F721">
        <v>29</v>
      </c>
      <c r="G721" t="s">
        <v>20</v>
      </c>
      <c r="H721" t="s">
        <v>18</v>
      </c>
      <c r="I721" s="1" t="s">
        <v>21</v>
      </c>
      <c r="J721">
        <v>0.90939999999999999</v>
      </c>
    </row>
    <row r="722" spans="1:10" hidden="1" x14ac:dyDescent="0.35">
      <c r="A722" t="str">
        <f t="shared" si="11"/>
        <v>Crisólita20172.4</v>
      </c>
      <c r="B722">
        <v>3120151</v>
      </c>
      <c r="C722" t="s">
        <v>45</v>
      </c>
      <c r="D722">
        <v>2017</v>
      </c>
      <c r="E722">
        <v>6</v>
      </c>
      <c r="F722">
        <v>31</v>
      </c>
      <c r="G722" t="s">
        <v>22</v>
      </c>
      <c r="H722" t="s">
        <v>18</v>
      </c>
      <c r="I722" s="1" t="s">
        <v>23</v>
      </c>
      <c r="J722">
        <v>8.6900000000000005E-2</v>
      </c>
    </row>
    <row r="723" spans="1:10" hidden="1" x14ac:dyDescent="0.35">
      <c r="A723" t="str">
        <f t="shared" si="11"/>
        <v>Crisólita20172.5</v>
      </c>
      <c r="B723">
        <v>3120151</v>
      </c>
      <c r="C723" t="s">
        <v>45</v>
      </c>
      <c r="D723">
        <v>2017</v>
      </c>
      <c r="E723">
        <v>6</v>
      </c>
      <c r="F723">
        <v>32</v>
      </c>
      <c r="G723" t="s">
        <v>24</v>
      </c>
      <c r="H723" t="s">
        <v>18</v>
      </c>
      <c r="I723" s="1" t="s">
        <v>25</v>
      </c>
      <c r="J723">
        <v>0.77180000000000004</v>
      </c>
    </row>
    <row r="724" spans="1:10" hidden="1" x14ac:dyDescent="0.35">
      <c r="A724" t="str">
        <f t="shared" si="11"/>
        <v>Crisólita20172.8</v>
      </c>
      <c r="B724">
        <v>3120151</v>
      </c>
      <c r="C724" t="s">
        <v>45</v>
      </c>
      <c r="D724">
        <v>2017</v>
      </c>
      <c r="E724">
        <v>6</v>
      </c>
      <c r="F724">
        <v>35</v>
      </c>
      <c r="G724" t="s">
        <v>26</v>
      </c>
      <c r="H724" t="s">
        <v>18</v>
      </c>
      <c r="I724" s="1" t="s">
        <v>27</v>
      </c>
      <c r="J724">
        <v>0.2762</v>
      </c>
    </row>
    <row r="725" spans="1:10" hidden="1" x14ac:dyDescent="0.35">
      <c r="A725" t="str">
        <f t="shared" si="11"/>
        <v>Crisólita20174.1</v>
      </c>
      <c r="B725">
        <v>3120151</v>
      </c>
      <c r="C725" t="s">
        <v>45</v>
      </c>
      <c r="D725">
        <v>2017</v>
      </c>
      <c r="E725">
        <v>6</v>
      </c>
      <c r="F725">
        <v>44</v>
      </c>
      <c r="G725" t="s">
        <v>28</v>
      </c>
      <c r="H725" t="s">
        <v>29</v>
      </c>
      <c r="I725" s="1" t="s">
        <v>30</v>
      </c>
      <c r="J725">
        <v>1942.53</v>
      </c>
    </row>
    <row r="726" spans="1:10" hidden="1" x14ac:dyDescent="0.35">
      <c r="A726" t="str">
        <f t="shared" si="11"/>
        <v>Crisólita20174.10</v>
      </c>
      <c r="B726">
        <v>3120151</v>
      </c>
      <c r="C726" t="s">
        <v>45</v>
      </c>
      <c r="D726">
        <v>2017</v>
      </c>
      <c r="E726">
        <v>6</v>
      </c>
      <c r="F726">
        <v>58</v>
      </c>
      <c r="G726" t="s">
        <v>31</v>
      </c>
      <c r="H726" t="s">
        <v>29</v>
      </c>
      <c r="I726" s="1" t="s">
        <v>32</v>
      </c>
      <c r="J726">
        <v>2309.1799999999998</v>
      </c>
    </row>
    <row r="727" spans="1:10" hidden="1" x14ac:dyDescent="0.35">
      <c r="A727" t="str">
        <f t="shared" si="11"/>
        <v>Crisólita20174.11</v>
      </c>
      <c r="B727">
        <v>3120151</v>
      </c>
      <c r="C727" t="s">
        <v>45</v>
      </c>
      <c r="D727">
        <v>2017</v>
      </c>
      <c r="E727">
        <v>6</v>
      </c>
      <c r="F727">
        <v>59</v>
      </c>
      <c r="G727" t="s">
        <v>33</v>
      </c>
      <c r="H727" t="s">
        <v>29</v>
      </c>
      <c r="I727" s="1" t="s">
        <v>34</v>
      </c>
      <c r="J727">
        <v>951.23</v>
      </c>
    </row>
    <row r="728" spans="1:10" hidden="1" x14ac:dyDescent="0.35">
      <c r="A728" t="str">
        <f t="shared" si="11"/>
        <v>Crisólita20174.2</v>
      </c>
      <c r="B728">
        <v>3120151</v>
      </c>
      <c r="C728" t="s">
        <v>45</v>
      </c>
      <c r="D728">
        <v>2017</v>
      </c>
      <c r="E728">
        <v>6</v>
      </c>
      <c r="F728">
        <v>45</v>
      </c>
      <c r="G728" t="s">
        <v>35</v>
      </c>
      <c r="H728" t="s">
        <v>29</v>
      </c>
      <c r="I728" s="1" t="s">
        <v>36</v>
      </c>
      <c r="J728">
        <v>5511.8</v>
      </c>
    </row>
    <row r="729" spans="1:10" hidden="1" x14ac:dyDescent="0.35">
      <c r="A729" t="str">
        <f t="shared" si="11"/>
        <v>Crisólita20174.8</v>
      </c>
      <c r="B729">
        <v>3120151</v>
      </c>
      <c r="C729" t="s">
        <v>45</v>
      </c>
      <c r="D729">
        <v>2017</v>
      </c>
      <c r="E729">
        <v>6</v>
      </c>
      <c r="F729">
        <v>56</v>
      </c>
      <c r="G729" t="s">
        <v>37</v>
      </c>
      <c r="H729" t="s">
        <v>29</v>
      </c>
      <c r="I729" s="1" t="s">
        <v>38</v>
      </c>
      <c r="J729">
        <v>4561.7</v>
      </c>
    </row>
    <row r="730" spans="1:10" hidden="1" x14ac:dyDescent="0.35">
      <c r="A730" t="str">
        <f t="shared" si="11"/>
        <v>Crisólita20174.9</v>
      </c>
      <c r="B730">
        <v>3120151</v>
      </c>
      <c r="C730" t="s">
        <v>45</v>
      </c>
      <c r="D730">
        <v>2017</v>
      </c>
      <c r="E730">
        <v>6</v>
      </c>
      <c r="F730">
        <v>57</v>
      </c>
      <c r="G730" t="s">
        <v>39</v>
      </c>
      <c r="H730" t="s">
        <v>29</v>
      </c>
      <c r="I730" s="1" t="s">
        <v>40</v>
      </c>
      <c r="J730">
        <v>4561.7</v>
      </c>
    </row>
    <row r="731" spans="1:10" hidden="1" x14ac:dyDescent="0.35">
      <c r="A731" t="str">
        <f t="shared" si="11"/>
        <v>Franciscópolis20171.1</v>
      </c>
      <c r="B731">
        <v>3126752</v>
      </c>
      <c r="C731" t="s">
        <v>46</v>
      </c>
      <c r="D731">
        <v>2017</v>
      </c>
      <c r="E731">
        <v>6</v>
      </c>
      <c r="F731">
        <v>24</v>
      </c>
      <c r="G731" t="s">
        <v>10</v>
      </c>
      <c r="H731" t="s">
        <v>11</v>
      </c>
      <c r="I731" s="1" t="s">
        <v>12</v>
      </c>
      <c r="J731">
        <v>0.32729999999999998</v>
      </c>
    </row>
    <row r="732" spans="1:10" hidden="1" x14ac:dyDescent="0.35">
      <c r="A732" t="str">
        <f t="shared" si="11"/>
        <v>Franciscópolis20171.2</v>
      </c>
      <c r="B732">
        <v>3126752</v>
      </c>
      <c r="C732" t="s">
        <v>46</v>
      </c>
      <c r="D732">
        <v>2017</v>
      </c>
      <c r="E732">
        <v>6</v>
      </c>
      <c r="F732">
        <v>67</v>
      </c>
      <c r="G732" t="s">
        <v>13</v>
      </c>
      <c r="H732" t="s">
        <v>11</v>
      </c>
      <c r="I732" s="1" t="s">
        <v>14</v>
      </c>
      <c r="J732">
        <v>0.96809999999999996</v>
      </c>
    </row>
    <row r="733" spans="1:10" hidden="1" x14ac:dyDescent="0.35">
      <c r="A733" t="str">
        <f t="shared" si="11"/>
        <v>Franciscópolis20171.3</v>
      </c>
      <c r="B733">
        <v>3126752</v>
      </c>
      <c r="C733" t="s">
        <v>46</v>
      </c>
      <c r="D733">
        <v>2017</v>
      </c>
      <c r="E733">
        <v>6</v>
      </c>
      <c r="F733">
        <v>68</v>
      </c>
      <c r="G733" t="s">
        <v>15</v>
      </c>
      <c r="H733" t="s">
        <v>11</v>
      </c>
      <c r="I733" s="1" t="s">
        <v>16</v>
      </c>
      <c r="J733">
        <v>2.8500000000000001E-2</v>
      </c>
    </row>
    <row r="734" spans="1:10" hidden="1" x14ac:dyDescent="0.35">
      <c r="A734" t="str">
        <f t="shared" si="11"/>
        <v>Franciscópolis20172.1</v>
      </c>
      <c r="B734">
        <v>3126752</v>
      </c>
      <c r="C734" t="s">
        <v>46</v>
      </c>
      <c r="D734">
        <v>2017</v>
      </c>
      <c r="E734">
        <v>6</v>
      </c>
      <c r="F734">
        <v>28</v>
      </c>
      <c r="G734" t="s">
        <v>17</v>
      </c>
      <c r="H734" t="s">
        <v>18</v>
      </c>
      <c r="I734" s="1" t="s">
        <v>19</v>
      </c>
      <c r="J734">
        <v>0.1095</v>
      </c>
    </row>
    <row r="735" spans="1:10" hidden="1" x14ac:dyDescent="0.35">
      <c r="A735" t="str">
        <f t="shared" si="11"/>
        <v>Franciscópolis20172.2</v>
      </c>
      <c r="B735">
        <v>3126752</v>
      </c>
      <c r="C735" t="s">
        <v>46</v>
      </c>
      <c r="D735">
        <v>2017</v>
      </c>
      <c r="E735">
        <v>6</v>
      </c>
      <c r="F735">
        <v>29</v>
      </c>
      <c r="G735" t="s">
        <v>20</v>
      </c>
      <c r="H735" t="s">
        <v>18</v>
      </c>
      <c r="I735" s="1" t="s">
        <v>21</v>
      </c>
      <c r="J735">
        <v>0.8871</v>
      </c>
    </row>
    <row r="736" spans="1:10" hidden="1" x14ac:dyDescent="0.35">
      <c r="A736" t="str">
        <f t="shared" si="11"/>
        <v>Franciscópolis20172.4</v>
      </c>
      <c r="B736">
        <v>3126752</v>
      </c>
      <c r="C736" t="s">
        <v>46</v>
      </c>
      <c r="D736">
        <v>2017</v>
      </c>
      <c r="E736">
        <v>6</v>
      </c>
      <c r="F736">
        <v>31</v>
      </c>
      <c r="G736" t="s">
        <v>22</v>
      </c>
      <c r="H736" t="s">
        <v>18</v>
      </c>
      <c r="I736" s="1" t="s">
        <v>23</v>
      </c>
      <c r="J736">
        <v>6.8199999999999997E-2</v>
      </c>
    </row>
    <row r="737" spans="1:10" hidden="1" x14ac:dyDescent="0.35">
      <c r="A737" t="str">
        <f t="shared" si="11"/>
        <v>Franciscópolis20172.5</v>
      </c>
      <c r="B737">
        <v>3126752</v>
      </c>
      <c r="C737" t="s">
        <v>46</v>
      </c>
      <c r="D737">
        <v>2017</v>
      </c>
      <c r="E737">
        <v>6</v>
      </c>
      <c r="F737">
        <v>32</v>
      </c>
      <c r="G737" t="s">
        <v>24</v>
      </c>
      <c r="H737" t="s">
        <v>18</v>
      </c>
      <c r="I737" s="1" t="s">
        <v>25</v>
      </c>
      <c r="J737">
        <v>0.69510000000000005</v>
      </c>
    </row>
    <row r="738" spans="1:10" hidden="1" x14ac:dyDescent="0.35">
      <c r="A738" t="str">
        <f t="shared" si="11"/>
        <v>Franciscópolis20172.8</v>
      </c>
      <c r="B738">
        <v>3126752</v>
      </c>
      <c r="C738" t="s">
        <v>46</v>
      </c>
      <c r="D738">
        <v>2017</v>
      </c>
      <c r="E738">
        <v>6</v>
      </c>
      <c r="F738">
        <v>35</v>
      </c>
      <c r="G738" t="s">
        <v>26</v>
      </c>
      <c r="H738" t="s">
        <v>18</v>
      </c>
      <c r="I738" s="1" t="s">
        <v>27</v>
      </c>
      <c r="J738">
        <v>0.34960000000000002</v>
      </c>
    </row>
    <row r="739" spans="1:10" hidden="1" x14ac:dyDescent="0.35">
      <c r="A739" t="str">
        <f t="shared" si="11"/>
        <v>Franciscópolis20174.1</v>
      </c>
      <c r="B739">
        <v>3126752</v>
      </c>
      <c r="C739" t="s">
        <v>46</v>
      </c>
      <c r="D739">
        <v>2017</v>
      </c>
      <c r="E739">
        <v>6</v>
      </c>
      <c r="F739">
        <v>44</v>
      </c>
      <c r="G739" t="s">
        <v>28</v>
      </c>
      <c r="H739" t="s">
        <v>29</v>
      </c>
      <c r="I739" s="1" t="s">
        <v>30</v>
      </c>
      <c r="J739">
        <v>2562.2399999999998</v>
      </c>
    </row>
    <row r="740" spans="1:10" hidden="1" x14ac:dyDescent="0.35">
      <c r="A740" t="str">
        <f t="shared" si="11"/>
        <v>Franciscópolis20174.10</v>
      </c>
      <c r="B740">
        <v>3126752</v>
      </c>
      <c r="C740" t="s">
        <v>46</v>
      </c>
      <c r="D740">
        <v>2017</v>
      </c>
      <c r="E740">
        <v>6</v>
      </c>
      <c r="F740">
        <v>58</v>
      </c>
      <c r="G740" t="s">
        <v>31</v>
      </c>
      <c r="H740" t="s">
        <v>29</v>
      </c>
      <c r="I740" s="1" t="s">
        <v>32</v>
      </c>
      <c r="J740">
        <v>4905.7</v>
      </c>
    </row>
    <row r="741" spans="1:10" hidden="1" x14ac:dyDescent="0.35">
      <c r="A741" t="str">
        <f t="shared" si="11"/>
        <v>Franciscópolis20174.11</v>
      </c>
      <c r="B741">
        <v>3126752</v>
      </c>
      <c r="C741" t="s">
        <v>46</v>
      </c>
      <c r="D741">
        <v>2017</v>
      </c>
      <c r="E741">
        <v>6</v>
      </c>
      <c r="F741">
        <v>59</v>
      </c>
      <c r="G741" t="s">
        <v>33</v>
      </c>
      <c r="H741" t="s">
        <v>29</v>
      </c>
      <c r="I741" s="1" t="s">
        <v>34</v>
      </c>
      <c r="J741">
        <v>1090.6300000000001</v>
      </c>
    </row>
    <row r="742" spans="1:10" hidden="1" x14ac:dyDescent="0.35">
      <c r="A742" t="str">
        <f t="shared" si="11"/>
        <v>Franciscópolis20174.2</v>
      </c>
      <c r="B742">
        <v>3126752</v>
      </c>
      <c r="C742" t="s">
        <v>46</v>
      </c>
      <c r="D742">
        <v>2017</v>
      </c>
      <c r="E742">
        <v>6</v>
      </c>
      <c r="F742">
        <v>45</v>
      </c>
      <c r="G742" t="s">
        <v>35</v>
      </c>
      <c r="H742" t="s">
        <v>29</v>
      </c>
      <c r="I742" s="1" t="s">
        <v>36</v>
      </c>
      <c r="J742">
        <v>8501.2199999999993</v>
      </c>
    </row>
    <row r="743" spans="1:10" hidden="1" x14ac:dyDescent="0.35">
      <c r="A743" t="str">
        <f t="shared" si="11"/>
        <v>Franciscópolis20174.8</v>
      </c>
      <c r="B743">
        <v>3126752</v>
      </c>
      <c r="C743" t="s">
        <v>46</v>
      </c>
      <c r="D743">
        <v>2017</v>
      </c>
      <c r="E743">
        <v>6</v>
      </c>
      <c r="F743">
        <v>56</v>
      </c>
      <c r="G743" t="s">
        <v>37</v>
      </c>
      <c r="H743" t="s">
        <v>29</v>
      </c>
      <c r="I743" s="1" t="s">
        <v>38</v>
      </c>
      <c r="J743">
        <v>6883.56</v>
      </c>
    </row>
    <row r="744" spans="1:10" hidden="1" x14ac:dyDescent="0.35">
      <c r="A744" t="str">
        <f t="shared" si="11"/>
        <v>Franciscópolis20174.9</v>
      </c>
      <c r="B744">
        <v>3126752</v>
      </c>
      <c r="C744" t="s">
        <v>46</v>
      </c>
      <c r="D744">
        <v>2017</v>
      </c>
      <c r="E744">
        <v>6</v>
      </c>
      <c r="F744">
        <v>57</v>
      </c>
      <c r="G744" t="s">
        <v>39</v>
      </c>
      <c r="H744" t="s">
        <v>29</v>
      </c>
      <c r="I744" s="1" t="s">
        <v>40</v>
      </c>
      <c r="J744">
        <v>6883.56</v>
      </c>
    </row>
    <row r="745" spans="1:10" hidden="1" x14ac:dyDescent="0.35">
      <c r="A745" t="str">
        <f t="shared" si="11"/>
        <v>Frei Gaspar20171.1</v>
      </c>
      <c r="B745">
        <v>3126802</v>
      </c>
      <c r="C745" t="s">
        <v>47</v>
      </c>
      <c r="D745">
        <v>2017</v>
      </c>
      <c r="E745">
        <v>6</v>
      </c>
      <c r="F745">
        <v>24</v>
      </c>
      <c r="G745" t="s">
        <v>10</v>
      </c>
      <c r="H745" t="s">
        <v>11</v>
      </c>
      <c r="I745" s="1" t="s">
        <v>12</v>
      </c>
      <c r="J745">
        <v>0.31269999999999998</v>
      </c>
    </row>
    <row r="746" spans="1:10" hidden="1" x14ac:dyDescent="0.35">
      <c r="A746" t="str">
        <f t="shared" si="11"/>
        <v>Frei Gaspar20171.2</v>
      </c>
      <c r="B746">
        <v>3126802</v>
      </c>
      <c r="C746" t="s">
        <v>47</v>
      </c>
      <c r="D746">
        <v>2017</v>
      </c>
      <c r="E746">
        <v>6</v>
      </c>
      <c r="F746">
        <v>67</v>
      </c>
      <c r="G746" t="s">
        <v>13</v>
      </c>
      <c r="H746" t="s">
        <v>11</v>
      </c>
      <c r="I746" s="1" t="s">
        <v>14</v>
      </c>
      <c r="J746">
        <v>0.60760000000000003</v>
      </c>
    </row>
    <row r="747" spans="1:10" hidden="1" x14ac:dyDescent="0.35">
      <c r="A747" t="str">
        <f t="shared" si="11"/>
        <v>Frei Gaspar20171.3</v>
      </c>
      <c r="B747">
        <v>3126802</v>
      </c>
      <c r="C747" t="s">
        <v>47</v>
      </c>
      <c r="D747">
        <v>2017</v>
      </c>
      <c r="E747">
        <v>6</v>
      </c>
      <c r="F747">
        <v>68</v>
      </c>
      <c r="G747" t="s">
        <v>15</v>
      </c>
      <c r="H747" t="s">
        <v>11</v>
      </c>
      <c r="I747" s="1" t="s">
        <v>16</v>
      </c>
      <c r="J747">
        <v>0.39240000000000003</v>
      </c>
    </row>
    <row r="748" spans="1:10" hidden="1" x14ac:dyDescent="0.35">
      <c r="A748" t="str">
        <f t="shared" si="11"/>
        <v>Frei Gaspar20172.1</v>
      </c>
      <c r="B748">
        <v>3126802</v>
      </c>
      <c r="C748" t="s">
        <v>47</v>
      </c>
      <c r="D748">
        <v>2017</v>
      </c>
      <c r="E748">
        <v>6</v>
      </c>
      <c r="F748">
        <v>28</v>
      </c>
      <c r="G748" t="s">
        <v>17</v>
      </c>
      <c r="H748" t="s">
        <v>18</v>
      </c>
      <c r="I748" s="1" t="s">
        <v>19</v>
      </c>
      <c r="J748">
        <v>8.3900000000000002E-2</v>
      </c>
    </row>
    <row r="749" spans="1:10" hidden="1" x14ac:dyDescent="0.35">
      <c r="A749" t="str">
        <f t="shared" si="11"/>
        <v>Frei Gaspar20172.2</v>
      </c>
      <c r="B749">
        <v>3126802</v>
      </c>
      <c r="C749" t="s">
        <v>47</v>
      </c>
      <c r="D749">
        <v>2017</v>
      </c>
      <c r="E749">
        <v>6</v>
      </c>
      <c r="F749">
        <v>29</v>
      </c>
      <c r="G749" t="s">
        <v>20</v>
      </c>
      <c r="H749" t="s">
        <v>18</v>
      </c>
      <c r="I749" s="1" t="s">
        <v>21</v>
      </c>
      <c r="J749">
        <v>0.91610000000000003</v>
      </c>
    </row>
    <row r="750" spans="1:10" hidden="1" x14ac:dyDescent="0.35">
      <c r="A750" t="str">
        <f t="shared" si="11"/>
        <v>Frei Gaspar20172.4</v>
      </c>
      <c r="B750">
        <v>3126802</v>
      </c>
      <c r="C750" t="s">
        <v>47</v>
      </c>
      <c r="D750">
        <v>2017</v>
      </c>
      <c r="E750">
        <v>6</v>
      </c>
      <c r="F750">
        <v>31</v>
      </c>
      <c r="G750" t="s">
        <v>22</v>
      </c>
      <c r="H750" t="s">
        <v>18</v>
      </c>
      <c r="I750" s="1" t="s">
        <v>23</v>
      </c>
      <c r="J750">
        <v>4.1700000000000001E-2</v>
      </c>
    </row>
    <row r="751" spans="1:10" hidden="1" x14ac:dyDescent="0.35">
      <c r="A751" t="str">
        <f t="shared" si="11"/>
        <v>Frei Gaspar20172.5</v>
      </c>
      <c r="B751">
        <v>3126802</v>
      </c>
      <c r="C751" t="s">
        <v>47</v>
      </c>
      <c r="D751">
        <v>2017</v>
      </c>
      <c r="E751">
        <v>6</v>
      </c>
      <c r="F751">
        <v>32</v>
      </c>
      <c r="G751" t="s">
        <v>24</v>
      </c>
      <c r="H751" t="s">
        <v>18</v>
      </c>
      <c r="I751" s="1" t="s">
        <v>25</v>
      </c>
      <c r="J751">
        <v>0.77390000000000003</v>
      </c>
    </row>
    <row r="752" spans="1:10" hidden="1" x14ac:dyDescent="0.35">
      <c r="A752" t="str">
        <f t="shared" si="11"/>
        <v>Frei Gaspar20172.8</v>
      </c>
      <c r="B752">
        <v>3126802</v>
      </c>
      <c r="C752" t="s">
        <v>47</v>
      </c>
      <c r="D752">
        <v>2017</v>
      </c>
      <c r="E752">
        <v>6</v>
      </c>
      <c r="F752">
        <v>35</v>
      </c>
      <c r="G752" t="s">
        <v>26</v>
      </c>
      <c r="H752" t="s">
        <v>18</v>
      </c>
      <c r="I752" s="1" t="s">
        <v>27</v>
      </c>
      <c r="J752">
        <v>0.35580000000000001</v>
      </c>
    </row>
    <row r="753" spans="1:10" hidden="1" x14ac:dyDescent="0.35">
      <c r="A753" t="str">
        <f t="shared" si="11"/>
        <v>Frei Gaspar20174.1</v>
      </c>
      <c r="B753">
        <v>3126802</v>
      </c>
      <c r="C753" t="s">
        <v>47</v>
      </c>
      <c r="D753">
        <v>2017</v>
      </c>
      <c r="E753">
        <v>6</v>
      </c>
      <c r="F753">
        <v>44</v>
      </c>
      <c r="G753" t="s">
        <v>28</v>
      </c>
      <c r="H753" t="s">
        <v>29</v>
      </c>
      <c r="I753" s="1" t="s">
        <v>30</v>
      </c>
      <c r="J753">
        <v>1349.69</v>
      </c>
    </row>
    <row r="754" spans="1:10" hidden="1" x14ac:dyDescent="0.35">
      <c r="A754" t="str">
        <f t="shared" si="11"/>
        <v>Frei Gaspar20174.10</v>
      </c>
      <c r="B754">
        <v>3126802</v>
      </c>
      <c r="C754" t="s">
        <v>47</v>
      </c>
      <c r="D754">
        <v>2017</v>
      </c>
      <c r="E754">
        <v>6</v>
      </c>
      <c r="F754">
        <v>58</v>
      </c>
      <c r="G754" t="s">
        <v>31</v>
      </c>
      <c r="H754" t="s">
        <v>29</v>
      </c>
      <c r="I754" s="1" t="s">
        <v>32</v>
      </c>
      <c r="J754">
        <v>4140.95</v>
      </c>
    </row>
    <row r="755" spans="1:10" hidden="1" x14ac:dyDescent="0.35">
      <c r="A755" t="str">
        <f t="shared" si="11"/>
        <v>Frei Gaspar20174.11</v>
      </c>
      <c r="B755">
        <v>3126802</v>
      </c>
      <c r="C755" t="s">
        <v>47</v>
      </c>
      <c r="D755">
        <v>2017</v>
      </c>
      <c r="E755">
        <v>6</v>
      </c>
      <c r="F755">
        <v>59</v>
      </c>
      <c r="G755" t="s">
        <v>33</v>
      </c>
      <c r="H755" t="s">
        <v>29</v>
      </c>
      <c r="I755" s="1" t="s">
        <v>34</v>
      </c>
      <c r="J755">
        <v>829.51</v>
      </c>
    </row>
    <row r="756" spans="1:10" x14ac:dyDescent="0.35">
      <c r="A756" t="str">
        <f t="shared" si="11"/>
        <v>Frei Gaspar20174.2</v>
      </c>
      <c r="B756" s="3">
        <v>3126802</v>
      </c>
      <c r="C756" s="2" t="s">
        <v>47</v>
      </c>
      <c r="D756" s="2">
        <v>2017</v>
      </c>
      <c r="E756">
        <v>6</v>
      </c>
      <c r="F756">
        <v>45</v>
      </c>
      <c r="G756" t="s">
        <v>35</v>
      </c>
      <c r="H756" s="2" t="s">
        <v>29</v>
      </c>
      <c r="I756" s="7" t="s">
        <v>36</v>
      </c>
      <c r="J756" s="8">
        <v>6486.42</v>
      </c>
    </row>
    <row r="757" spans="1:10" hidden="1" x14ac:dyDescent="0.35">
      <c r="A757" t="str">
        <f t="shared" si="11"/>
        <v>Frei Gaspar20174.8</v>
      </c>
      <c r="B757">
        <v>3126802</v>
      </c>
      <c r="C757" t="s">
        <v>47</v>
      </c>
      <c r="D757">
        <v>2017</v>
      </c>
      <c r="E757">
        <v>6</v>
      </c>
      <c r="F757">
        <v>56</v>
      </c>
      <c r="G757" t="s">
        <v>37</v>
      </c>
      <c r="H757" t="s">
        <v>29</v>
      </c>
      <c r="I757" s="1" t="s">
        <v>38</v>
      </c>
      <c r="J757">
        <v>5443.12</v>
      </c>
    </row>
    <row r="758" spans="1:10" hidden="1" x14ac:dyDescent="0.35">
      <c r="A758" t="str">
        <f t="shared" si="11"/>
        <v>Frei Gaspar20174.9</v>
      </c>
      <c r="B758">
        <v>3126802</v>
      </c>
      <c r="C758" t="s">
        <v>47</v>
      </c>
      <c r="D758">
        <v>2017</v>
      </c>
      <c r="E758">
        <v>6</v>
      </c>
      <c r="F758">
        <v>57</v>
      </c>
      <c r="G758" t="s">
        <v>39</v>
      </c>
      <c r="H758" t="s">
        <v>29</v>
      </c>
      <c r="I758" s="1" t="s">
        <v>40</v>
      </c>
      <c r="J758">
        <v>5443.12</v>
      </c>
    </row>
    <row r="759" spans="1:10" hidden="1" x14ac:dyDescent="0.35">
      <c r="A759" t="str">
        <f t="shared" si="11"/>
        <v>Fronteira dos Vales20171.1</v>
      </c>
      <c r="B759">
        <v>3127057</v>
      </c>
      <c r="C759" t="s">
        <v>48</v>
      </c>
      <c r="D759">
        <v>2017</v>
      </c>
      <c r="E759">
        <v>6</v>
      </c>
      <c r="F759">
        <v>24</v>
      </c>
      <c r="G759" t="s">
        <v>10</v>
      </c>
      <c r="H759" t="s">
        <v>11</v>
      </c>
      <c r="I759" s="1" t="s">
        <v>12</v>
      </c>
      <c r="J759">
        <v>0.26090000000000002</v>
      </c>
    </row>
    <row r="760" spans="1:10" hidden="1" x14ac:dyDescent="0.35">
      <c r="A760" t="str">
        <f t="shared" si="11"/>
        <v>Fronteira dos Vales20171.2</v>
      </c>
      <c r="B760">
        <v>3127057</v>
      </c>
      <c r="C760" t="s">
        <v>48</v>
      </c>
      <c r="D760">
        <v>2017</v>
      </c>
      <c r="E760">
        <v>6</v>
      </c>
      <c r="F760">
        <v>67</v>
      </c>
      <c r="G760" t="s">
        <v>13</v>
      </c>
      <c r="H760" t="s">
        <v>11</v>
      </c>
      <c r="I760" s="1" t="s">
        <v>14</v>
      </c>
      <c r="J760">
        <v>0.64070000000000005</v>
      </c>
    </row>
    <row r="761" spans="1:10" hidden="1" x14ac:dyDescent="0.35">
      <c r="A761" t="str">
        <f t="shared" si="11"/>
        <v>Fronteira dos Vales20171.3</v>
      </c>
      <c r="B761">
        <v>3127057</v>
      </c>
      <c r="C761" t="s">
        <v>48</v>
      </c>
      <c r="D761">
        <v>2017</v>
      </c>
      <c r="E761">
        <v>6</v>
      </c>
      <c r="F761">
        <v>68</v>
      </c>
      <c r="G761" t="s">
        <v>15</v>
      </c>
      <c r="H761" t="s">
        <v>11</v>
      </c>
      <c r="I761" s="1" t="s">
        <v>16</v>
      </c>
      <c r="J761">
        <v>0.35930000000000001</v>
      </c>
    </row>
    <row r="762" spans="1:10" hidden="1" x14ac:dyDescent="0.35">
      <c r="A762" t="str">
        <f t="shared" si="11"/>
        <v>Fronteira dos Vales20172.1</v>
      </c>
      <c r="B762">
        <v>3127057</v>
      </c>
      <c r="C762" t="s">
        <v>48</v>
      </c>
      <c r="D762">
        <v>2017</v>
      </c>
      <c r="E762">
        <v>6</v>
      </c>
      <c r="F762">
        <v>28</v>
      </c>
      <c r="G762" t="s">
        <v>17</v>
      </c>
      <c r="H762" t="s">
        <v>18</v>
      </c>
      <c r="I762" s="1" t="s">
        <v>19</v>
      </c>
      <c r="J762">
        <v>3.1300000000000001E-2</v>
      </c>
    </row>
    <row r="763" spans="1:10" hidden="1" x14ac:dyDescent="0.35">
      <c r="A763" t="str">
        <f t="shared" si="11"/>
        <v>Fronteira dos Vales20172.2</v>
      </c>
      <c r="B763">
        <v>3127057</v>
      </c>
      <c r="C763" t="s">
        <v>48</v>
      </c>
      <c r="D763">
        <v>2017</v>
      </c>
      <c r="E763">
        <v>6</v>
      </c>
      <c r="F763">
        <v>29</v>
      </c>
      <c r="G763" t="s">
        <v>20</v>
      </c>
      <c r="H763" t="s">
        <v>18</v>
      </c>
      <c r="I763" s="1" t="s">
        <v>21</v>
      </c>
      <c r="J763">
        <v>0.96870000000000001</v>
      </c>
    </row>
    <row r="764" spans="1:10" hidden="1" x14ac:dyDescent="0.35">
      <c r="A764" t="str">
        <f t="shared" si="11"/>
        <v>Fronteira dos Vales20172.4</v>
      </c>
      <c r="B764">
        <v>3127057</v>
      </c>
      <c r="C764" t="s">
        <v>48</v>
      </c>
      <c r="D764">
        <v>2017</v>
      </c>
      <c r="E764">
        <v>6</v>
      </c>
      <c r="F764">
        <v>31</v>
      </c>
      <c r="G764" t="s">
        <v>22</v>
      </c>
      <c r="H764" t="s">
        <v>18</v>
      </c>
      <c r="I764" s="1" t="s">
        <v>23</v>
      </c>
      <c r="J764">
        <v>1.8200000000000001E-2</v>
      </c>
    </row>
    <row r="765" spans="1:10" hidden="1" x14ac:dyDescent="0.35">
      <c r="A765" t="str">
        <f t="shared" si="11"/>
        <v>Fronteira dos Vales20172.5</v>
      </c>
      <c r="B765">
        <v>3127057</v>
      </c>
      <c r="C765" t="s">
        <v>48</v>
      </c>
      <c r="D765">
        <v>2017</v>
      </c>
      <c r="E765">
        <v>6</v>
      </c>
      <c r="F765">
        <v>32</v>
      </c>
      <c r="G765" t="s">
        <v>24</v>
      </c>
      <c r="H765" t="s">
        <v>18</v>
      </c>
      <c r="I765" s="1" t="s">
        <v>25</v>
      </c>
      <c r="J765">
        <v>0.89929999999999999</v>
      </c>
    </row>
    <row r="766" spans="1:10" hidden="1" x14ac:dyDescent="0.35">
      <c r="A766" t="str">
        <f t="shared" si="11"/>
        <v>Fronteira dos Vales20172.8</v>
      </c>
      <c r="B766">
        <v>3127057</v>
      </c>
      <c r="C766" t="s">
        <v>48</v>
      </c>
      <c r="D766">
        <v>2017</v>
      </c>
      <c r="E766">
        <v>6</v>
      </c>
      <c r="F766">
        <v>35</v>
      </c>
      <c r="G766" t="s">
        <v>26</v>
      </c>
      <c r="H766" t="s">
        <v>18</v>
      </c>
      <c r="I766" s="1" t="s">
        <v>27</v>
      </c>
      <c r="J766">
        <v>0.27500000000000002</v>
      </c>
    </row>
    <row r="767" spans="1:10" hidden="1" x14ac:dyDescent="0.35">
      <c r="A767" t="str">
        <f t="shared" si="11"/>
        <v>Fronteira dos Vales20174.1</v>
      </c>
      <c r="B767">
        <v>3127057</v>
      </c>
      <c r="C767" t="s">
        <v>48</v>
      </c>
      <c r="D767">
        <v>2017</v>
      </c>
      <c r="E767">
        <v>6</v>
      </c>
      <c r="F767">
        <v>44</v>
      </c>
      <c r="G767" t="s">
        <v>28</v>
      </c>
      <c r="H767" t="s">
        <v>29</v>
      </c>
      <c r="I767" s="1" t="s">
        <v>30</v>
      </c>
      <c r="J767">
        <v>582.52</v>
      </c>
    </row>
    <row r="768" spans="1:10" hidden="1" x14ac:dyDescent="0.35">
      <c r="A768" t="str">
        <f t="shared" si="11"/>
        <v>Fronteira dos Vales20174.10</v>
      </c>
      <c r="B768">
        <v>3127057</v>
      </c>
      <c r="C768" t="s">
        <v>48</v>
      </c>
      <c r="D768">
        <v>2017</v>
      </c>
      <c r="E768">
        <v>6</v>
      </c>
      <c r="F768">
        <v>58</v>
      </c>
      <c r="G768" t="s">
        <v>31</v>
      </c>
      <c r="H768" t="s">
        <v>29</v>
      </c>
      <c r="I768" s="1" t="s">
        <v>32</v>
      </c>
      <c r="J768">
        <v>5062.09</v>
      </c>
    </row>
    <row r="769" spans="1:10" hidden="1" x14ac:dyDescent="0.35">
      <c r="A769" t="str">
        <f t="shared" si="11"/>
        <v>Fronteira dos Vales20174.11</v>
      </c>
      <c r="B769">
        <v>3127057</v>
      </c>
      <c r="C769" t="s">
        <v>48</v>
      </c>
      <c r="D769">
        <v>2017</v>
      </c>
      <c r="E769">
        <v>6</v>
      </c>
      <c r="F769">
        <v>59</v>
      </c>
      <c r="G769" t="s">
        <v>33</v>
      </c>
      <c r="H769" t="s">
        <v>29</v>
      </c>
      <c r="I769" s="1" t="s">
        <v>34</v>
      </c>
      <c r="J769">
        <v>1498.04</v>
      </c>
    </row>
    <row r="770" spans="1:10" x14ac:dyDescent="0.35">
      <c r="A770" t="str">
        <f t="shared" si="11"/>
        <v>Fronteira dos Vales20174.2</v>
      </c>
      <c r="B770" s="4">
        <v>3127057</v>
      </c>
      <c r="C770" t="s">
        <v>48</v>
      </c>
      <c r="D770">
        <v>2017</v>
      </c>
      <c r="E770">
        <v>6</v>
      </c>
      <c r="F770">
        <v>45</v>
      </c>
      <c r="G770" t="s">
        <v>35</v>
      </c>
      <c r="H770" t="s">
        <v>29</v>
      </c>
      <c r="I770" s="1" t="s">
        <v>36</v>
      </c>
      <c r="J770" s="5">
        <v>8408.24</v>
      </c>
    </row>
    <row r="771" spans="1:10" hidden="1" x14ac:dyDescent="0.35">
      <c r="A771" t="str">
        <f t="shared" si="11"/>
        <v>Fronteira dos Vales20174.8</v>
      </c>
      <c r="B771">
        <v>3127057</v>
      </c>
      <c r="C771" t="s">
        <v>48</v>
      </c>
      <c r="D771">
        <v>2017</v>
      </c>
      <c r="E771">
        <v>6</v>
      </c>
      <c r="F771">
        <v>56</v>
      </c>
      <c r="G771" t="s">
        <v>37</v>
      </c>
      <c r="H771" t="s">
        <v>29</v>
      </c>
      <c r="I771" s="1" t="s">
        <v>38</v>
      </c>
      <c r="J771">
        <v>6560.13</v>
      </c>
    </row>
    <row r="772" spans="1:10" hidden="1" x14ac:dyDescent="0.35">
      <c r="A772" t="str">
        <f t="shared" ref="A772:A835" si="12">C772&amp;D772&amp;G772</f>
        <v>Fronteira dos Vales20174.9</v>
      </c>
      <c r="B772">
        <v>3127057</v>
      </c>
      <c r="C772" t="s">
        <v>48</v>
      </c>
      <c r="D772">
        <v>2017</v>
      </c>
      <c r="E772">
        <v>6</v>
      </c>
      <c r="F772">
        <v>57</v>
      </c>
      <c r="G772" t="s">
        <v>39</v>
      </c>
      <c r="H772" t="s">
        <v>29</v>
      </c>
      <c r="I772" s="1" t="s">
        <v>40</v>
      </c>
      <c r="J772">
        <v>6560.13</v>
      </c>
    </row>
    <row r="773" spans="1:10" hidden="1" x14ac:dyDescent="0.35">
      <c r="A773" t="str">
        <f t="shared" si="12"/>
        <v>Itaipé20171.1</v>
      </c>
      <c r="B773">
        <v>3132305</v>
      </c>
      <c r="C773" t="s">
        <v>49</v>
      </c>
      <c r="D773">
        <v>2017</v>
      </c>
      <c r="E773">
        <v>6</v>
      </c>
      <c r="F773">
        <v>24</v>
      </c>
      <c r="G773" t="s">
        <v>10</v>
      </c>
      <c r="H773" t="s">
        <v>11</v>
      </c>
      <c r="I773" s="1" t="s">
        <v>12</v>
      </c>
      <c r="J773">
        <v>0.28960000000000002</v>
      </c>
    </row>
    <row r="774" spans="1:10" hidden="1" x14ac:dyDescent="0.35">
      <c r="A774" t="str">
        <f t="shared" si="12"/>
        <v>Itaipé20171.2</v>
      </c>
      <c r="B774">
        <v>3132305</v>
      </c>
      <c r="C774" t="s">
        <v>49</v>
      </c>
      <c r="D774">
        <v>2017</v>
      </c>
      <c r="E774">
        <v>6</v>
      </c>
      <c r="F774">
        <v>67</v>
      </c>
      <c r="G774" t="s">
        <v>13</v>
      </c>
      <c r="H774" t="s">
        <v>11</v>
      </c>
      <c r="I774" s="1" t="s">
        <v>14</v>
      </c>
      <c r="J774">
        <v>0.65769999999999995</v>
      </c>
    </row>
    <row r="775" spans="1:10" hidden="1" x14ac:dyDescent="0.35">
      <c r="A775" t="str">
        <f t="shared" si="12"/>
        <v>Itaipé20171.3</v>
      </c>
      <c r="B775">
        <v>3132305</v>
      </c>
      <c r="C775" t="s">
        <v>49</v>
      </c>
      <c r="D775">
        <v>2017</v>
      </c>
      <c r="E775">
        <v>6</v>
      </c>
      <c r="F775">
        <v>68</v>
      </c>
      <c r="G775" t="s">
        <v>15</v>
      </c>
      <c r="H775" t="s">
        <v>11</v>
      </c>
      <c r="I775" s="1" t="s">
        <v>16</v>
      </c>
      <c r="J775">
        <v>0.34229999999999999</v>
      </c>
    </row>
    <row r="776" spans="1:10" hidden="1" x14ac:dyDescent="0.35">
      <c r="A776" t="str">
        <f t="shared" si="12"/>
        <v>Itaipé20172.1</v>
      </c>
      <c r="B776">
        <v>3132305</v>
      </c>
      <c r="C776" t="s">
        <v>49</v>
      </c>
      <c r="D776">
        <v>2017</v>
      </c>
      <c r="E776">
        <v>6</v>
      </c>
      <c r="F776">
        <v>28</v>
      </c>
      <c r="G776" t="s">
        <v>17</v>
      </c>
      <c r="H776" t="s">
        <v>18</v>
      </c>
      <c r="I776" s="1" t="s">
        <v>19</v>
      </c>
      <c r="J776">
        <v>0.16289999999999999</v>
      </c>
    </row>
    <row r="777" spans="1:10" hidden="1" x14ac:dyDescent="0.35">
      <c r="A777" t="str">
        <f t="shared" si="12"/>
        <v>Itaipé20172.2</v>
      </c>
      <c r="B777">
        <v>3132305</v>
      </c>
      <c r="C777" t="s">
        <v>49</v>
      </c>
      <c r="D777">
        <v>2017</v>
      </c>
      <c r="E777">
        <v>6</v>
      </c>
      <c r="F777">
        <v>29</v>
      </c>
      <c r="G777" t="s">
        <v>20</v>
      </c>
      <c r="H777" t="s">
        <v>18</v>
      </c>
      <c r="I777" s="1" t="s">
        <v>21</v>
      </c>
      <c r="J777">
        <v>0.83709999999999996</v>
      </c>
    </row>
    <row r="778" spans="1:10" hidden="1" x14ac:dyDescent="0.35">
      <c r="A778" t="str">
        <f t="shared" si="12"/>
        <v>Itaipé20172.4</v>
      </c>
      <c r="B778">
        <v>3132305</v>
      </c>
      <c r="C778" t="s">
        <v>49</v>
      </c>
      <c r="D778">
        <v>2017</v>
      </c>
      <c r="E778">
        <v>6</v>
      </c>
      <c r="F778">
        <v>31</v>
      </c>
      <c r="G778" t="s">
        <v>22</v>
      </c>
      <c r="H778" t="s">
        <v>18</v>
      </c>
      <c r="I778" s="1" t="s">
        <v>23</v>
      </c>
      <c r="J778">
        <v>9.06E-2</v>
      </c>
    </row>
    <row r="779" spans="1:10" hidden="1" x14ac:dyDescent="0.35">
      <c r="A779" t="str">
        <f t="shared" si="12"/>
        <v>Itaipé20172.5</v>
      </c>
      <c r="B779">
        <v>3132305</v>
      </c>
      <c r="C779" t="s">
        <v>49</v>
      </c>
      <c r="D779">
        <v>2017</v>
      </c>
      <c r="E779">
        <v>6</v>
      </c>
      <c r="F779">
        <v>32</v>
      </c>
      <c r="G779" t="s">
        <v>24</v>
      </c>
      <c r="H779" t="s">
        <v>18</v>
      </c>
      <c r="I779" s="1" t="s">
        <v>25</v>
      </c>
      <c r="J779">
        <v>0.69120000000000004</v>
      </c>
    </row>
    <row r="780" spans="1:10" hidden="1" x14ac:dyDescent="0.35">
      <c r="A780" t="str">
        <f t="shared" si="12"/>
        <v>Itaipé20172.8</v>
      </c>
      <c r="B780">
        <v>3132305</v>
      </c>
      <c r="C780" t="s">
        <v>49</v>
      </c>
      <c r="D780">
        <v>2017</v>
      </c>
      <c r="E780">
        <v>6</v>
      </c>
      <c r="F780">
        <v>35</v>
      </c>
      <c r="G780" t="s">
        <v>26</v>
      </c>
      <c r="H780" t="s">
        <v>18</v>
      </c>
      <c r="I780" s="1" t="s">
        <v>27</v>
      </c>
      <c r="J780">
        <v>0.42170000000000002</v>
      </c>
    </row>
    <row r="781" spans="1:10" hidden="1" x14ac:dyDescent="0.35">
      <c r="A781" t="str">
        <f t="shared" si="12"/>
        <v>Itaipé20174.1</v>
      </c>
      <c r="B781">
        <v>3132305</v>
      </c>
      <c r="C781" t="s">
        <v>49</v>
      </c>
      <c r="D781">
        <v>2017</v>
      </c>
      <c r="E781">
        <v>6</v>
      </c>
      <c r="F781">
        <v>44</v>
      </c>
      <c r="G781" t="s">
        <v>28</v>
      </c>
      <c r="H781" t="s">
        <v>29</v>
      </c>
      <c r="I781" s="1" t="s">
        <v>30</v>
      </c>
      <c r="J781">
        <v>2382.7399999999998</v>
      </c>
    </row>
    <row r="782" spans="1:10" hidden="1" x14ac:dyDescent="0.35">
      <c r="A782" t="str">
        <f t="shared" si="12"/>
        <v>Itaipé20174.10</v>
      </c>
      <c r="B782">
        <v>3132305</v>
      </c>
      <c r="C782" t="s">
        <v>49</v>
      </c>
      <c r="D782">
        <v>2017</v>
      </c>
      <c r="E782">
        <v>6</v>
      </c>
      <c r="F782">
        <v>58</v>
      </c>
      <c r="G782" t="s">
        <v>31</v>
      </c>
      <c r="H782" t="s">
        <v>29</v>
      </c>
      <c r="I782" s="1" t="s">
        <v>32</v>
      </c>
      <c r="J782">
        <v>3261.3</v>
      </c>
    </row>
    <row r="783" spans="1:10" hidden="1" x14ac:dyDescent="0.35">
      <c r="A783" t="str">
        <f t="shared" si="12"/>
        <v>Itaipé20174.11</v>
      </c>
      <c r="B783">
        <v>3132305</v>
      </c>
      <c r="C783" t="s">
        <v>49</v>
      </c>
      <c r="D783">
        <v>2017</v>
      </c>
      <c r="E783">
        <v>6</v>
      </c>
      <c r="F783">
        <v>59</v>
      </c>
      <c r="G783" t="s">
        <v>33</v>
      </c>
      <c r="H783" t="s">
        <v>29</v>
      </c>
      <c r="I783" s="1" t="s">
        <v>34</v>
      </c>
      <c r="J783">
        <v>755.95</v>
      </c>
    </row>
    <row r="784" spans="1:10" x14ac:dyDescent="0.35">
      <c r="A784" t="str">
        <f t="shared" si="12"/>
        <v>Itaipé20174.2</v>
      </c>
      <c r="B784" s="3">
        <v>3132305</v>
      </c>
      <c r="C784" s="2" t="s">
        <v>49</v>
      </c>
      <c r="D784" s="2">
        <v>2017</v>
      </c>
      <c r="E784">
        <v>6</v>
      </c>
      <c r="F784">
        <v>45</v>
      </c>
      <c r="G784" t="s">
        <v>35</v>
      </c>
      <c r="H784" s="2" t="s">
        <v>29</v>
      </c>
      <c r="I784" s="7" t="s">
        <v>36</v>
      </c>
      <c r="J784" s="8">
        <v>5249.69</v>
      </c>
    </row>
    <row r="785" spans="1:10" hidden="1" x14ac:dyDescent="0.35">
      <c r="A785" t="str">
        <f t="shared" si="12"/>
        <v>Itaipé20174.8</v>
      </c>
      <c r="B785">
        <v>3132305</v>
      </c>
      <c r="C785" t="s">
        <v>49</v>
      </c>
      <c r="D785">
        <v>2017</v>
      </c>
      <c r="E785">
        <v>6</v>
      </c>
      <c r="F785">
        <v>56</v>
      </c>
      <c r="G785" t="s">
        <v>37</v>
      </c>
      <c r="H785" t="s">
        <v>29</v>
      </c>
      <c r="I785" s="1" t="s">
        <v>38</v>
      </c>
      <c r="J785">
        <v>4310.8500000000004</v>
      </c>
    </row>
    <row r="786" spans="1:10" hidden="1" x14ac:dyDescent="0.35">
      <c r="A786" t="str">
        <f t="shared" si="12"/>
        <v>Itaipé20174.9</v>
      </c>
      <c r="B786">
        <v>3132305</v>
      </c>
      <c r="C786" t="s">
        <v>49</v>
      </c>
      <c r="D786">
        <v>2017</v>
      </c>
      <c r="E786">
        <v>6</v>
      </c>
      <c r="F786">
        <v>57</v>
      </c>
      <c r="G786" t="s">
        <v>39</v>
      </c>
      <c r="H786" t="s">
        <v>29</v>
      </c>
      <c r="I786" s="1" t="s">
        <v>40</v>
      </c>
      <c r="J786">
        <v>4310.8500000000004</v>
      </c>
    </row>
    <row r="787" spans="1:10" hidden="1" x14ac:dyDescent="0.35">
      <c r="A787" t="str">
        <f t="shared" si="12"/>
        <v>Ladainha20171.1</v>
      </c>
      <c r="B787">
        <v>3137007</v>
      </c>
      <c r="C787" t="s">
        <v>50</v>
      </c>
      <c r="D787">
        <v>2017</v>
      </c>
      <c r="E787">
        <v>6</v>
      </c>
      <c r="F787">
        <v>24</v>
      </c>
      <c r="G787" t="s">
        <v>10</v>
      </c>
      <c r="H787" t="s">
        <v>11</v>
      </c>
      <c r="I787" s="1" t="s">
        <v>12</v>
      </c>
      <c r="J787">
        <v>0.27039999999999997</v>
      </c>
    </row>
    <row r="788" spans="1:10" hidden="1" x14ac:dyDescent="0.35">
      <c r="A788" t="str">
        <f t="shared" si="12"/>
        <v>Ladainha20171.2</v>
      </c>
      <c r="B788">
        <v>3137007</v>
      </c>
      <c r="C788" t="s">
        <v>50</v>
      </c>
      <c r="D788">
        <v>2017</v>
      </c>
      <c r="E788">
        <v>6</v>
      </c>
      <c r="F788">
        <v>67</v>
      </c>
      <c r="G788" t="s">
        <v>13</v>
      </c>
      <c r="H788" t="s">
        <v>11</v>
      </c>
      <c r="I788" s="1" t="s">
        <v>14</v>
      </c>
      <c r="J788">
        <v>0.78420000000000001</v>
      </c>
    </row>
    <row r="789" spans="1:10" hidden="1" x14ac:dyDescent="0.35">
      <c r="A789" t="str">
        <f t="shared" si="12"/>
        <v>Ladainha20171.3</v>
      </c>
      <c r="B789">
        <v>3137007</v>
      </c>
      <c r="C789" t="s">
        <v>50</v>
      </c>
      <c r="D789">
        <v>2017</v>
      </c>
      <c r="E789">
        <v>6</v>
      </c>
      <c r="F789">
        <v>68</v>
      </c>
      <c r="G789" t="s">
        <v>15</v>
      </c>
      <c r="H789" t="s">
        <v>11</v>
      </c>
      <c r="I789" s="1" t="s">
        <v>16</v>
      </c>
      <c r="J789">
        <v>0.1711</v>
      </c>
    </row>
    <row r="790" spans="1:10" hidden="1" x14ac:dyDescent="0.35">
      <c r="A790" t="str">
        <f t="shared" si="12"/>
        <v>Ladainha20172.1</v>
      </c>
      <c r="B790">
        <v>3137007</v>
      </c>
      <c r="C790" t="s">
        <v>50</v>
      </c>
      <c r="D790">
        <v>2017</v>
      </c>
      <c r="E790">
        <v>6</v>
      </c>
      <c r="F790">
        <v>28</v>
      </c>
      <c r="G790" t="s">
        <v>17</v>
      </c>
      <c r="H790" t="s">
        <v>18</v>
      </c>
      <c r="I790" s="1" t="s">
        <v>19</v>
      </c>
      <c r="J790">
        <v>4.65E-2</v>
      </c>
    </row>
    <row r="791" spans="1:10" hidden="1" x14ac:dyDescent="0.35">
      <c r="A791" t="str">
        <f t="shared" si="12"/>
        <v>Ladainha20172.2</v>
      </c>
      <c r="B791">
        <v>3137007</v>
      </c>
      <c r="C791" t="s">
        <v>50</v>
      </c>
      <c r="D791">
        <v>2017</v>
      </c>
      <c r="E791">
        <v>6</v>
      </c>
      <c r="F791">
        <v>29</v>
      </c>
      <c r="G791" t="s">
        <v>20</v>
      </c>
      <c r="H791" t="s">
        <v>18</v>
      </c>
      <c r="I791" s="1" t="s">
        <v>21</v>
      </c>
      <c r="J791">
        <v>0.95350000000000001</v>
      </c>
    </row>
    <row r="792" spans="1:10" hidden="1" x14ac:dyDescent="0.35">
      <c r="A792" t="str">
        <f t="shared" si="12"/>
        <v>Ladainha20172.4</v>
      </c>
      <c r="B792">
        <v>3137007</v>
      </c>
      <c r="C792" t="s">
        <v>50</v>
      </c>
      <c r="D792">
        <v>2017</v>
      </c>
      <c r="E792">
        <v>6</v>
      </c>
      <c r="F792">
        <v>31</v>
      </c>
      <c r="G792" t="s">
        <v>22</v>
      </c>
      <c r="H792" t="s">
        <v>18</v>
      </c>
      <c r="I792" s="1" t="s">
        <v>23</v>
      </c>
      <c r="J792">
        <v>3.56E-2</v>
      </c>
    </row>
    <row r="793" spans="1:10" hidden="1" x14ac:dyDescent="0.35">
      <c r="A793" t="str">
        <f t="shared" si="12"/>
        <v>Ladainha20172.5</v>
      </c>
      <c r="B793">
        <v>3137007</v>
      </c>
      <c r="C793" t="s">
        <v>50</v>
      </c>
      <c r="D793">
        <v>2017</v>
      </c>
      <c r="E793">
        <v>6</v>
      </c>
      <c r="F793">
        <v>32</v>
      </c>
      <c r="G793" t="s">
        <v>24</v>
      </c>
      <c r="H793" t="s">
        <v>18</v>
      </c>
      <c r="I793" s="1" t="s">
        <v>25</v>
      </c>
      <c r="J793">
        <v>0.63</v>
      </c>
    </row>
    <row r="794" spans="1:10" hidden="1" x14ac:dyDescent="0.35">
      <c r="A794" t="str">
        <f t="shared" si="12"/>
        <v>Ladainha20172.8</v>
      </c>
      <c r="B794">
        <v>3137007</v>
      </c>
      <c r="C794" t="s">
        <v>50</v>
      </c>
      <c r="D794">
        <v>2017</v>
      </c>
      <c r="E794">
        <v>6</v>
      </c>
      <c r="F794">
        <v>35</v>
      </c>
      <c r="G794" t="s">
        <v>26</v>
      </c>
      <c r="H794" t="s">
        <v>18</v>
      </c>
      <c r="I794" s="1" t="s">
        <v>27</v>
      </c>
      <c r="J794">
        <v>0.35809999999999997</v>
      </c>
    </row>
    <row r="795" spans="1:10" hidden="1" x14ac:dyDescent="0.35">
      <c r="A795" t="str">
        <f t="shared" si="12"/>
        <v>Ladainha20174.1</v>
      </c>
      <c r="B795">
        <v>3137007</v>
      </c>
      <c r="C795" t="s">
        <v>50</v>
      </c>
      <c r="D795">
        <v>2017</v>
      </c>
      <c r="E795">
        <v>6</v>
      </c>
      <c r="F795">
        <v>44</v>
      </c>
      <c r="G795" t="s">
        <v>28</v>
      </c>
      <c r="H795" t="s">
        <v>29</v>
      </c>
      <c r="I795" s="1" t="s">
        <v>30</v>
      </c>
      <c r="J795">
        <v>855.96</v>
      </c>
    </row>
    <row r="796" spans="1:10" hidden="1" x14ac:dyDescent="0.35">
      <c r="A796" t="str">
        <f t="shared" si="12"/>
        <v>Ladainha20174.10</v>
      </c>
      <c r="B796">
        <v>3137007</v>
      </c>
      <c r="C796" t="s">
        <v>50</v>
      </c>
      <c r="D796">
        <v>2017</v>
      </c>
      <c r="E796">
        <v>6</v>
      </c>
      <c r="F796">
        <v>58</v>
      </c>
      <c r="G796" t="s">
        <v>31</v>
      </c>
      <c r="H796" t="s">
        <v>29</v>
      </c>
      <c r="I796" s="1" t="s">
        <v>32</v>
      </c>
      <c r="J796">
        <v>4011.36</v>
      </c>
    </row>
    <row r="797" spans="1:10" hidden="1" x14ac:dyDescent="0.35">
      <c r="A797" t="str">
        <f t="shared" si="12"/>
        <v>Ladainha20174.11</v>
      </c>
      <c r="B797">
        <v>3137007</v>
      </c>
      <c r="C797" t="s">
        <v>50</v>
      </c>
      <c r="D797">
        <v>2017</v>
      </c>
      <c r="E797">
        <v>6</v>
      </c>
      <c r="F797">
        <v>59</v>
      </c>
      <c r="G797" t="s">
        <v>33</v>
      </c>
      <c r="H797" t="s">
        <v>29</v>
      </c>
      <c r="I797" s="1" t="s">
        <v>34</v>
      </c>
      <c r="J797">
        <v>865.78</v>
      </c>
    </row>
    <row r="798" spans="1:10" hidden="1" x14ac:dyDescent="0.35">
      <c r="A798" t="str">
        <f t="shared" si="12"/>
        <v>Ladainha20174.2</v>
      </c>
      <c r="B798">
        <v>3137007</v>
      </c>
      <c r="C798" t="s">
        <v>50</v>
      </c>
      <c r="D798">
        <v>2017</v>
      </c>
      <c r="E798">
        <v>6</v>
      </c>
      <c r="F798">
        <v>45</v>
      </c>
      <c r="G798" t="s">
        <v>35</v>
      </c>
      <c r="H798" t="s">
        <v>29</v>
      </c>
      <c r="I798" s="1" t="s">
        <v>36</v>
      </c>
      <c r="J798">
        <v>7320.74</v>
      </c>
    </row>
    <row r="799" spans="1:10" hidden="1" x14ac:dyDescent="0.35">
      <c r="A799" t="str">
        <f t="shared" si="12"/>
        <v>Ladainha20174.8</v>
      </c>
      <c r="B799">
        <v>3137007</v>
      </c>
      <c r="C799" t="s">
        <v>50</v>
      </c>
      <c r="D799">
        <v>2017</v>
      </c>
      <c r="E799">
        <v>6</v>
      </c>
      <c r="F799">
        <v>56</v>
      </c>
      <c r="G799" t="s">
        <v>37</v>
      </c>
      <c r="H799" t="s">
        <v>29</v>
      </c>
      <c r="I799" s="1" t="s">
        <v>38</v>
      </c>
      <c r="J799">
        <v>5260.89</v>
      </c>
    </row>
    <row r="800" spans="1:10" hidden="1" x14ac:dyDescent="0.35">
      <c r="A800" t="str">
        <f t="shared" si="12"/>
        <v>Ladainha20174.9</v>
      </c>
      <c r="B800">
        <v>3137007</v>
      </c>
      <c r="C800" t="s">
        <v>50</v>
      </c>
      <c r="D800">
        <v>2017</v>
      </c>
      <c r="E800">
        <v>6</v>
      </c>
      <c r="F800">
        <v>57</v>
      </c>
      <c r="G800" t="s">
        <v>39</v>
      </c>
      <c r="H800" t="s">
        <v>29</v>
      </c>
      <c r="I800" s="1" t="s">
        <v>40</v>
      </c>
      <c r="J800">
        <v>5260.89</v>
      </c>
    </row>
    <row r="801" spans="1:10" hidden="1" x14ac:dyDescent="0.35">
      <c r="A801" t="str">
        <f t="shared" si="12"/>
        <v>Machacalis20171.1</v>
      </c>
      <c r="B801">
        <v>3138906</v>
      </c>
      <c r="C801" t="s">
        <v>51</v>
      </c>
      <c r="D801">
        <v>2017</v>
      </c>
      <c r="E801">
        <v>6</v>
      </c>
      <c r="F801">
        <v>24</v>
      </c>
      <c r="G801" t="s">
        <v>10</v>
      </c>
      <c r="H801" t="s">
        <v>11</v>
      </c>
      <c r="I801" s="1" t="s">
        <v>12</v>
      </c>
      <c r="J801">
        <v>0.26069999999999999</v>
      </c>
    </row>
    <row r="802" spans="1:10" hidden="1" x14ac:dyDescent="0.35">
      <c r="A802" t="str">
        <f t="shared" si="12"/>
        <v>Machacalis20171.2</v>
      </c>
      <c r="B802">
        <v>3138906</v>
      </c>
      <c r="C802" t="s">
        <v>51</v>
      </c>
      <c r="D802">
        <v>2017</v>
      </c>
      <c r="E802">
        <v>6</v>
      </c>
      <c r="F802">
        <v>67</v>
      </c>
      <c r="G802" t="s">
        <v>13</v>
      </c>
      <c r="H802" t="s">
        <v>11</v>
      </c>
      <c r="I802" s="1" t="s">
        <v>14</v>
      </c>
      <c r="J802">
        <v>0.62470000000000003</v>
      </c>
    </row>
    <row r="803" spans="1:10" hidden="1" x14ac:dyDescent="0.35">
      <c r="A803" t="str">
        <f t="shared" si="12"/>
        <v>Machacalis20171.3</v>
      </c>
      <c r="B803">
        <v>3138906</v>
      </c>
      <c r="C803" t="s">
        <v>51</v>
      </c>
      <c r="D803">
        <v>2017</v>
      </c>
      <c r="E803">
        <v>6</v>
      </c>
      <c r="F803">
        <v>68</v>
      </c>
      <c r="G803" t="s">
        <v>15</v>
      </c>
      <c r="H803" t="s">
        <v>11</v>
      </c>
      <c r="I803" s="1" t="s">
        <v>16</v>
      </c>
      <c r="J803">
        <v>0.37530000000000002</v>
      </c>
    </row>
    <row r="804" spans="1:10" hidden="1" x14ac:dyDescent="0.35">
      <c r="A804" t="str">
        <f t="shared" si="12"/>
        <v>Machacalis20172.1</v>
      </c>
      <c r="B804">
        <v>3138906</v>
      </c>
      <c r="C804" t="s">
        <v>51</v>
      </c>
      <c r="D804">
        <v>2017</v>
      </c>
      <c r="E804">
        <v>6</v>
      </c>
      <c r="F804">
        <v>28</v>
      </c>
      <c r="G804" t="s">
        <v>17</v>
      </c>
      <c r="H804" t="s">
        <v>18</v>
      </c>
      <c r="I804" s="1" t="s">
        <v>19</v>
      </c>
      <c r="J804">
        <v>4.8399999999999999E-2</v>
      </c>
    </row>
    <row r="805" spans="1:10" hidden="1" x14ac:dyDescent="0.35">
      <c r="A805" t="str">
        <f t="shared" si="12"/>
        <v>Machacalis20172.2</v>
      </c>
      <c r="B805">
        <v>3138906</v>
      </c>
      <c r="C805" t="s">
        <v>51</v>
      </c>
      <c r="D805">
        <v>2017</v>
      </c>
      <c r="E805">
        <v>6</v>
      </c>
      <c r="F805">
        <v>29</v>
      </c>
      <c r="G805" t="s">
        <v>20</v>
      </c>
      <c r="H805" t="s">
        <v>18</v>
      </c>
      <c r="I805" s="1" t="s">
        <v>21</v>
      </c>
      <c r="J805">
        <v>0.9516</v>
      </c>
    </row>
    <row r="806" spans="1:10" hidden="1" x14ac:dyDescent="0.35">
      <c r="A806" t="str">
        <f t="shared" si="12"/>
        <v>Machacalis20172.4</v>
      </c>
      <c r="B806">
        <v>3138906</v>
      </c>
      <c r="C806" t="s">
        <v>51</v>
      </c>
      <c r="D806">
        <v>2017</v>
      </c>
      <c r="E806">
        <v>6</v>
      </c>
      <c r="F806">
        <v>31</v>
      </c>
      <c r="G806" t="s">
        <v>22</v>
      </c>
      <c r="H806" t="s">
        <v>18</v>
      </c>
      <c r="I806" s="1" t="s">
        <v>23</v>
      </c>
      <c r="J806">
        <v>2.7099999999999999E-2</v>
      </c>
    </row>
    <row r="807" spans="1:10" hidden="1" x14ac:dyDescent="0.35">
      <c r="A807" t="str">
        <f t="shared" si="12"/>
        <v>Machacalis20172.5</v>
      </c>
      <c r="B807">
        <v>3138906</v>
      </c>
      <c r="C807" t="s">
        <v>51</v>
      </c>
      <c r="D807">
        <v>2017</v>
      </c>
      <c r="E807">
        <v>6</v>
      </c>
      <c r="F807">
        <v>32</v>
      </c>
      <c r="G807" t="s">
        <v>24</v>
      </c>
      <c r="H807" t="s">
        <v>18</v>
      </c>
      <c r="I807" s="1" t="s">
        <v>25</v>
      </c>
      <c r="J807">
        <v>0.82550000000000001</v>
      </c>
    </row>
    <row r="808" spans="1:10" hidden="1" x14ac:dyDescent="0.35">
      <c r="A808" t="str">
        <f t="shared" si="12"/>
        <v>Machacalis20172.8</v>
      </c>
      <c r="B808">
        <v>3138906</v>
      </c>
      <c r="C808" t="s">
        <v>51</v>
      </c>
      <c r="D808">
        <v>2017</v>
      </c>
      <c r="E808">
        <v>6</v>
      </c>
      <c r="F808">
        <v>35</v>
      </c>
      <c r="G808" t="s">
        <v>26</v>
      </c>
      <c r="H808" t="s">
        <v>18</v>
      </c>
      <c r="I808" s="1" t="s">
        <v>27</v>
      </c>
      <c r="J808">
        <v>0.25059999999999999</v>
      </c>
    </row>
    <row r="809" spans="1:10" hidden="1" x14ac:dyDescent="0.35">
      <c r="A809" t="str">
        <f t="shared" si="12"/>
        <v>Machacalis20174.1</v>
      </c>
      <c r="B809">
        <v>3138906</v>
      </c>
      <c r="C809" t="s">
        <v>51</v>
      </c>
      <c r="D809">
        <v>2017</v>
      </c>
      <c r="E809">
        <v>6</v>
      </c>
      <c r="F809">
        <v>44</v>
      </c>
      <c r="G809" t="s">
        <v>28</v>
      </c>
      <c r="H809" t="s">
        <v>29</v>
      </c>
      <c r="I809" s="1" t="s">
        <v>30</v>
      </c>
      <c r="J809">
        <v>426.83</v>
      </c>
    </row>
    <row r="810" spans="1:10" hidden="1" x14ac:dyDescent="0.35">
      <c r="A810" t="str">
        <f t="shared" si="12"/>
        <v>Machacalis20174.10</v>
      </c>
      <c r="B810">
        <v>3138906</v>
      </c>
      <c r="C810" t="s">
        <v>51</v>
      </c>
      <c r="D810">
        <v>2017</v>
      </c>
      <c r="E810">
        <v>6</v>
      </c>
      <c r="F810">
        <v>58</v>
      </c>
      <c r="G810" t="s">
        <v>31</v>
      </c>
      <c r="H810" t="s">
        <v>29</v>
      </c>
      <c r="I810" s="1" t="s">
        <v>32</v>
      </c>
      <c r="J810">
        <v>3538.53</v>
      </c>
    </row>
    <row r="811" spans="1:10" hidden="1" x14ac:dyDescent="0.35">
      <c r="A811" t="str">
        <f t="shared" si="12"/>
        <v>Machacalis20174.11</v>
      </c>
      <c r="B811">
        <v>3138906</v>
      </c>
      <c r="C811" t="s">
        <v>51</v>
      </c>
      <c r="D811">
        <v>2017</v>
      </c>
      <c r="E811">
        <v>6</v>
      </c>
      <c r="F811">
        <v>59</v>
      </c>
      <c r="G811" t="s">
        <v>33</v>
      </c>
      <c r="H811" t="s">
        <v>29</v>
      </c>
      <c r="I811" s="1" t="s">
        <v>34</v>
      </c>
      <c r="J811">
        <v>1013.33</v>
      </c>
    </row>
    <row r="812" spans="1:10" hidden="1" x14ac:dyDescent="0.35">
      <c r="A812" t="str">
        <f t="shared" si="12"/>
        <v>Machacalis20174.2</v>
      </c>
      <c r="B812">
        <v>3138906</v>
      </c>
      <c r="C812" t="s">
        <v>51</v>
      </c>
      <c r="D812">
        <v>2017</v>
      </c>
      <c r="E812">
        <v>6</v>
      </c>
      <c r="F812">
        <v>45</v>
      </c>
      <c r="G812" t="s">
        <v>35</v>
      </c>
      <c r="H812" t="s">
        <v>29</v>
      </c>
      <c r="I812" s="1" t="s">
        <v>36</v>
      </c>
      <c r="J812">
        <v>7228.98</v>
      </c>
    </row>
    <row r="813" spans="1:10" hidden="1" x14ac:dyDescent="0.35">
      <c r="A813" t="str">
        <f t="shared" si="12"/>
        <v>Machacalis20174.8</v>
      </c>
      <c r="B813">
        <v>3138906</v>
      </c>
      <c r="C813" t="s">
        <v>51</v>
      </c>
      <c r="D813">
        <v>2017</v>
      </c>
      <c r="E813">
        <v>6</v>
      </c>
      <c r="F813">
        <v>56</v>
      </c>
      <c r="G813" t="s">
        <v>37</v>
      </c>
      <c r="H813" t="s">
        <v>29</v>
      </c>
      <c r="I813" s="1" t="s">
        <v>38</v>
      </c>
      <c r="J813">
        <v>4693.71</v>
      </c>
    </row>
    <row r="814" spans="1:10" hidden="1" x14ac:dyDescent="0.35">
      <c r="A814" t="str">
        <f t="shared" si="12"/>
        <v>Machacalis20174.9</v>
      </c>
      <c r="B814">
        <v>3138906</v>
      </c>
      <c r="C814" t="s">
        <v>51</v>
      </c>
      <c r="D814">
        <v>2017</v>
      </c>
      <c r="E814">
        <v>6</v>
      </c>
      <c r="F814">
        <v>57</v>
      </c>
      <c r="G814" t="s">
        <v>39</v>
      </c>
      <c r="H814" t="s">
        <v>29</v>
      </c>
      <c r="I814" s="1" t="s">
        <v>40</v>
      </c>
      <c r="J814">
        <v>4707.8900000000003</v>
      </c>
    </row>
    <row r="815" spans="1:10" hidden="1" x14ac:dyDescent="0.35">
      <c r="A815" t="str">
        <f t="shared" si="12"/>
        <v>Malacacheta20171.1</v>
      </c>
      <c r="B815">
        <v>3139201</v>
      </c>
      <c r="C815" t="s">
        <v>52</v>
      </c>
      <c r="D815">
        <v>2017</v>
      </c>
      <c r="E815">
        <v>6</v>
      </c>
      <c r="F815">
        <v>24</v>
      </c>
      <c r="G815" t="s">
        <v>10</v>
      </c>
      <c r="H815" t="s">
        <v>11</v>
      </c>
      <c r="I815" s="1" t="s">
        <v>12</v>
      </c>
      <c r="J815">
        <v>0.25690000000000002</v>
      </c>
    </row>
    <row r="816" spans="1:10" hidden="1" x14ac:dyDescent="0.35">
      <c r="A816" t="str">
        <f t="shared" si="12"/>
        <v>Malacacheta20171.2</v>
      </c>
      <c r="B816">
        <v>3139201</v>
      </c>
      <c r="C816" t="s">
        <v>52</v>
      </c>
      <c r="D816">
        <v>2017</v>
      </c>
      <c r="E816">
        <v>6</v>
      </c>
      <c r="F816">
        <v>67</v>
      </c>
      <c r="G816" t="s">
        <v>13</v>
      </c>
      <c r="H816" t="s">
        <v>11</v>
      </c>
      <c r="I816" s="1" t="s">
        <v>14</v>
      </c>
      <c r="J816">
        <v>0.64</v>
      </c>
    </row>
    <row r="817" spans="1:10" hidden="1" x14ac:dyDescent="0.35">
      <c r="A817" t="str">
        <f t="shared" si="12"/>
        <v>Malacacheta20171.3</v>
      </c>
      <c r="B817">
        <v>3139201</v>
      </c>
      <c r="C817" t="s">
        <v>52</v>
      </c>
      <c r="D817">
        <v>2017</v>
      </c>
      <c r="E817">
        <v>6</v>
      </c>
      <c r="F817">
        <v>68</v>
      </c>
      <c r="G817" t="s">
        <v>15</v>
      </c>
      <c r="H817" t="s">
        <v>11</v>
      </c>
      <c r="I817" s="1" t="s">
        <v>16</v>
      </c>
      <c r="J817">
        <v>0.35859999999999997</v>
      </c>
    </row>
    <row r="818" spans="1:10" hidden="1" x14ac:dyDescent="0.35">
      <c r="A818" t="str">
        <f t="shared" si="12"/>
        <v>Malacacheta20172.1</v>
      </c>
      <c r="B818">
        <v>3139201</v>
      </c>
      <c r="C818" t="s">
        <v>52</v>
      </c>
      <c r="D818">
        <v>2017</v>
      </c>
      <c r="E818">
        <v>6</v>
      </c>
      <c r="F818">
        <v>28</v>
      </c>
      <c r="G818" t="s">
        <v>17</v>
      </c>
      <c r="H818" t="s">
        <v>18</v>
      </c>
      <c r="I818" s="1" t="s">
        <v>19</v>
      </c>
      <c r="J818">
        <v>0.47260000000000002</v>
      </c>
    </row>
    <row r="819" spans="1:10" hidden="1" x14ac:dyDescent="0.35">
      <c r="A819" t="str">
        <f t="shared" si="12"/>
        <v>Malacacheta20172.2</v>
      </c>
      <c r="B819">
        <v>3139201</v>
      </c>
      <c r="C819" t="s">
        <v>52</v>
      </c>
      <c r="D819">
        <v>2017</v>
      </c>
      <c r="E819">
        <v>6</v>
      </c>
      <c r="F819">
        <v>29</v>
      </c>
      <c r="G819" t="s">
        <v>20</v>
      </c>
      <c r="H819" t="s">
        <v>18</v>
      </c>
      <c r="I819" s="1" t="s">
        <v>21</v>
      </c>
      <c r="J819">
        <v>0.52600000000000002</v>
      </c>
    </row>
    <row r="820" spans="1:10" hidden="1" x14ac:dyDescent="0.35">
      <c r="A820" t="str">
        <f t="shared" si="12"/>
        <v>Malacacheta20172.4</v>
      </c>
      <c r="B820">
        <v>3139201</v>
      </c>
      <c r="C820" t="s">
        <v>52</v>
      </c>
      <c r="D820">
        <v>2017</v>
      </c>
      <c r="E820">
        <v>6</v>
      </c>
      <c r="F820">
        <v>31</v>
      </c>
      <c r="G820" t="s">
        <v>22</v>
      </c>
      <c r="H820" t="s">
        <v>18</v>
      </c>
      <c r="I820" s="1" t="s">
        <v>23</v>
      </c>
      <c r="J820">
        <v>0.28949999999999998</v>
      </c>
    </row>
    <row r="821" spans="1:10" hidden="1" x14ac:dyDescent="0.35">
      <c r="A821" t="str">
        <f t="shared" si="12"/>
        <v>Malacacheta20172.5</v>
      </c>
      <c r="B821">
        <v>3139201</v>
      </c>
      <c r="C821" t="s">
        <v>52</v>
      </c>
      <c r="D821">
        <v>2017</v>
      </c>
      <c r="E821">
        <v>6</v>
      </c>
      <c r="F821">
        <v>32</v>
      </c>
      <c r="G821" t="s">
        <v>24</v>
      </c>
      <c r="H821" t="s">
        <v>18</v>
      </c>
      <c r="I821" s="1" t="s">
        <v>25</v>
      </c>
      <c r="J821">
        <v>0.43130000000000002</v>
      </c>
    </row>
    <row r="822" spans="1:10" hidden="1" x14ac:dyDescent="0.35">
      <c r="A822" t="str">
        <f t="shared" si="12"/>
        <v>Malacacheta20172.8</v>
      </c>
      <c r="B822">
        <v>3139201</v>
      </c>
      <c r="C822" t="s">
        <v>52</v>
      </c>
      <c r="D822">
        <v>2017</v>
      </c>
      <c r="E822">
        <v>6</v>
      </c>
      <c r="F822">
        <v>35</v>
      </c>
      <c r="G822" t="s">
        <v>26</v>
      </c>
      <c r="H822" t="s">
        <v>18</v>
      </c>
      <c r="I822" s="1" t="s">
        <v>27</v>
      </c>
      <c r="J822">
        <v>0.25509999999999999</v>
      </c>
    </row>
    <row r="823" spans="1:10" hidden="1" x14ac:dyDescent="0.35">
      <c r="A823" t="str">
        <f t="shared" si="12"/>
        <v>Malacacheta20174.1</v>
      </c>
      <c r="B823">
        <v>3139201</v>
      </c>
      <c r="C823" t="s">
        <v>52</v>
      </c>
      <c r="D823">
        <v>2017</v>
      </c>
      <c r="E823">
        <v>6</v>
      </c>
      <c r="F823">
        <v>44</v>
      </c>
      <c r="G823" t="s">
        <v>28</v>
      </c>
      <c r="H823" t="s">
        <v>29</v>
      </c>
      <c r="I823" s="1" t="s">
        <v>30</v>
      </c>
      <c r="J823">
        <v>3638.88</v>
      </c>
    </row>
    <row r="824" spans="1:10" hidden="1" x14ac:dyDescent="0.35">
      <c r="A824" t="str">
        <f t="shared" si="12"/>
        <v>Malacacheta20174.10</v>
      </c>
      <c r="B824">
        <v>3139201</v>
      </c>
      <c r="C824" t="s">
        <v>52</v>
      </c>
      <c r="D824">
        <v>2017</v>
      </c>
      <c r="E824">
        <v>6</v>
      </c>
      <c r="F824">
        <v>58</v>
      </c>
      <c r="G824" t="s">
        <v>31</v>
      </c>
      <c r="H824" t="s">
        <v>29</v>
      </c>
      <c r="I824" s="1" t="s">
        <v>32</v>
      </c>
      <c r="J824">
        <v>2362.44</v>
      </c>
    </row>
    <row r="825" spans="1:10" hidden="1" x14ac:dyDescent="0.35">
      <c r="A825" t="str">
        <f t="shared" si="12"/>
        <v>Malacacheta20174.11</v>
      </c>
      <c r="B825">
        <v>3139201</v>
      </c>
      <c r="C825" t="s">
        <v>52</v>
      </c>
      <c r="D825">
        <v>2017</v>
      </c>
      <c r="E825">
        <v>6</v>
      </c>
      <c r="F825">
        <v>59</v>
      </c>
      <c r="G825" t="s">
        <v>33</v>
      </c>
      <c r="H825" t="s">
        <v>29</v>
      </c>
      <c r="I825" s="1" t="s">
        <v>34</v>
      </c>
      <c r="J825">
        <v>1308.71</v>
      </c>
    </row>
    <row r="826" spans="1:10" x14ac:dyDescent="0.35">
      <c r="A826" t="str">
        <f t="shared" si="12"/>
        <v>Malacacheta20174.2</v>
      </c>
      <c r="B826" s="4">
        <v>3139201</v>
      </c>
      <c r="C826" t="s">
        <v>52</v>
      </c>
      <c r="D826">
        <v>2017</v>
      </c>
      <c r="E826">
        <v>6</v>
      </c>
      <c r="F826">
        <v>45</v>
      </c>
      <c r="G826" t="s">
        <v>35</v>
      </c>
      <c r="H826" t="s">
        <v>29</v>
      </c>
      <c r="I826" s="1" t="s">
        <v>36</v>
      </c>
      <c r="J826" s="5">
        <v>6235.58</v>
      </c>
    </row>
    <row r="827" spans="1:10" hidden="1" x14ac:dyDescent="0.35">
      <c r="A827" t="str">
        <f t="shared" si="12"/>
        <v>Malacacheta20174.8</v>
      </c>
      <c r="B827">
        <v>3139201</v>
      </c>
      <c r="C827" t="s">
        <v>52</v>
      </c>
      <c r="D827">
        <v>2017</v>
      </c>
      <c r="E827">
        <v>6</v>
      </c>
      <c r="F827">
        <v>56</v>
      </c>
      <c r="G827" t="s">
        <v>37</v>
      </c>
      <c r="H827" t="s">
        <v>29</v>
      </c>
      <c r="I827" s="1" t="s">
        <v>38</v>
      </c>
      <c r="J827">
        <v>4540.92</v>
      </c>
    </row>
    <row r="828" spans="1:10" hidden="1" x14ac:dyDescent="0.35">
      <c r="A828" t="str">
        <f t="shared" si="12"/>
        <v>Malacacheta20174.9</v>
      </c>
      <c r="B828">
        <v>3139201</v>
      </c>
      <c r="C828" t="s">
        <v>52</v>
      </c>
      <c r="D828">
        <v>2017</v>
      </c>
      <c r="E828">
        <v>6</v>
      </c>
      <c r="F828">
        <v>57</v>
      </c>
      <c r="G828" t="s">
        <v>39</v>
      </c>
      <c r="H828" t="s">
        <v>29</v>
      </c>
      <c r="I828" s="1" t="s">
        <v>40</v>
      </c>
      <c r="J828">
        <v>4540.92</v>
      </c>
    </row>
    <row r="829" spans="1:10" hidden="1" x14ac:dyDescent="0.35">
      <c r="A829" t="str">
        <f t="shared" si="12"/>
        <v>Nanuque20171.1</v>
      </c>
      <c r="B829">
        <v>3144300</v>
      </c>
      <c r="C829" t="s">
        <v>53</v>
      </c>
      <c r="D829">
        <v>2017</v>
      </c>
      <c r="E829">
        <v>6</v>
      </c>
      <c r="F829">
        <v>24</v>
      </c>
      <c r="G829" t="s">
        <v>10</v>
      </c>
      <c r="H829" t="s">
        <v>11</v>
      </c>
      <c r="I829" s="1" t="s">
        <v>12</v>
      </c>
      <c r="J829">
        <v>0.30909999999999999</v>
      </c>
    </row>
    <row r="830" spans="1:10" hidden="1" x14ac:dyDescent="0.35">
      <c r="A830" t="str">
        <f t="shared" si="12"/>
        <v>Nanuque20171.2</v>
      </c>
      <c r="B830">
        <v>3144300</v>
      </c>
      <c r="C830" t="s">
        <v>53</v>
      </c>
      <c r="D830">
        <v>2017</v>
      </c>
      <c r="E830">
        <v>6</v>
      </c>
      <c r="F830">
        <v>67</v>
      </c>
      <c r="G830" t="s">
        <v>13</v>
      </c>
      <c r="H830" t="s">
        <v>11</v>
      </c>
      <c r="I830" s="1" t="s">
        <v>14</v>
      </c>
      <c r="J830">
        <v>0.87590000000000001</v>
      </c>
    </row>
    <row r="831" spans="1:10" hidden="1" x14ac:dyDescent="0.35">
      <c r="A831" t="str">
        <f t="shared" si="12"/>
        <v>Nanuque20171.3</v>
      </c>
      <c r="B831">
        <v>3144300</v>
      </c>
      <c r="C831" t="s">
        <v>53</v>
      </c>
      <c r="D831">
        <v>2017</v>
      </c>
      <c r="E831">
        <v>6</v>
      </c>
      <c r="F831">
        <v>68</v>
      </c>
      <c r="G831" t="s">
        <v>15</v>
      </c>
      <c r="H831" t="s">
        <v>11</v>
      </c>
      <c r="I831" s="1" t="s">
        <v>16</v>
      </c>
      <c r="J831">
        <v>0.12139999999999999</v>
      </c>
    </row>
    <row r="832" spans="1:10" hidden="1" x14ac:dyDescent="0.35">
      <c r="A832" t="str">
        <f t="shared" si="12"/>
        <v>Nanuque20172.1</v>
      </c>
      <c r="B832">
        <v>3144300</v>
      </c>
      <c r="C832" t="s">
        <v>53</v>
      </c>
      <c r="D832">
        <v>2017</v>
      </c>
      <c r="E832">
        <v>6</v>
      </c>
      <c r="F832">
        <v>28</v>
      </c>
      <c r="G832" t="s">
        <v>17</v>
      </c>
      <c r="H832" t="s">
        <v>18</v>
      </c>
      <c r="I832" s="1" t="s">
        <v>19</v>
      </c>
      <c r="J832">
        <v>0.30669999999999997</v>
      </c>
    </row>
    <row r="833" spans="1:10" hidden="1" x14ac:dyDescent="0.35">
      <c r="A833" t="str">
        <f t="shared" si="12"/>
        <v>Nanuque20172.2</v>
      </c>
      <c r="B833">
        <v>3144300</v>
      </c>
      <c r="C833" t="s">
        <v>53</v>
      </c>
      <c r="D833">
        <v>2017</v>
      </c>
      <c r="E833">
        <v>6</v>
      </c>
      <c r="F833">
        <v>29</v>
      </c>
      <c r="G833" t="s">
        <v>20</v>
      </c>
      <c r="H833" t="s">
        <v>18</v>
      </c>
      <c r="I833" s="1" t="s">
        <v>21</v>
      </c>
      <c r="J833">
        <v>0.6905</v>
      </c>
    </row>
    <row r="834" spans="1:10" hidden="1" x14ac:dyDescent="0.35">
      <c r="A834" t="str">
        <f t="shared" si="12"/>
        <v>Nanuque20172.4</v>
      </c>
      <c r="B834">
        <v>3144300</v>
      </c>
      <c r="C834" t="s">
        <v>53</v>
      </c>
      <c r="D834">
        <v>2017</v>
      </c>
      <c r="E834">
        <v>6</v>
      </c>
      <c r="F834">
        <v>31</v>
      </c>
      <c r="G834" t="s">
        <v>22</v>
      </c>
      <c r="H834" t="s">
        <v>18</v>
      </c>
      <c r="I834" s="1" t="s">
        <v>23</v>
      </c>
      <c r="J834">
        <v>0.26540000000000002</v>
      </c>
    </row>
    <row r="835" spans="1:10" hidden="1" x14ac:dyDescent="0.35">
      <c r="A835" t="str">
        <f t="shared" si="12"/>
        <v>Nanuque20172.5</v>
      </c>
      <c r="B835">
        <v>3144300</v>
      </c>
      <c r="C835" t="s">
        <v>53</v>
      </c>
      <c r="D835">
        <v>2017</v>
      </c>
      <c r="E835">
        <v>6</v>
      </c>
      <c r="F835">
        <v>32</v>
      </c>
      <c r="G835" t="s">
        <v>24</v>
      </c>
      <c r="H835" t="s">
        <v>18</v>
      </c>
      <c r="I835" s="1" t="s">
        <v>25</v>
      </c>
      <c r="J835">
        <v>0.64800000000000002</v>
      </c>
    </row>
    <row r="836" spans="1:10" hidden="1" x14ac:dyDescent="0.35">
      <c r="A836" t="str">
        <f t="shared" ref="A836:A899" si="13">C836&amp;D836&amp;G836</f>
        <v>Nanuque20172.8</v>
      </c>
      <c r="B836">
        <v>3144300</v>
      </c>
      <c r="C836" t="s">
        <v>53</v>
      </c>
      <c r="D836">
        <v>2017</v>
      </c>
      <c r="E836">
        <v>6</v>
      </c>
      <c r="F836">
        <v>35</v>
      </c>
      <c r="G836" t="s">
        <v>26</v>
      </c>
      <c r="H836" t="s">
        <v>18</v>
      </c>
      <c r="I836" s="1" t="s">
        <v>27</v>
      </c>
      <c r="J836">
        <v>0.2114</v>
      </c>
    </row>
    <row r="837" spans="1:10" hidden="1" x14ac:dyDescent="0.35">
      <c r="A837" t="str">
        <f t="shared" si="13"/>
        <v>Nanuque20174.1</v>
      </c>
      <c r="B837">
        <v>3144300</v>
      </c>
      <c r="C837" t="s">
        <v>53</v>
      </c>
      <c r="D837">
        <v>2017</v>
      </c>
      <c r="E837">
        <v>6</v>
      </c>
      <c r="F837">
        <v>44</v>
      </c>
      <c r="G837" t="s">
        <v>28</v>
      </c>
      <c r="H837" t="s">
        <v>29</v>
      </c>
      <c r="I837" s="1" t="s">
        <v>30</v>
      </c>
      <c r="J837">
        <v>4591.74</v>
      </c>
    </row>
    <row r="838" spans="1:10" hidden="1" x14ac:dyDescent="0.35">
      <c r="A838" t="str">
        <f t="shared" si="13"/>
        <v>Nanuque20174.10</v>
      </c>
      <c r="B838">
        <v>3144300</v>
      </c>
      <c r="C838" t="s">
        <v>53</v>
      </c>
      <c r="D838">
        <v>2017</v>
      </c>
      <c r="E838">
        <v>6</v>
      </c>
      <c r="F838">
        <v>58</v>
      </c>
      <c r="G838" t="s">
        <v>31</v>
      </c>
      <c r="H838" t="s">
        <v>29</v>
      </c>
      <c r="I838" s="1" t="s">
        <v>32</v>
      </c>
      <c r="J838">
        <v>4948.47</v>
      </c>
    </row>
    <row r="839" spans="1:10" hidden="1" x14ac:dyDescent="0.35">
      <c r="A839" t="str">
        <f t="shared" si="13"/>
        <v>Nanuque20174.11</v>
      </c>
      <c r="B839">
        <v>3144300</v>
      </c>
      <c r="C839" t="s">
        <v>53</v>
      </c>
      <c r="D839">
        <v>2017</v>
      </c>
      <c r="E839">
        <v>6</v>
      </c>
      <c r="F839">
        <v>59</v>
      </c>
      <c r="G839" t="s">
        <v>33</v>
      </c>
      <c r="H839" t="s">
        <v>29</v>
      </c>
      <c r="I839" s="1" t="s">
        <v>34</v>
      </c>
      <c r="J839">
        <v>470.6</v>
      </c>
    </row>
    <row r="840" spans="1:10" x14ac:dyDescent="0.35">
      <c r="A840" t="str">
        <f t="shared" si="13"/>
        <v>Nanuque20174.2</v>
      </c>
      <c r="B840" s="3">
        <v>3144300</v>
      </c>
      <c r="C840" s="2" t="s">
        <v>53</v>
      </c>
      <c r="D840" s="2">
        <v>2017</v>
      </c>
      <c r="E840">
        <v>6</v>
      </c>
      <c r="F840">
        <v>45</v>
      </c>
      <c r="G840" t="s">
        <v>35</v>
      </c>
      <c r="H840" s="2" t="s">
        <v>29</v>
      </c>
      <c r="I840" s="7" t="s">
        <v>36</v>
      </c>
      <c r="J840" s="8">
        <v>7193.35</v>
      </c>
    </row>
    <row r="841" spans="1:10" hidden="1" x14ac:dyDescent="0.35">
      <c r="A841" t="str">
        <f t="shared" si="13"/>
        <v>Nanuque20174.8</v>
      </c>
      <c r="B841">
        <v>3144300</v>
      </c>
      <c r="C841" t="s">
        <v>53</v>
      </c>
      <c r="D841">
        <v>2017</v>
      </c>
      <c r="E841">
        <v>6</v>
      </c>
      <c r="F841">
        <v>56</v>
      </c>
      <c r="G841" t="s">
        <v>37</v>
      </c>
      <c r="H841" t="s">
        <v>29</v>
      </c>
      <c r="I841" s="1" t="s">
        <v>38</v>
      </c>
      <c r="J841">
        <v>5864.94</v>
      </c>
    </row>
    <row r="842" spans="1:10" hidden="1" x14ac:dyDescent="0.35">
      <c r="A842" t="str">
        <f t="shared" si="13"/>
        <v>Nanuque20174.9</v>
      </c>
      <c r="B842">
        <v>3144300</v>
      </c>
      <c r="C842" t="s">
        <v>53</v>
      </c>
      <c r="D842">
        <v>2017</v>
      </c>
      <c r="E842">
        <v>6</v>
      </c>
      <c r="F842">
        <v>57</v>
      </c>
      <c r="G842" t="s">
        <v>39</v>
      </c>
      <c r="H842" t="s">
        <v>29</v>
      </c>
      <c r="I842" s="1" t="s">
        <v>40</v>
      </c>
      <c r="J842">
        <v>5864.94</v>
      </c>
    </row>
    <row r="843" spans="1:10" hidden="1" x14ac:dyDescent="0.35">
      <c r="A843" t="str">
        <f t="shared" si="13"/>
        <v>Novo Oriente de Minas20171.1</v>
      </c>
      <c r="B843">
        <v>3145356</v>
      </c>
      <c r="C843" t="s">
        <v>54</v>
      </c>
      <c r="D843">
        <v>2017</v>
      </c>
      <c r="E843">
        <v>6</v>
      </c>
      <c r="F843">
        <v>24</v>
      </c>
      <c r="G843" t="s">
        <v>10</v>
      </c>
      <c r="H843" t="s">
        <v>11</v>
      </c>
      <c r="I843" s="1" t="s">
        <v>12</v>
      </c>
      <c r="J843">
        <v>0.25569999999999998</v>
      </c>
    </row>
    <row r="844" spans="1:10" hidden="1" x14ac:dyDescent="0.35">
      <c r="A844" t="str">
        <f t="shared" si="13"/>
        <v>Novo Oriente de Minas20171.2</v>
      </c>
      <c r="B844">
        <v>3145356</v>
      </c>
      <c r="C844" t="s">
        <v>54</v>
      </c>
      <c r="D844">
        <v>2017</v>
      </c>
      <c r="E844">
        <v>6</v>
      </c>
      <c r="F844">
        <v>67</v>
      </c>
      <c r="G844" t="s">
        <v>13</v>
      </c>
      <c r="H844" t="s">
        <v>11</v>
      </c>
      <c r="I844" s="1" t="s">
        <v>14</v>
      </c>
      <c r="J844">
        <v>0.66379999999999995</v>
      </c>
    </row>
    <row r="845" spans="1:10" hidden="1" x14ac:dyDescent="0.35">
      <c r="A845" t="str">
        <f t="shared" si="13"/>
        <v>Novo Oriente de Minas20171.3</v>
      </c>
      <c r="B845">
        <v>3145356</v>
      </c>
      <c r="C845" t="s">
        <v>54</v>
      </c>
      <c r="D845">
        <v>2017</v>
      </c>
      <c r="E845">
        <v>6</v>
      </c>
      <c r="F845">
        <v>68</v>
      </c>
      <c r="G845" t="s">
        <v>15</v>
      </c>
      <c r="H845" t="s">
        <v>11</v>
      </c>
      <c r="I845" s="1" t="s">
        <v>16</v>
      </c>
      <c r="J845">
        <v>0.3362</v>
      </c>
    </row>
    <row r="846" spans="1:10" hidden="1" x14ac:dyDescent="0.35">
      <c r="A846" t="str">
        <f t="shared" si="13"/>
        <v>Novo Oriente de Minas20172.1</v>
      </c>
      <c r="B846">
        <v>3145356</v>
      </c>
      <c r="C846" t="s">
        <v>54</v>
      </c>
      <c r="D846">
        <v>2017</v>
      </c>
      <c r="E846">
        <v>6</v>
      </c>
      <c r="F846">
        <v>28</v>
      </c>
      <c r="G846" t="s">
        <v>17</v>
      </c>
      <c r="H846" t="s">
        <v>18</v>
      </c>
      <c r="I846" s="1" t="s">
        <v>19</v>
      </c>
      <c r="J846">
        <v>0.29530000000000001</v>
      </c>
    </row>
    <row r="847" spans="1:10" hidden="1" x14ac:dyDescent="0.35">
      <c r="A847" t="str">
        <f t="shared" si="13"/>
        <v>Novo Oriente de Minas20172.2</v>
      </c>
      <c r="B847">
        <v>3145356</v>
      </c>
      <c r="C847" t="s">
        <v>54</v>
      </c>
      <c r="D847">
        <v>2017</v>
      </c>
      <c r="E847">
        <v>6</v>
      </c>
      <c r="F847">
        <v>29</v>
      </c>
      <c r="G847" t="s">
        <v>20</v>
      </c>
      <c r="H847" t="s">
        <v>18</v>
      </c>
      <c r="I847" s="1" t="s">
        <v>21</v>
      </c>
      <c r="J847">
        <v>0.70469999999999999</v>
      </c>
    </row>
    <row r="848" spans="1:10" hidden="1" x14ac:dyDescent="0.35">
      <c r="A848" t="str">
        <f t="shared" si="13"/>
        <v>Novo Oriente de Minas20172.4</v>
      </c>
      <c r="B848">
        <v>3145356</v>
      </c>
      <c r="C848" t="s">
        <v>54</v>
      </c>
      <c r="D848">
        <v>2017</v>
      </c>
      <c r="E848">
        <v>6</v>
      </c>
      <c r="F848">
        <v>31</v>
      </c>
      <c r="G848" t="s">
        <v>22</v>
      </c>
      <c r="H848" t="s">
        <v>18</v>
      </c>
      <c r="I848" s="1" t="s">
        <v>23</v>
      </c>
      <c r="J848">
        <v>0.16059999999999999</v>
      </c>
    </row>
    <row r="849" spans="1:10" hidden="1" x14ac:dyDescent="0.35">
      <c r="A849" t="str">
        <f t="shared" si="13"/>
        <v>Novo Oriente de Minas20172.5</v>
      </c>
      <c r="B849">
        <v>3145356</v>
      </c>
      <c r="C849" t="s">
        <v>54</v>
      </c>
      <c r="D849">
        <v>2017</v>
      </c>
      <c r="E849">
        <v>6</v>
      </c>
      <c r="F849">
        <v>32</v>
      </c>
      <c r="G849" t="s">
        <v>24</v>
      </c>
      <c r="H849" t="s">
        <v>18</v>
      </c>
      <c r="I849" s="1" t="s">
        <v>25</v>
      </c>
      <c r="J849">
        <v>0.63959999999999995</v>
      </c>
    </row>
    <row r="850" spans="1:10" hidden="1" x14ac:dyDescent="0.35">
      <c r="A850" t="str">
        <f t="shared" si="13"/>
        <v>Novo Oriente de Minas20172.8</v>
      </c>
      <c r="B850">
        <v>3145356</v>
      </c>
      <c r="C850" t="s">
        <v>54</v>
      </c>
      <c r="D850">
        <v>2017</v>
      </c>
      <c r="E850">
        <v>6</v>
      </c>
      <c r="F850">
        <v>35</v>
      </c>
      <c r="G850" t="s">
        <v>26</v>
      </c>
      <c r="H850" t="s">
        <v>18</v>
      </c>
      <c r="I850" s="1" t="s">
        <v>27</v>
      </c>
      <c r="J850">
        <v>0.46410000000000001</v>
      </c>
    </row>
    <row r="851" spans="1:10" hidden="1" x14ac:dyDescent="0.35">
      <c r="A851" t="str">
        <f t="shared" si="13"/>
        <v>Novo Oriente de Minas20174.1</v>
      </c>
      <c r="B851">
        <v>3145356</v>
      </c>
      <c r="C851" t="s">
        <v>54</v>
      </c>
      <c r="D851">
        <v>2017</v>
      </c>
      <c r="E851">
        <v>6</v>
      </c>
      <c r="F851">
        <v>44</v>
      </c>
      <c r="G851" t="s">
        <v>28</v>
      </c>
      <c r="H851" t="s">
        <v>29</v>
      </c>
      <c r="I851" s="1" t="s">
        <v>30</v>
      </c>
      <c r="J851">
        <v>2925.79</v>
      </c>
    </row>
    <row r="852" spans="1:10" hidden="1" x14ac:dyDescent="0.35">
      <c r="A852" t="str">
        <f t="shared" si="13"/>
        <v>Novo Oriente de Minas20174.10</v>
      </c>
      <c r="B852">
        <v>3145356</v>
      </c>
      <c r="C852" t="s">
        <v>54</v>
      </c>
      <c r="D852">
        <v>2017</v>
      </c>
      <c r="E852">
        <v>6</v>
      </c>
      <c r="F852">
        <v>58</v>
      </c>
      <c r="G852" t="s">
        <v>31</v>
      </c>
      <c r="H852" t="s">
        <v>29</v>
      </c>
      <c r="I852" s="1" t="s">
        <v>32</v>
      </c>
      <c r="J852">
        <v>2704.57</v>
      </c>
    </row>
    <row r="853" spans="1:10" hidden="1" x14ac:dyDescent="0.35">
      <c r="A853" t="str">
        <f t="shared" si="13"/>
        <v>Novo Oriente de Minas20174.11</v>
      </c>
      <c r="B853">
        <v>3145356</v>
      </c>
      <c r="C853" t="s">
        <v>54</v>
      </c>
      <c r="D853">
        <v>2017</v>
      </c>
      <c r="E853">
        <v>6</v>
      </c>
      <c r="F853">
        <v>59</v>
      </c>
      <c r="G853" t="s">
        <v>33</v>
      </c>
      <c r="H853" t="s">
        <v>29</v>
      </c>
      <c r="I853" s="1" t="s">
        <v>34</v>
      </c>
      <c r="J853">
        <v>1946.97</v>
      </c>
    </row>
    <row r="854" spans="1:10" x14ac:dyDescent="0.35">
      <c r="A854" t="str">
        <f t="shared" si="13"/>
        <v>Novo Oriente de Minas20174.2</v>
      </c>
      <c r="B854" s="4">
        <v>3145356</v>
      </c>
      <c r="C854" t="s">
        <v>54</v>
      </c>
      <c r="D854">
        <v>2017</v>
      </c>
      <c r="E854">
        <v>6</v>
      </c>
      <c r="F854">
        <v>45</v>
      </c>
      <c r="G854" t="s">
        <v>35</v>
      </c>
      <c r="H854" t="s">
        <v>29</v>
      </c>
      <c r="I854" s="1" t="s">
        <v>36</v>
      </c>
      <c r="J854" s="5">
        <v>6289.39</v>
      </c>
    </row>
    <row r="855" spans="1:10" hidden="1" x14ac:dyDescent="0.35">
      <c r="A855" t="str">
        <f t="shared" si="13"/>
        <v>Novo Oriente de Minas20174.8</v>
      </c>
      <c r="B855">
        <v>3145356</v>
      </c>
      <c r="C855" t="s">
        <v>54</v>
      </c>
      <c r="D855">
        <v>2017</v>
      </c>
      <c r="E855">
        <v>6</v>
      </c>
      <c r="F855">
        <v>56</v>
      </c>
      <c r="G855" t="s">
        <v>37</v>
      </c>
      <c r="H855" t="s">
        <v>29</v>
      </c>
      <c r="I855" s="1" t="s">
        <v>38</v>
      </c>
      <c r="J855">
        <v>4810.76</v>
      </c>
    </row>
    <row r="856" spans="1:10" hidden="1" x14ac:dyDescent="0.35">
      <c r="A856" t="str">
        <f t="shared" si="13"/>
        <v>Novo Oriente de Minas20174.9</v>
      </c>
      <c r="B856">
        <v>3145356</v>
      </c>
      <c r="C856" t="s">
        <v>54</v>
      </c>
      <c r="D856">
        <v>2017</v>
      </c>
      <c r="E856">
        <v>6</v>
      </c>
      <c r="F856">
        <v>57</v>
      </c>
      <c r="G856" t="s">
        <v>39</v>
      </c>
      <c r="H856" t="s">
        <v>29</v>
      </c>
      <c r="I856" s="1" t="s">
        <v>40</v>
      </c>
      <c r="J856">
        <v>4545.63</v>
      </c>
    </row>
    <row r="857" spans="1:10" hidden="1" x14ac:dyDescent="0.35">
      <c r="A857" t="str">
        <f t="shared" si="13"/>
        <v>Ouro Verde de Minas20171.1</v>
      </c>
      <c r="B857">
        <v>3146206</v>
      </c>
      <c r="C857" t="s">
        <v>55</v>
      </c>
      <c r="D857">
        <v>2017</v>
      </c>
      <c r="E857">
        <v>6</v>
      </c>
      <c r="F857">
        <v>24</v>
      </c>
      <c r="G857" t="s">
        <v>10</v>
      </c>
      <c r="H857" t="s">
        <v>11</v>
      </c>
      <c r="I857" s="1" t="s">
        <v>12</v>
      </c>
      <c r="J857">
        <v>0.26939999999999997</v>
      </c>
    </row>
    <row r="858" spans="1:10" hidden="1" x14ac:dyDescent="0.35">
      <c r="A858" t="str">
        <f t="shared" si="13"/>
        <v>Ouro Verde de Minas20171.2</v>
      </c>
      <c r="B858">
        <v>3146206</v>
      </c>
      <c r="C858" t="s">
        <v>55</v>
      </c>
      <c r="D858">
        <v>2017</v>
      </c>
      <c r="E858">
        <v>6</v>
      </c>
      <c r="F858">
        <v>67</v>
      </c>
      <c r="G858" t="s">
        <v>13</v>
      </c>
      <c r="H858" t="s">
        <v>11</v>
      </c>
      <c r="I858" s="1" t="s">
        <v>14</v>
      </c>
      <c r="J858">
        <v>0.72230000000000005</v>
      </c>
    </row>
    <row r="859" spans="1:10" hidden="1" x14ac:dyDescent="0.35">
      <c r="A859" t="str">
        <f t="shared" si="13"/>
        <v>Ouro Verde de Minas20171.3</v>
      </c>
      <c r="B859">
        <v>3146206</v>
      </c>
      <c r="C859" t="s">
        <v>55</v>
      </c>
      <c r="D859">
        <v>2017</v>
      </c>
      <c r="E859">
        <v>6</v>
      </c>
      <c r="F859">
        <v>68</v>
      </c>
      <c r="G859" t="s">
        <v>15</v>
      </c>
      <c r="H859" t="s">
        <v>11</v>
      </c>
      <c r="I859" s="1" t="s">
        <v>16</v>
      </c>
      <c r="J859">
        <v>0.2777</v>
      </c>
    </row>
    <row r="860" spans="1:10" hidden="1" x14ac:dyDescent="0.35">
      <c r="A860" t="str">
        <f t="shared" si="13"/>
        <v>Ouro Verde de Minas20172.1</v>
      </c>
      <c r="B860">
        <v>3146206</v>
      </c>
      <c r="C860" t="s">
        <v>55</v>
      </c>
      <c r="D860">
        <v>2017</v>
      </c>
      <c r="E860">
        <v>6</v>
      </c>
      <c r="F860">
        <v>28</v>
      </c>
      <c r="G860" t="s">
        <v>17</v>
      </c>
      <c r="H860" t="s">
        <v>18</v>
      </c>
      <c r="I860" s="1" t="s">
        <v>19</v>
      </c>
      <c r="J860">
        <v>0.1779</v>
      </c>
    </row>
    <row r="861" spans="1:10" hidden="1" x14ac:dyDescent="0.35">
      <c r="A861" t="str">
        <f t="shared" si="13"/>
        <v>Ouro Verde de Minas20172.2</v>
      </c>
      <c r="B861">
        <v>3146206</v>
      </c>
      <c r="C861" t="s">
        <v>55</v>
      </c>
      <c r="D861">
        <v>2017</v>
      </c>
      <c r="E861">
        <v>6</v>
      </c>
      <c r="F861">
        <v>29</v>
      </c>
      <c r="G861" t="s">
        <v>20</v>
      </c>
      <c r="H861" t="s">
        <v>18</v>
      </c>
      <c r="I861" s="1" t="s">
        <v>21</v>
      </c>
      <c r="J861">
        <v>0.88260000000000005</v>
      </c>
    </row>
    <row r="862" spans="1:10" hidden="1" x14ac:dyDescent="0.35">
      <c r="A862" t="str">
        <f t="shared" si="13"/>
        <v>Ouro Verde de Minas20172.4</v>
      </c>
      <c r="B862">
        <v>3146206</v>
      </c>
      <c r="C862" t="s">
        <v>55</v>
      </c>
      <c r="D862">
        <v>2017</v>
      </c>
      <c r="E862">
        <v>6</v>
      </c>
      <c r="F862">
        <v>31</v>
      </c>
      <c r="G862" t="s">
        <v>22</v>
      </c>
      <c r="H862" t="s">
        <v>18</v>
      </c>
      <c r="I862" s="1" t="s">
        <v>23</v>
      </c>
      <c r="J862">
        <v>0.11219999999999999</v>
      </c>
    </row>
    <row r="863" spans="1:10" hidden="1" x14ac:dyDescent="0.35">
      <c r="A863" t="str">
        <f t="shared" si="13"/>
        <v>Ouro Verde de Minas20172.5</v>
      </c>
      <c r="B863">
        <v>3146206</v>
      </c>
      <c r="C863" t="s">
        <v>55</v>
      </c>
      <c r="D863">
        <v>2017</v>
      </c>
      <c r="E863">
        <v>6</v>
      </c>
      <c r="F863">
        <v>32</v>
      </c>
      <c r="G863" t="s">
        <v>24</v>
      </c>
      <c r="H863" t="s">
        <v>18</v>
      </c>
      <c r="I863" s="1" t="s">
        <v>25</v>
      </c>
      <c r="J863">
        <v>0.61250000000000004</v>
      </c>
    </row>
    <row r="864" spans="1:10" hidden="1" x14ac:dyDescent="0.35">
      <c r="A864" t="str">
        <f t="shared" si="13"/>
        <v>Ouro Verde de Minas20172.8</v>
      </c>
      <c r="B864">
        <v>3146206</v>
      </c>
      <c r="C864" t="s">
        <v>55</v>
      </c>
      <c r="D864">
        <v>2017</v>
      </c>
      <c r="E864">
        <v>6</v>
      </c>
      <c r="F864">
        <v>35</v>
      </c>
      <c r="G864" t="s">
        <v>26</v>
      </c>
      <c r="H864" t="s">
        <v>18</v>
      </c>
      <c r="I864" s="1" t="s">
        <v>27</v>
      </c>
      <c r="J864">
        <v>0.38529999999999998</v>
      </c>
    </row>
    <row r="865" spans="1:10" hidden="1" x14ac:dyDescent="0.35">
      <c r="A865" t="str">
        <f t="shared" si="13"/>
        <v>Ouro Verde de Minas20174.1</v>
      </c>
      <c r="B865">
        <v>3146206</v>
      </c>
      <c r="C865" t="s">
        <v>55</v>
      </c>
      <c r="D865">
        <v>2017</v>
      </c>
      <c r="E865">
        <v>6</v>
      </c>
      <c r="F865">
        <v>44</v>
      </c>
      <c r="G865" t="s">
        <v>28</v>
      </c>
      <c r="H865" t="s">
        <v>29</v>
      </c>
      <c r="I865" s="1" t="s">
        <v>30</v>
      </c>
      <c r="J865">
        <v>2997.49</v>
      </c>
    </row>
    <row r="866" spans="1:10" hidden="1" x14ac:dyDescent="0.35">
      <c r="A866" t="str">
        <f t="shared" si="13"/>
        <v>Ouro Verde de Minas20174.10</v>
      </c>
      <c r="B866">
        <v>3146206</v>
      </c>
      <c r="C866" t="s">
        <v>55</v>
      </c>
      <c r="D866">
        <v>2017</v>
      </c>
      <c r="E866">
        <v>6</v>
      </c>
      <c r="F866">
        <v>58</v>
      </c>
      <c r="G866" t="s">
        <v>31</v>
      </c>
      <c r="H866" t="s">
        <v>29</v>
      </c>
      <c r="I866" s="1" t="s">
        <v>32</v>
      </c>
      <c r="J866">
        <v>2609.7399999999998</v>
      </c>
    </row>
    <row r="867" spans="1:10" hidden="1" x14ac:dyDescent="0.35">
      <c r="A867" t="str">
        <f t="shared" si="13"/>
        <v>Ouro Verde de Minas20174.11</v>
      </c>
      <c r="B867">
        <v>3146206</v>
      </c>
      <c r="C867" t="s">
        <v>55</v>
      </c>
      <c r="D867">
        <v>2017</v>
      </c>
      <c r="E867">
        <v>6</v>
      </c>
      <c r="F867">
        <v>59</v>
      </c>
      <c r="G867" t="s">
        <v>33</v>
      </c>
      <c r="H867" t="s">
        <v>29</v>
      </c>
      <c r="I867" s="1" t="s">
        <v>34</v>
      </c>
      <c r="J867">
        <v>3328.42</v>
      </c>
    </row>
    <row r="868" spans="1:10" hidden="1" x14ac:dyDescent="0.35">
      <c r="A868" t="str">
        <f t="shared" si="13"/>
        <v>Ouro Verde de Minas20174.2</v>
      </c>
      <c r="B868">
        <v>3146206</v>
      </c>
      <c r="C868" t="s">
        <v>55</v>
      </c>
      <c r="D868">
        <v>2017</v>
      </c>
      <c r="E868">
        <v>6</v>
      </c>
      <c r="F868">
        <v>45</v>
      </c>
      <c r="G868" t="s">
        <v>35</v>
      </c>
      <c r="H868" t="s">
        <v>29</v>
      </c>
      <c r="I868" s="1" t="s">
        <v>36</v>
      </c>
      <c r="J868">
        <v>8011.51</v>
      </c>
    </row>
    <row r="869" spans="1:10" hidden="1" x14ac:dyDescent="0.35">
      <c r="A869" t="str">
        <f t="shared" si="13"/>
        <v>Ouro Verde de Minas20174.8</v>
      </c>
      <c r="B869">
        <v>3146206</v>
      </c>
      <c r="C869" t="s">
        <v>55</v>
      </c>
      <c r="D869">
        <v>2017</v>
      </c>
      <c r="E869">
        <v>6</v>
      </c>
      <c r="F869">
        <v>56</v>
      </c>
      <c r="G869" t="s">
        <v>37</v>
      </c>
      <c r="H869" t="s">
        <v>29</v>
      </c>
      <c r="I869" s="1" t="s">
        <v>38</v>
      </c>
      <c r="J869">
        <v>6320.28</v>
      </c>
    </row>
    <row r="870" spans="1:10" hidden="1" x14ac:dyDescent="0.35">
      <c r="A870" t="str">
        <f t="shared" si="13"/>
        <v>Ouro Verde de Minas20174.9</v>
      </c>
      <c r="B870">
        <v>3146206</v>
      </c>
      <c r="C870" t="s">
        <v>55</v>
      </c>
      <c r="D870">
        <v>2017</v>
      </c>
      <c r="E870">
        <v>6</v>
      </c>
      <c r="F870">
        <v>57</v>
      </c>
      <c r="G870" t="s">
        <v>39</v>
      </c>
      <c r="H870" t="s">
        <v>29</v>
      </c>
      <c r="I870" s="1" t="s">
        <v>40</v>
      </c>
      <c r="J870">
        <v>6320.28</v>
      </c>
    </row>
    <row r="871" spans="1:10" hidden="1" x14ac:dyDescent="0.35">
      <c r="A871" t="str">
        <f t="shared" si="13"/>
        <v>Pavão20171.1</v>
      </c>
      <c r="B871">
        <v>3148509</v>
      </c>
      <c r="C871" t="s">
        <v>56</v>
      </c>
      <c r="D871">
        <v>2017</v>
      </c>
      <c r="E871">
        <v>6</v>
      </c>
      <c r="F871">
        <v>24</v>
      </c>
      <c r="G871" t="s">
        <v>10</v>
      </c>
      <c r="H871" t="s">
        <v>11</v>
      </c>
      <c r="I871" s="1" t="s">
        <v>12</v>
      </c>
      <c r="J871">
        <v>0.25509999999999999</v>
      </c>
    </row>
    <row r="872" spans="1:10" hidden="1" x14ac:dyDescent="0.35">
      <c r="A872" t="str">
        <f t="shared" si="13"/>
        <v>Pavão20171.2</v>
      </c>
      <c r="B872">
        <v>3148509</v>
      </c>
      <c r="C872" t="s">
        <v>56</v>
      </c>
      <c r="D872">
        <v>2017</v>
      </c>
      <c r="E872">
        <v>6</v>
      </c>
      <c r="F872">
        <v>67</v>
      </c>
      <c r="G872" t="s">
        <v>13</v>
      </c>
      <c r="H872" t="s">
        <v>11</v>
      </c>
      <c r="I872" s="1" t="s">
        <v>14</v>
      </c>
      <c r="J872">
        <v>0.63090000000000002</v>
      </c>
    </row>
    <row r="873" spans="1:10" hidden="1" x14ac:dyDescent="0.35">
      <c r="A873" t="str">
        <f t="shared" si="13"/>
        <v>Pavão20171.3</v>
      </c>
      <c r="B873">
        <v>3148509</v>
      </c>
      <c r="C873" t="s">
        <v>56</v>
      </c>
      <c r="D873">
        <v>2017</v>
      </c>
      <c r="E873">
        <v>6</v>
      </c>
      <c r="F873">
        <v>68</v>
      </c>
      <c r="G873" t="s">
        <v>15</v>
      </c>
      <c r="H873" t="s">
        <v>11</v>
      </c>
      <c r="I873" s="1" t="s">
        <v>16</v>
      </c>
      <c r="J873">
        <v>0.36909999999999998</v>
      </c>
    </row>
    <row r="874" spans="1:10" hidden="1" x14ac:dyDescent="0.35">
      <c r="A874" t="str">
        <f t="shared" si="13"/>
        <v>Pavão20172.1</v>
      </c>
      <c r="B874">
        <v>3148509</v>
      </c>
      <c r="C874" t="s">
        <v>56</v>
      </c>
      <c r="D874">
        <v>2017</v>
      </c>
      <c r="E874">
        <v>6</v>
      </c>
      <c r="F874">
        <v>28</v>
      </c>
      <c r="G874" t="s">
        <v>17</v>
      </c>
      <c r="H874" t="s">
        <v>18</v>
      </c>
      <c r="I874" s="1" t="s">
        <v>19</v>
      </c>
      <c r="J874">
        <v>0.55049999999999999</v>
      </c>
    </row>
    <row r="875" spans="1:10" hidden="1" x14ac:dyDescent="0.35">
      <c r="A875" t="str">
        <f t="shared" si="13"/>
        <v>Pavão20172.2</v>
      </c>
      <c r="B875">
        <v>3148509</v>
      </c>
      <c r="C875" t="s">
        <v>56</v>
      </c>
      <c r="D875">
        <v>2017</v>
      </c>
      <c r="E875">
        <v>6</v>
      </c>
      <c r="F875">
        <v>29</v>
      </c>
      <c r="G875" t="s">
        <v>20</v>
      </c>
      <c r="H875" t="s">
        <v>18</v>
      </c>
      <c r="I875" s="1" t="s">
        <v>21</v>
      </c>
      <c r="J875">
        <v>0.44950000000000001</v>
      </c>
    </row>
    <row r="876" spans="1:10" hidden="1" x14ac:dyDescent="0.35">
      <c r="A876" t="str">
        <f t="shared" si="13"/>
        <v>Pavão20172.4</v>
      </c>
      <c r="B876">
        <v>3148509</v>
      </c>
      <c r="C876" t="s">
        <v>56</v>
      </c>
      <c r="D876">
        <v>2017</v>
      </c>
      <c r="E876">
        <v>6</v>
      </c>
      <c r="F876">
        <v>31</v>
      </c>
      <c r="G876" t="s">
        <v>22</v>
      </c>
      <c r="H876" t="s">
        <v>18</v>
      </c>
      <c r="I876" s="1" t="s">
        <v>23</v>
      </c>
      <c r="J876">
        <v>0.22689999999999999</v>
      </c>
    </row>
    <row r="877" spans="1:10" hidden="1" x14ac:dyDescent="0.35">
      <c r="A877" t="str">
        <f t="shared" si="13"/>
        <v>Pavão20172.5</v>
      </c>
      <c r="B877">
        <v>3148509</v>
      </c>
      <c r="C877" t="s">
        <v>56</v>
      </c>
      <c r="D877">
        <v>2017</v>
      </c>
      <c r="E877">
        <v>6</v>
      </c>
      <c r="F877">
        <v>32</v>
      </c>
      <c r="G877" t="s">
        <v>24</v>
      </c>
      <c r="H877" t="s">
        <v>18</v>
      </c>
      <c r="I877" s="1" t="s">
        <v>25</v>
      </c>
      <c r="J877">
        <v>0.70740000000000003</v>
      </c>
    </row>
    <row r="878" spans="1:10" hidden="1" x14ac:dyDescent="0.35">
      <c r="A878" t="str">
        <f t="shared" si="13"/>
        <v>Pavão20172.8</v>
      </c>
      <c r="B878">
        <v>3148509</v>
      </c>
      <c r="C878" t="s">
        <v>56</v>
      </c>
      <c r="D878">
        <v>2017</v>
      </c>
      <c r="E878">
        <v>6</v>
      </c>
      <c r="F878">
        <v>35</v>
      </c>
      <c r="G878" t="s">
        <v>26</v>
      </c>
      <c r="H878" t="s">
        <v>18</v>
      </c>
      <c r="I878" s="1" t="s">
        <v>27</v>
      </c>
      <c r="J878">
        <v>0.27510000000000001</v>
      </c>
    </row>
    <row r="879" spans="1:10" hidden="1" x14ac:dyDescent="0.35">
      <c r="A879" t="str">
        <f t="shared" si="13"/>
        <v>Pavão20174.1</v>
      </c>
      <c r="B879">
        <v>3148509</v>
      </c>
      <c r="C879" t="s">
        <v>56</v>
      </c>
      <c r="D879">
        <v>2017</v>
      </c>
      <c r="E879">
        <v>6</v>
      </c>
      <c r="F879">
        <v>44</v>
      </c>
      <c r="G879" t="s">
        <v>28</v>
      </c>
      <c r="H879" t="s">
        <v>29</v>
      </c>
      <c r="I879" s="1" t="s">
        <v>30</v>
      </c>
      <c r="J879">
        <v>6181.28</v>
      </c>
    </row>
    <row r="880" spans="1:10" hidden="1" x14ac:dyDescent="0.35">
      <c r="A880" t="str">
        <f t="shared" si="13"/>
        <v>Pavão20174.10</v>
      </c>
      <c r="B880">
        <v>3148509</v>
      </c>
      <c r="C880" t="s">
        <v>56</v>
      </c>
      <c r="D880">
        <v>2017</v>
      </c>
      <c r="E880">
        <v>6</v>
      </c>
      <c r="F880">
        <v>58</v>
      </c>
      <c r="G880" t="s">
        <v>31</v>
      </c>
      <c r="H880" t="s">
        <v>29</v>
      </c>
      <c r="I880" s="1" t="s">
        <v>32</v>
      </c>
      <c r="J880">
        <v>2216.79</v>
      </c>
    </row>
    <row r="881" spans="1:10" hidden="1" x14ac:dyDescent="0.35">
      <c r="A881" t="str">
        <f t="shared" si="13"/>
        <v>Pavão20174.11</v>
      </c>
      <c r="B881">
        <v>3148509</v>
      </c>
      <c r="C881" t="s">
        <v>56</v>
      </c>
      <c r="D881">
        <v>2017</v>
      </c>
      <c r="E881">
        <v>6</v>
      </c>
      <c r="F881">
        <v>59</v>
      </c>
      <c r="G881" t="s">
        <v>33</v>
      </c>
      <c r="H881" t="s">
        <v>29</v>
      </c>
      <c r="I881" s="1" t="s">
        <v>34</v>
      </c>
      <c r="J881">
        <v>2793.66</v>
      </c>
    </row>
    <row r="882" spans="1:10" hidden="1" x14ac:dyDescent="0.35">
      <c r="A882" t="str">
        <f t="shared" si="13"/>
        <v>Pavão20174.2</v>
      </c>
      <c r="B882">
        <v>3148509</v>
      </c>
      <c r="C882" t="s">
        <v>56</v>
      </c>
      <c r="D882">
        <v>2017</v>
      </c>
      <c r="E882">
        <v>6</v>
      </c>
      <c r="F882">
        <v>45</v>
      </c>
      <c r="G882" t="s">
        <v>35</v>
      </c>
      <c r="H882" t="s">
        <v>29</v>
      </c>
      <c r="I882" s="1" t="s">
        <v>36</v>
      </c>
      <c r="J882">
        <v>9947.39</v>
      </c>
    </row>
    <row r="883" spans="1:10" hidden="1" x14ac:dyDescent="0.35">
      <c r="A883" t="str">
        <f t="shared" si="13"/>
        <v>Pavão20174.8</v>
      </c>
      <c r="B883">
        <v>3148509</v>
      </c>
      <c r="C883" t="s">
        <v>56</v>
      </c>
      <c r="D883">
        <v>2017</v>
      </c>
      <c r="E883">
        <v>6</v>
      </c>
      <c r="F883">
        <v>56</v>
      </c>
      <c r="G883" t="s">
        <v>37</v>
      </c>
      <c r="H883" t="s">
        <v>29</v>
      </c>
      <c r="I883" s="1" t="s">
        <v>38</v>
      </c>
      <c r="J883">
        <v>7964.49</v>
      </c>
    </row>
    <row r="884" spans="1:10" hidden="1" x14ac:dyDescent="0.35">
      <c r="A884" t="str">
        <f t="shared" si="13"/>
        <v>Pavão20174.9</v>
      </c>
      <c r="B884">
        <v>3148509</v>
      </c>
      <c r="C884" t="s">
        <v>56</v>
      </c>
      <c r="D884">
        <v>2017</v>
      </c>
      <c r="E884">
        <v>6</v>
      </c>
      <c r="F884">
        <v>57</v>
      </c>
      <c r="G884" t="s">
        <v>39</v>
      </c>
      <c r="H884" t="s">
        <v>29</v>
      </c>
      <c r="I884" s="1" t="s">
        <v>40</v>
      </c>
      <c r="J884">
        <v>7964.49</v>
      </c>
    </row>
    <row r="885" spans="1:10" hidden="1" x14ac:dyDescent="0.35">
      <c r="A885" t="str">
        <f t="shared" si="13"/>
        <v>Poté20171.1</v>
      </c>
      <c r="B885">
        <v>3152402</v>
      </c>
      <c r="C885" t="s">
        <v>57</v>
      </c>
      <c r="D885">
        <v>2017</v>
      </c>
      <c r="E885">
        <v>6</v>
      </c>
      <c r="F885">
        <v>24</v>
      </c>
      <c r="G885" t="s">
        <v>10</v>
      </c>
      <c r="H885" t="s">
        <v>11</v>
      </c>
      <c r="I885" s="1" t="s">
        <v>12</v>
      </c>
      <c r="J885">
        <v>0.34510000000000002</v>
      </c>
    </row>
    <row r="886" spans="1:10" hidden="1" x14ac:dyDescent="0.35">
      <c r="A886" t="str">
        <f t="shared" si="13"/>
        <v>Poté20171.2</v>
      </c>
      <c r="B886">
        <v>3152402</v>
      </c>
      <c r="C886" t="s">
        <v>57</v>
      </c>
      <c r="D886">
        <v>2017</v>
      </c>
      <c r="E886">
        <v>6</v>
      </c>
      <c r="F886">
        <v>67</v>
      </c>
      <c r="G886" t="s">
        <v>13</v>
      </c>
      <c r="H886" t="s">
        <v>11</v>
      </c>
      <c r="I886" s="1" t="s">
        <v>14</v>
      </c>
      <c r="J886">
        <v>0.78010000000000002</v>
      </c>
    </row>
    <row r="887" spans="1:10" hidden="1" x14ac:dyDescent="0.35">
      <c r="A887" t="str">
        <f t="shared" si="13"/>
        <v>Poté20171.3</v>
      </c>
      <c r="B887">
        <v>3152402</v>
      </c>
      <c r="C887" t="s">
        <v>57</v>
      </c>
      <c r="D887">
        <v>2017</v>
      </c>
      <c r="E887">
        <v>6</v>
      </c>
      <c r="F887">
        <v>68</v>
      </c>
      <c r="G887" t="s">
        <v>15</v>
      </c>
      <c r="H887" t="s">
        <v>11</v>
      </c>
      <c r="I887" s="1" t="s">
        <v>16</v>
      </c>
      <c r="J887">
        <v>0.21990000000000001</v>
      </c>
    </row>
    <row r="888" spans="1:10" hidden="1" x14ac:dyDescent="0.35">
      <c r="A888" t="str">
        <f t="shared" si="13"/>
        <v>Poté20172.1</v>
      </c>
      <c r="B888">
        <v>3152402</v>
      </c>
      <c r="C888" t="s">
        <v>57</v>
      </c>
      <c r="D888">
        <v>2017</v>
      </c>
      <c r="E888">
        <v>6</v>
      </c>
      <c r="F888">
        <v>28</v>
      </c>
      <c r="G888" t="s">
        <v>17</v>
      </c>
      <c r="H888" t="s">
        <v>18</v>
      </c>
      <c r="I888" s="1" t="s">
        <v>19</v>
      </c>
      <c r="J888">
        <v>0.30220000000000002</v>
      </c>
    </row>
    <row r="889" spans="1:10" hidden="1" x14ac:dyDescent="0.35">
      <c r="A889" t="str">
        <f t="shared" si="13"/>
        <v>Poté20172.2</v>
      </c>
      <c r="B889">
        <v>3152402</v>
      </c>
      <c r="C889" t="s">
        <v>57</v>
      </c>
      <c r="D889">
        <v>2017</v>
      </c>
      <c r="E889">
        <v>6</v>
      </c>
      <c r="F889">
        <v>29</v>
      </c>
      <c r="G889" t="s">
        <v>20</v>
      </c>
      <c r="H889" t="s">
        <v>18</v>
      </c>
      <c r="I889" s="1" t="s">
        <v>21</v>
      </c>
      <c r="J889">
        <v>0.72509999999999997</v>
      </c>
    </row>
    <row r="890" spans="1:10" hidden="1" x14ac:dyDescent="0.35">
      <c r="A890" t="str">
        <f t="shared" si="13"/>
        <v>Poté20172.4</v>
      </c>
      <c r="B890">
        <v>3152402</v>
      </c>
      <c r="C890" t="s">
        <v>57</v>
      </c>
      <c r="D890">
        <v>2017</v>
      </c>
      <c r="E890">
        <v>6</v>
      </c>
      <c r="F890">
        <v>31</v>
      </c>
      <c r="G890" t="s">
        <v>22</v>
      </c>
      <c r="H890" t="s">
        <v>18</v>
      </c>
      <c r="I890" s="1" t="s">
        <v>23</v>
      </c>
      <c r="J890">
        <v>0.2014</v>
      </c>
    </row>
    <row r="891" spans="1:10" hidden="1" x14ac:dyDescent="0.35">
      <c r="A891" t="str">
        <f t="shared" si="13"/>
        <v>Poté20172.5</v>
      </c>
      <c r="B891">
        <v>3152402</v>
      </c>
      <c r="C891" t="s">
        <v>57</v>
      </c>
      <c r="D891">
        <v>2017</v>
      </c>
      <c r="E891">
        <v>6</v>
      </c>
      <c r="F891">
        <v>32</v>
      </c>
      <c r="G891" t="s">
        <v>24</v>
      </c>
      <c r="H891" t="s">
        <v>18</v>
      </c>
      <c r="I891" s="1" t="s">
        <v>25</v>
      </c>
      <c r="J891">
        <v>0.65720000000000001</v>
      </c>
    </row>
    <row r="892" spans="1:10" hidden="1" x14ac:dyDescent="0.35">
      <c r="A892" t="str">
        <f t="shared" si="13"/>
        <v>Poté20172.8</v>
      </c>
      <c r="B892">
        <v>3152402</v>
      </c>
      <c r="C892" t="s">
        <v>57</v>
      </c>
      <c r="D892">
        <v>2017</v>
      </c>
      <c r="E892">
        <v>6</v>
      </c>
      <c r="F892">
        <v>35</v>
      </c>
      <c r="G892" t="s">
        <v>26</v>
      </c>
      <c r="H892" t="s">
        <v>18</v>
      </c>
      <c r="I892" s="1" t="s">
        <v>27</v>
      </c>
      <c r="J892">
        <v>0.4909</v>
      </c>
    </row>
    <row r="893" spans="1:10" hidden="1" x14ac:dyDescent="0.35">
      <c r="A893" t="str">
        <f t="shared" si="13"/>
        <v>Poté20174.1</v>
      </c>
      <c r="B893">
        <v>3152402</v>
      </c>
      <c r="C893" t="s">
        <v>57</v>
      </c>
      <c r="D893">
        <v>2017</v>
      </c>
      <c r="E893">
        <v>6</v>
      </c>
      <c r="F893">
        <v>44</v>
      </c>
      <c r="G893" t="s">
        <v>28</v>
      </c>
      <c r="H893" t="s">
        <v>29</v>
      </c>
      <c r="I893" s="1" t="s">
        <v>30</v>
      </c>
      <c r="J893">
        <v>4671.22</v>
      </c>
    </row>
    <row r="894" spans="1:10" hidden="1" x14ac:dyDescent="0.35">
      <c r="A894" t="str">
        <f t="shared" si="13"/>
        <v>Poté20174.10</v>
      </c>
      <c r="B894">
        <v>3152402</v>
      </c>
      <c r="C894" t="s">
        <v>57</v>
      </c>
      <c r="D894">
        <v>2017</v>
      </c>
      <c r="E894">
        <v>6</v>
      </c>
      <c r="F894">
        <v>58</v>
      </c>
      <c r="G894" t="s">
        <v>31</v>
      </c>
      <c r="H894" t="s">
        <v>29</v>
      </c>
      <c r="I894" s="1" t="s">
        <v>32</v>
      </c>
      <c r="J894">
        <v>3512.51</v>
      </c>
    </row>
    <row r="895" spans="1:10" hidden="1" x14ac:dyDescent="0.35">
      <c r="A895" t="str">
        <f t="shared" si="13"/>
        <v>Poté20174.11</v>
      </c>
      <c r="B895">
        <v>3152402</v>
      </c>
      <c r="C895" t="s">
        <v>57</v>
      </c>
      <c r="D895">
        <v>2017</v>
      </c>
      <c r="E895">
        <v>6</v>
      </c>
      <c r="F895">
        <v>59</v>
      </c>
      <c r="G895" t="s">
        <v>33</v>
      </c>
      <c r="H895" t="s">
        <v>29</v>
      </c>
      <c r="I895" s="1" t="s">
        <v>34</v>
      </c>
      <c r="J895">
        <v>920.93</v>
      </c>
    </row>
    <row r="896" spans="1:10" x14ac:dyDescent="0.35">
      <c r="A896" t="str">
        <f t="shared" si="13"/>
        <v>Poté20174.2</v>
      </c>
      <c r="B896" s="3">
        <v>3152402</v>
      </c>
      <c r="C896" s="2" t="s">
        <v>57</v>
      </c>
      <c r="D896" s="2">
        <v>2017</v>
      </c>
      <c r="E896">
        <v>6</v>
      </c>
      <c r="F896">
        <v>45</v>
      </c>
      <c r="G896" t="s">
        <v>35</v>
      </c>
      <c r="H896" s="2" t="s">
        <v>29</v>
      </c>
      <c r="I896" s="7" t="s">
        <v>36</v>
      </c>
      <c r="J896" s="8">
        <v>5848.87</v>
      </c>
    </row>
    <row r="897" spans="1:10" hidden="1" x14ac:dyDescent="0.35">
      <c r="A897" t="str">
        <f t="shared" si="13"/>
        <v>Poté20174.8</v>
      </c>
      <c r="B897">
        <v>3152402</v>
      </c>
      <c r="C897" t="s">
        <v>57</v>
      </c>
      <c r="D897">
        <v>2017</v>
      </c>
      <c r="E897">
        <v>6</v>
      </c>
      <c r="F897">
        <v>56</v>
      </c>
      <c r="G897" t="s">
        <v>37</v>
      </c>
      <c r="H897" t="s">
        <v>29</v>
      </c>
      <c r="I897" s="1" t="s">
        <v>38</v>
      </c>
      <c r="J897">
        <v>5270.05</v>
      </c>
    </row>
    <row r="898" spans="1:10" hidden="1" x14ac:dyDescent="0.35">
      <c r="A898" t="str">
        <f t="shared" si="13"/>
        <v>Poté20174.9</v>
      </c>
      <c r="B898">
        <v>3152402</v>
      </c>
      <c r="C898" t="s">
        <v>57</v>
      </c>
      <c r="D898">
        <v>2017</v>
      </c>
      <c r="E898">
        <v>6</v>
      </c>
      <c r="F898">
        <v>57</v>
      </c>
      <c r="G898" t="s">
        <v>39</v>
      </c>
      <c r="H898" t="s">
        <v>29</v>
      </c>
      <c r="I898" s="1" t="s">
        <v>40</v>
      </c>
      <c r="J898">
        <v>5270.05</v>
      </c>
    </row>
    <row r="899" spans="1:10" hidden="1" x14ac:dyDescent="0.35">
      <c r="A899" t="str">
        <f t="shared" si="13"/>
        <v>Santa Helena de Minas20171.1</v>
      </c>
      <c r="B899">
        <v>3157658</v>
      </c>
      <c r="C899" t="s">
        <v>58</v>
      </c>
      <c r="D899">
        <v>2017</v>
      </c>
      <c r="E899">
        <v>6</v>
      </c>
      <c r="F899">
        <v>24</v>
      </c>
      <c r="G899" t="s">
        <v>10</v>
      </c>
      <c r="H899" t="s">
        <v>11</v>
      </c>
      <c r="I899" s="1" t="s">
        <v>12</v>
      </c>
      <c r="J899">
        <v>0.29620000000000002</v>
      </c>
    </row>
    <row r="900" spans="1:10" hidden="1" x14ac:dyDescent="0.35">
      <c r="A900" t="str">
        <f t="shared" ref="A900:A963" si="14">C900&amp;D900&amp;G900</f>
        <v>Santa Helena de Minas20171.2</v>
      </c>
      <c r="B900">
        <v>3157658</v>
      </c>
      <c r="C900" t="s">
        <v>58</v>
      </c>
      <c r="D900">
        <v>2017</v>
      </c>
      <c r="E900">
        <v>6</v>
      </c>
      <c r="F900">
        <v>67</v>
      </c>
      <c r="G900" t="s">
        <v>13</v>
      </c>
      <c r="H900" t="s">
        <v>11</v>
      </c>
      <c r="I900" s="1" t="s">
        <v>14</v>
      </c>
      <c r="J900">
        <v>0.97809999999999997</v>
      </c>
    </row>
    <row r="901" spans="1:10" hidden="1" x14ac:dyDescent="0.35">
      <c r="A901" t="str">
        <f t="shared" si="14"/>
        <v>Santa Helena de Minas20171.3</v>
      </c>
      <c r="B901">
        <v>3157658</v>
      </c>
      <c r="C901" t="s">
        <v>58</v>
      </c>
      <c r="D901">
        <v>2017</v>
      </c>
      <c r="E901">
        <v>6</v>
      </c>
      <c r="F901">
        <v>68</v>
      </c>
      <c r="G901" t="s">
        <v>15</v>
      </c>
      <c r="H901" t="s">
        <v>11</v>
      </c>
      <c r="I901" s="1" t="s">
        <v>16</v>
      </c>
    </row>
    <row r="902" spans="1:10" hidden="1" x14ac:dyDescent="0.35">
      <c r="A902" t="str">
        <f t="shared" si="14"/>
        <v>Santa Helena de Minas20172.1</v>
      </c>
      <c r="B902">
        <v>3157658</v>
      </c>
      <c r="C902" t="s">
        <v>58</v>
      </c>
      <c r="D902">
        <v>2017</v>
      </c>
      <c r="E902">
        <v>6</v>
      </c>
      <c r="F902">
        <v>28</v>
      </c>
      <c r="G902" t="s">
        <v>17</v>
      </c>
      <c r="H902" t="s">
        <v>18</v>
      </c>
      <c r="I902" s="1" t="s">
        <v>19</v>
      </c>
      <c r="J902">
        <v>3.2500000000000001E-2</v>
      </c>
    </row>
    <row r="903" spans="1:10" hidden="1" x14ac:dyDescent="0.35">
      <c r="A903" t="str">
        <f t="shared" si="14"/>
        <v>Santa Helena de Minas20172.2</v>
      </c>
      <c r="B903">
        <v>3157658</v>
      </c>
      <c r="C903" t="s">
        <v>58</v>
      </c>
      <c r="D903">
        <v>2017</v>
      </c>
      <c r="E903">
        <v>6</v>
      </c>
      <c r="F903">
        <v>29</v>
      </c>
      <c r="G903" t="s">
        <v>20</v>
      </c>
      <c r="H903" t="s">
        <v>18</v>
      </c>
      <c r="I903" s="1" t="s">
        <v>21</v>
      </c>
      <c r="J903">
        <v>0.9456</v>
      </c>
    </row>
    <row r="904" spans="1:10" hidden="1" x14ac:dyDescent="0.35">
      <c r="A904" t="str">
        <f t="shared" si="14"/>
        <v>Santa Helena de Minas20172.4</v>
      </c>
      <c r="B904">
        <v>3157658</v>
      </c>
      <c r="C904" t="s">
        <v>58</v>
      </c>
      <c r="D904">
        <v>2017</v>
      </c>
      <c r="E904">
        <v>6</v>
      </c>
      <c r="F904">
        <v>31</v>
      </c>
      <c r="G904" t="s">
        <v>22</v>
      </c>
      <c r="H904" t="s">
        <v>18</v>
      </c>
      <c r="I904" s="1" t="s">
        <v>23</v>
      </c>
      <c r="J904">
        <v>1.32E-2</v>
      </c>
    </row>
    <row r="905" spans="1:10" hidden="1" x14ac:dyDescent="0.35">
      <c r="A905" t="str">
        <f t="shared" si="14"/>
        <v>Santa Helena de Minas20172.5</v>
      </c>
      <c r="B905">
        <v>3157658</v>
      </c>
      <c r="C905" t="s">
        <v>58</v>
      </c>
      <c r="D905">
        <v>2017</v>
      </c>
      <c r="E905">
        <v>6</v>
      </c>
      <c r="F905">
        <v>32</v>
      </c>
      <c r="G905" t="s">
        <v>24</v>
      </c>
      <c r="H905" t="s">
        <v>18</v>
      </c>
      <c r="I905" s="1" t="s">
        <v>25</v>
      </c>
      <c r="J905">
        <v>0.86399999999999999</v>
      </c>
    </row>
    <row r="906" spans="1:10" hidden="1" x14ac:dyDescent="0.35">
      <c r="A906" t="str">
        <f t="shared" si="14"/>
        <v>Santa Helena de Minas20172.8</v>
      </c>
      <c r="B906">
        <v>3157658</v>
      </c>
      <c r="C906" t="s">
        <v>58</v>
      </c>
      <c r="D906">
        <v>2017</v>
      </c>
      <c r="E906">
        <v>6</v>
      </c>
      <c r="F906">
        <v>35</v>
      </c>
      <c r="G906" t="s">
        <v>26</v>
      </c>
      <c r="H906" t="s">
        <v>18</v>
      </c>
      <c r="I906" s="1" t="s">
        <v>27</v>
      </c>
      <c r="J906">
        <v>0.26790000000000003</v>
      </c>
    </row>
    <row r="907" spans="1:10" hidden="1" x14ac:dyDescent="0.35">
      <c r="A907" t="str">
        <f t="shared" si="14"/>
        <v>Santa Helena de Minas20174.1</v>
      </c>
      <c r="B907">
        <v>3157658</v>
      </c>
      <c r="C907" t="s">
        <v>58</v>
      </c>
      <c r="D907">
        <v>2017</v>
      </c>
      <c r="E907">
        <v>6</v>
      </c>
      <c r="F907">
        <v>44</v>
      </c>
      <c r="G907" t="s">
        <v>28</v>
      </c>
      <c r="H907" t="s">
        <v>29</v>
      </c>
      <c r="I907" s="1" t="s">
        <v>30</v>
      </c>
      <c r="J907">
        <v>390.62</v>
      </c>
    </row>
    <row r="908" spans="1:10" hidden="1" x14ac:dyDescent="0.35">
      <c r="A908" t="str">
        <f t="shared" si="14"/>
        <v>Santa Helena de Minas20174.10</v>
      </c>
      <c r="B908">
        <v>3157658</v>
      </c>
      <c r="C908" t="s">
        <v>58</v>
      </c>
      <c r="D908">
        <v>2017</v>
      </c>
      <c r="E908">
        <v>6</v>
      </c>
      <c r="F908">
        <v>58</v>
      </c>
      <c r="G908" t="s">
        <v>31</v>
      </c>
      <c r="H908" t="s">
        <v>29</v>
      </c>
      <c r="I908" s="1" t="s">
        <v>32</v>
      </c>
      <c r="J908">
        <v>7115.24</v>
      </c>
    </row>
    <row r="909" spans="1:10" hidden="1" x14ac:dyDescent="0.35">
      <c r="A909" t="str">
        <f t="shared" si="14"/>
        <v>Santa Helena de Minas20174.11</v>
      </c>
      <c r="B909">
        <v>3157658</v>
      </c>
      <c r="C909" t="s">
        <v>58</v>
      </c>
      <c r="D909">
        <v>2017</v>
      </c>
      <c r="E909">
        <v>6</v>
      </c>
      <c r="F909">
        <v>59</v>
      </c>
      <c r="G909" t="s">
        <v>33</v>
      </c>
      <c r="H909" t="s">
        <v>29</v>
      </c>
      <c r="I909" s="1" t="s">
        <v>34</v>
      </c>
    </row>
    <row r="910" spans="1:10" x14ac:dyDescent="0.35">
      <c r="A910" t="str">
        <f t="shared" si="14"/>
        <v>Santa Helena de Minas20174.2</v>
      </c>
      <c r="B910" s="4">
        <v>3157658</v>
      </c>
      <c r="C910" t="s">
        <v>58</v>
      </c>
      <c r="D910">
        <v>2017</v>
      </c>
      <c r="E910">
        <v>6</v>
      </c>
      <c r="F910">
        <v>45</v>
      </c>
      <c r="G910" t="s">
        <v>35</v>
      </c>
      <c r="H910" t="s">
        <v>29</v>
      </c>
      <c r="I910" s="1" t="s">
        <v>36</v>
      </c>
      <c r="J910" s="5">
        <v>9653.2999999999993</v>
      </c>
    </row>
    <row r="911" spans="1:10" hidden="1" x14ac:dyDescent="0.35">
      <c r="A911" t="str">
        <f t="shared" si="14"/>
        <v>Santa Helena de Minas20174.8</v>
      </c>
      <c r="B911">
        <v>3157658</v>
      </c>
      <c r="C911" t="s">
        <v>58</v>
      </c>
      <c r="D911">
        <v>2017</v>
      </c>
      <c r="E911">
        <v>6</v>
      </c>
      <c r="F911">
        <v>56</v>
      </c>
      <c r="G911" t="s">
        <v>37</v>
      </c>
      <c r="H911" t="s">
        <v>29</v>
      </c>
      <c r="I911" s="1" t="s">
        <v>38</v>
      </c>
      <c r="J911">
        <v>7115.24</v>
      </c>
    </row>
    <row r="912" spans="1:10" hidden="1" x14ac:dyDescent="0.35">
      <c r="A912" t="str">
        <f t="shared" si="14"/>
        <v>Santa Helena de Minas20174.9</v>
      </c>
      <c r="B912">
        <v>3157658</v>
      </c>
      <c r="C912" t="s">
        <v>58</v>
      </c>
      <c r="D912">
        <v>2017</v>
      </c>
      <c r="E912">
        <v>6</v>
      </c>
      <c r="F912">
        <v>57</v>
      </c>
      <c r="G912" t="s">
        <v>39</v>
      </c>
      <c r="H912" t="s">
        <v>29</v>
      </c>
      <c r="I912" s="1" t="s">
        <v>40</v>
      </c>
      <c r="J912">
        <v>7115.24</v>
      </c>
    </row>
    <row r="913" spans="1:10" hidden="1" x14ac:dyDescent="0.35">
      <c r="A913" t="str">
        <f t="shared" si="14"/>
        <v>Serra dos Aimorés20171.1</v>
      </c>
      <c r="B913">
        <v>3166709</v>
      </c>
      <c r="C913" t="s">
        <v>59</v>
      </c>
      <c r="D913">
        <v>2017</v>
      </c>
      <c r="E913">
        <v>6</v>
      </c>
      <c r="F913">
        <v>24</v>
      </c>
      <c r="G913" t="s">
        <v>10</v>
      </c>
      <c r="H913" t="s">
        <v>11</v>
      </c>
      <c r="I913" s="1" t="s">
        <v>12</v>
      </c>
      <c r="J913">
        <v>0.26169999999999999</v>
      </c>
    </row>
    <row r="914" spans="1:10" hidden="1" x14ac:dyDescent="0.35">
      <c r="A914" t="str">
        <f t="shared" si="14"/>
        <v>Serra dos Aimorés20171.2</v>
      </c>
      <c r="B914">
        <v>3166709</v>
      </c>
      <c r="C914" t="s">
        <v>59</v>
      </c>
      <c r="D914">
        <v>2017</v>
      </c>
      <c r="E914">
        <v>6</v>
      </c>
      <c r="F914">
        <v>67</v>
      </c>
      <c r="G914" t="s">
        <v>13</v>
      </c>
      <c r="H914" t="s">
        <v>11</v>
      </c>
      <c r="I914" s="1" t="s">
        <v>14</v>
      </c>
      <c r="J914">
        <v>0.72940000000000005</v>
      </c>
    </row>
    <row r="915" spans="1:10" hidden="1" x14ac:dyDescent="0.35">
      <c r="A915" t="str">
        <f t="shared" si="14"/>
        <v>Serra dos Aimorés20171.3</v>
      </c>
      <c r="B915">
        <v>3166709</v>
      </c>
      <c r="C915" t="s">
        <v>59</v>
      </c>
      <c r="D915">
        <v>2017</v>
      </c>
      <c r="E915">
        <v>6</v>
      </c>
      <c r="F915">
        <v>68</v>
      </c>
      <c r="G915" t="s">
        <v>15</v>
      </c>
      <c r="H915" t="s">
        <v>11</v>
      </c>
      <c r="I915" s="1" t="s">
        <v>16</v>
      </c>
      <c r="J915">
        <v>0.27060000000000001</v>
      </c>
    </row>
    <row r="916" spans="1:10" hidden="1" x14ac:dyDescent="0.35">
      <c r="A916" t="str">
        <f t="shared" si="14"/>
        <v>Serra dos Aimorés20172.1</v>
      </c>
      <c r="B916">
        <v>3166709</v>
      </c>
      <c r="C916" t="s">
        <v>59</v>
      </c>
      <c r="D916">
        <v>2017</v>
      </c>
      <c r="E916">
        <v>6</v>
      </c>
      <c r="F916">
        <v>28</v>
      </c>
      <c r="G916" t="s">
        <v>17</v>
      </c>
      <c r="H916" t="s">
        <v>18</v>
      </c>
      <c r="I916" s="1" t="s">
        <v>19</v>
      </c>
      <c r="J916">
        <v>0.27979999999999999</v>
      </c>
    </row>
    <row r="917" spans="1:10" hidden="1" x14ac:dyDescent="0.35">
      <c r="A917" t="str">
        <f t="shared" si="14"/>
        <v>Serra dos Aimorés20172.2</v>
      </c>
      <c r="B917">
        <v>3166709</v>
      </c>
      <c r="C917" t="s">
        <v>59</v>
      </c>
      <c r="D917">
        <v>2017</v>
      </c>
      <c r="E917">
        <v>6</v>
      </c>
      <c r="F917">
        <v>29</v>
      </c>
      <c r="G917" t="s">
        <v>20</v>
      </c>
      <c r="H917" t="s">
        <v>18</v>
      </c>
      <c r="I917" s="1" t="s">
        <v>21</v>
      </c>
      <c r="J917">
        <v>0.73380000000000001</v>
      </c>
    </row>
    <row r="918" spans="1:10" hidden="1" x14ac:dyDescent="0.35">
      <c r="A918" t="str">
        <f t="shared" si="14"/>
        <v>Serra dos Aimorés20172.4</v>
      </c>
      <c r="B918">
        <v>3166709</v>
      </c>
      <c r="C918" t="s">
        <v>59</v>
      </c>
      <c r="D918">
        <v>2017</v>
      </c>
      <c r="E918">
        <v>6</v>
      </c>
      <c r="F918">
        <v>31</v>
      </c>
      <c r="G918" t="s">
        <v>22</v>
      </c>
      <c r="H918" t="s">
        <v>18</v>
      </c>
      <c r="I918" s="1" t="s">
        <v>23</v>
      </c>
      <c r="J918">
        <v>0.23089999999999999</v>
      </c>
    </row>
    <row r="919" spans="1:10" hidden="1" x14ac:dyDescent="0.35">
      <c r="A919" t="str">
        <f t="shared" si="14"/>
        <v>Serra dos Aimorés20172.5</v>
      </c>
      <c r="B919">
        <v>3166709</v>
      </c>
      <c r="C919" t="s">
        <v>59</v>
      </c>
      <c r="D919">
        <v>2017</v>
      </c>
      <c r="E919">
        <v>6</v>
      </c>
      <c r="F919">
        <v>32</v>
      </c>
      <c r="G919" t="s">
        <v>24</v>
      </c>
      <c r="H919" t="s">
        <v>18</v>
      </c>
      <c r="I919" s="1" t="s">
        <v>25</v>
      </c>
      <c r="J919">
        <v>0.63190000000000002</v>
      </c>
    </row>
    <row r="920" spans="1:10" hidden="1" x14ac:dyDescent="0.35">
      <c r="A920" t="str">
        <f t="shared" si="14"/>
        <v>Serra dos Aimorés20172.8</v>
      </c>
      <c r="B920">
        <v>3166709</v>
      </c>
      <c r="C920" t="s">
        <v>59</v>
      </c>
      <c r="D920">
        <v>2017</v>
      </c>
      <c r="E920">
        <v>6</v>
      </c>
      <c r="F920">
        <v>35</v>
      </c>
      <c r="G920" t="s">
        <v>26</v>
      </c>
      <c r="H920" t="s">
        <v>18</v>
      </c>
      <c r="I920" s="1" t="s">
        <v>27</v>
      </c>
      <c r="J920">
        <v>0.27489999999999998</v>
      </c>
    </row>
    <row r="921" spans="1:10" hidden="1" x14ac:dyDescent="0.35">
      <c r="A921" t="str">
        <f t="shared" si="14"/>
        <v>Serra dos Aimorés20174.1</v>
      </c>
      <c r="B921">
        <v>3166709</v>
      </c>
      <c r="C921" t="s">
        <v>59</v>
      </c>
      <c r="D921">
        <v>2017</v>
      </c>
      <c r="E921">
        <v>6</v>
      </c>
      <c r="F921">
        <v>44</v>
      </c>
      <c r="G921" t="s">
        <v>28</v>
      </c>
      <c r="H921" t="s">
        <v>29</v>
      </c>
      <c r="I921" s="1" t="s">
        <v>30</v>
      </c>
      <c r="J921">
        <v>4011.18</v>
      </c>
    </row>
    <row r="922" spans="1:10" hidden="1" x14ac:dyDescent="0.35">
      <c r="A922" t="str">
        <f t="shared" si="14"/>
        <v>Serra dos Aimorés20174.10</v>
      </c>
      <c r="B922">
        <v>3166709</v>
      </c>
      <c r="C922" t="s">
        <v>59</v>
      </c>
      <c r="D922">
        <v>2017</v>
      </c>
      <c r="E922">
        <v>6</v>
      </c>
      <c r="F922">
        <v>58</v>
      </c>
      <c r="G922" t="s">
        <v>31</v>
      </c>
      <c r="H922" t="s">
        <v>29</v>
      </c>
      <c r="I922" s="1" t="s">
        <v>32</v>
      </c>
      <c r="J922">
        <v>3209.16</v>
      </c>
    </row>
    <row r="923" spans="1:10" hidden="1" x14ac:dyDescent="0.35">
      <c r="A923" t="str">
        <f t="shared" si="14"/>
        <v>Serra dos Aimorés20174.11</v>
      </c>
      <c r="B923">
        <v>3166709</v>
      </c>
      <c r="C923" t="s">
        <v>59</v>
      </c>
      <c r="D923">
        <v>2017</v>
      </c>
      <c r="E923">
        <v>6</v>
      </c>
      <c r="F923">
        <v>59</v>
      </c>
      <c r="G923" t="s">
        <v>33</v>
      </c>
      <c r="H923" t="s">
        <v>29</v>
      </c>
      <c r="I923" s="1" t="s">
        <v>34</v>
      </c>
      <c r="J923">
        <v>813.11</v>
      </c>
    </row>
    <row r="924" spans="1:10" hidden="1" x14ac:dyDescent="0.35">
      <c r="A924" t="str">
        <f t="shared" si="14"/>
        <v>Serra dos Aimorés20174.2</v>
      </c>
      <c r="B924">
        <v>3166709</v>
      </c>
      <c r="C924" t="s">
        <v>59</v>
      </c>
      <c r="D924">
        <v>2017</v>
      </c>
      <c r="E924">
        <v>6</v>
      </c>
      <c r="F924">
        <v>45</v>
      </c>
      <c r="G924" t="s">
        <v>35</v>
      </c>
      <c r="H924" t="s">
        <v>29</v>
      </c>
      <c r="I924" s="1" t="s">
        <v>36</v>
      </c>
      <c r="J924">
        <v>4789.6499999999996</v>
      </c>
    </row>
    <row r="925" spans="1:10" hidden="1" x14ac:dyDescent="0.35">
      <c r="A925" t="str">
        <f t="shared" si="14"/>
        <v>Serra dos Aimorés20174.8</v>
      </c>
      <c r="B925">
        <v>3166709</v>
      </c>
      <c r="C925" t="s">
        <v>59</v>
      </c>
      <c r="D925">
        <v>2017</v>
      </c>
      <c r="E925">
        <v>6</v>
      </c>
      <c r="F925">
        <v>56</v>
      </c>
      <c r="G925" t="s">
        <v>37</v>
      </c>
      <c r="H925" t="s">
        <v>29</v>
      </c>
      <c r="I925" s="1" t="s">
        <v>38</v>
      </c>
      <c r="J925">
        <v>4438.1000000000004</v>
      </c>
    </row>
    <row r="926" spans="1:10" hidden="1" x14ac:dyDescent="0.35">
      <c r="A926" t="str">
        <f t="shared" si="14"/>
        <v>Serra dos Aimorés20174.9</v>
      </c>
      <c r="B926">
        <v>3166709</v>
      </c>
      <c r="C926" t="s">
        <v>59</v>
      </c>
      <c r="D926">
        <v>2017</v>
      </c>
      <c r="E926">
        <v>6</v>
      </c>
      <c r="F926">
        <v>57</v>
      </c>
      <c r="G926" t="s">
        <v>39</v>
      </c>
      <c r="H926" t="s">
        <v>29</v>
      </c>
      <c r="I926" s="1" t="s">
        <v>40</v>
      </c>
      <c r="J926">
        <v>4438.1000000000004</v>
      </c>
    </row>
    <row r="927" spans="1:10" hidden="1" x14ac:dyDescent="0.35">
      <c r="A927" t="str">
        <f t="shared" si="14"/>
        <v>Setubinha20171.1</v>
      </c>
      <c r="B927">
        <v>3165552</v>
      </c>
      <c r="C927" t="s">
        <v>60</v>
      </c>
      <c r="D927">
        <v>2017</v>
      </c>
      <c r="E927">
        <v>6</v>
      </c>
      <c r="F927">
        <v>24</v>
      </c>
      <c r="G927" t="s">
        <v>10</v>
      </c>
      <c r="H927" t="s">
        <v>11</v>
      </c>
      <c r="I927" s="1" t="s">
        <v>12</v>
      </c>
      <c r="J927">
        <v>0.29010000000000002</v>
      </c>
    </row>
    <row r="928" spans="1:10" hidden="1" x14ac:dyDescent="0.35">
      <c r="A928" t="str">
        <f t="shared" si="14"/>
        <v>Setubinha20171.2</v>
      </c>
      <c r="B928">
        <v>3165552</v>
      </c>
      <c r="C928" t="s">
        <v>60</v>
      </c>
      <c r="D928">
        <v>2017</v>
      </c>
      <c r="E928">
        <v>6</v>
      </c>
      <c r="F928">
        <v>67</v>
      </c>
      <c r="G928" t="s">
        <v>13</v>
      </c>
      <c r="H928" t="s">
        <v>11</v>
      </c>
      <c r="I928" s="1" t="s">
        <v>14</v>
      </c>
      <c r="J928">
        <v>0.65669999999999995</v>
      </c>
    </row>
    <row r="929" spans="1:10" hidden="1" x14ac:dyDescent="0.35">
      <c r="A929" t="str">
        <f t="shared" si="14"/>
        <v>Setubinha20171.3</v>
      </c>
      <c r="B929">
        <v>3165552</v>
      </c>
      <c r="C929" t="s">
        <v>60</v>
      </c>
      <c r="D929">
        <v>2017</v>
      </c>
      <c r="E929">
        <v>6</v>
      </c>
      <c r="F929">
        <v>68</v>
      </c>
      <c r="G929" t="s">
        <v>15</v>
      </c>
      <c r="H929" t="s">
        <v>11</v>
      </c>
      <c r="I929" s="1" t="s">
        <v>16</v>
      </c>
      <c r="J929">
        <v>0.34329999999999999</v>
      </c>
    </row>
    <row r="930" spans="1:10" hidden="1" x14ac:dyDescent="0.35">
      <c r="A930" t="str">
        <f t="shared" si="14"/>
        <v>Setubinha20172.1</v>
      </c>
      <c r="B930">
        <v>3165552</v>
      </c>
      <c r="C930" t="s">
        <v>60</v>
      </c>
      <c r="D930">
        <v>2017</v>
      </c>
      <c r="E930">
        <v>6</v>
      </c>
      <c r="F930">
        <v>28</v>
      </c>
      <c r="G930" t="s">
        <v>17</v>
      </c>
      <c r="H930" t="s">
        <v>18</v>
      </c>
      <c r="I930" s="1" t="s">
        <v>19</v>
      </c>
      <c r="J930">
        <v>0.1983</v>
      </c>
    </row>
    <row r="931" spans="1:10" hidden="1" x14ac:dyDescent="0.35">
      <c r="A931" t="str">
        <f t="shared" si="14"/>
        <v>Setubinha20172.2</v>
      </c>
      <c r="B931">
        <v>3165552</v>
      </c>
      <c r="C931" t="s">
        <v>60</v>
      </c>
      <c r="D931">
        <v>2017</v>
      </c>
      <c r="E931">
        <v>6</v>
      </c>
      <c r="F931">
        <v>29</v>
      </c>
      <c r="G931" t="s">
        <v>20</v>
      </c>
      <c r="H931" t="s">
        <v>18</v>
      </c>
      <c r="I931" s="1" t="s">
        <v>21</v>
      </c>
      <c r="J931">
        <v>0.81489999999999996</v>
      </c>
    </row>
    <row r="932" spans="1:10" hidden="1" x14ac:dyDescent="0.35">
      <c r="A932" t="str">
        <f t="shared" si="14"/>
        <v>Setubinha20172.4</v>
      </c>
      <c r="B932">
        <v>3165552</v>
      </c>
      <c r="C932" t="s">
        <v>60</v>
      </c>
      <c r="D932">
        <v>2017</v>
      </c>
      <c r="E932">
        <v>6</v>
      </c>
      <c r="F932">
        <v>31</v>
      </c>
      <c r="G932" t="s">
        <v>22</v>
      </c>
      <c r="H932" t="s">
        <v>18</v>
      </c>
      <c r="I932" s="1" t="s">
        <v>23</v>
      </c>
      <c r="J932">
        <v>8.6699999999999999E-2</v>
      </c>
    </row>
    <row r="933" spans="1:10" hidden="1" x14ac:dyDescent="0.35">
      <c r="A933" t="str">
        <f t="shared" si="14"/>
        <v>Setubinha20172.5</v>
      </c>
      <c r="B933">
        <v>3165552</v>
      </c>
      <c r="C933" t="s">
        <v>60</v>
      </c>
      <c r="D933">
        <v>2017</v>
      </c>
      <c r="E933">
        <v>6</v>
      </c>
      <c r="F933">
        <v>32</v>
      </c>
      <c r="G933" t="s">
        <v>24</v>
      </c>
      <c r="H933" t="s">
        <v>18</v>
      </c>
      <c r="I933" s="1" t="s">
        <v>25</v>
      </c>
      <c r="J933">
        <v>0.49840000000000001</v>
      </c>
    </row>
    <row r="934" spans="1:10" hidden="1" x14ac:dyDescent="0.35">
      <c r="A934" t="str">
        <f t="shared" si="14"/>
        <v>Setubinha20172.8</v>
      </c>
      <c r="B934">
        <v>3165552</v>
      </c>
      <c r="C934" t="s">
        <v>60</v>
      </c>
      <c r="D934">
        <v>2017</v>
      </c>
      <c r="E934">
        <v>6</v>
      </c>
      <c r="F934">
        <v>35</v>
      </c>
      <c r="G934" t="s">
        <v>26</v>
      </c>
      <c r="H934" t="s">
        <v>18</v>
      </c>
      <c r="I934" s="1" t="s">
        <v>27</v>
      </c>
      <c r="J934">
        <v>0.3332</v>
      </c>
    </row>
    <row r="935" spans="1:10" hidden="1" x14ac:dyDescent="0.35">
      <c r="A935" t="str">
        <f t="shared" si="14"/>
        <v>Setubinha20174.1</v>
      </c>
      <c r="B935">
        <v>3165552</v>
      </c>
      <c r="C935" t="s">
        <v>60</v>
      </c>
      <c r="D935">
        <v>2017</v>
      </c>
      <c r="E935">
        <v>6</v>
      </c>
      <c r="F935">
        <v>44</v>
      </c>
      <c r="G935" t="s">
        <v>28</v>
      </c>
      <c r="H935" t="s">
        <v>29</v>
      </c>
      <c r="I935" s="1" t="s">
        <v>30</v>
      </c>
      <c r="J935">
        <v>2043.19</v>
      </c>
    </row>
    <row r="936" spans="1:10" hidden="1" x14ac:dyDescent="0.35">
      <c r="A936" t="str">
        <f t="shared" si="14"/>
        <v>Setubinha20174.10</v>
      </c>
      <c r="B936">
        <v>3165552</v>
      </c>
      <c r="C936" t="s">
        <v>60</v>
      </c>
      <c r="D936">
        <v>2017</v>
      </c>
      <c r="E936">
        <v>6</v>
      </c>
      <c r="F936">
        <v>58</v>
      </c>
      <c r="G936" t="s">
        <v>31</v>
      </c>
      <c r="H936" t="s">
        <v>29</v>
      </c>
      <c r="I936" s="1" t="s">
        <v>32</v>
      </c>
      <c r="J936">
        <v>2198.87</v>
      </c>
    </row>
    <row r="937" spans="1:10" hidden="1" x14ac:dyDescent="0.35">
      <c r="A937" t="str">
        <f t="shared" si="14"/>
        <v>Setubinha20174.11</v>
      </c>
      <c r="B937">
        <v>3165552</v>
      </c>
      <c r="C937" t="s">
        <v>60</v>
      </c>
      <c r="D937">
        <v>2017</v>
      </c>
      <c r="E937">
        <v>6</v>
      </c>
      <c r="F937">
        <v>59</v>
      </c>
      <c r="G937" t="s">
        <v>33</v>
      </c>
      <c r="H937" t="s">
        <v>29</v>
      </c>
      <c r="I937" s="1" t="s">
        <v>34</v>
      </c>
      <c r="J937">
        <v>2696.06</v>
      </c>
    </row>
    <row r="938" spans="1:10" hidden="1" x14ac:dyDescent="0.35">
      <c r="A938" t="str">
        <f t="shared" si="14"/>
        <v>Setubinha20174.2</v>
      </c>
      <c r="B938">
        <v>3165552</v>
      </c>
      <c r="C938" t="s">
        <v>60</v>
      </c>
      <c r="D938">
        <v>2017</v>
      </c>
      <c r="E938">
        <v>6</v>
      </c>
      <c r="F938">
        <v>45</v>
      </c>
      <c r="G938" t="s">
        <v>35</v>
      </c>
      <c r="H938" t="s">
        <v>29</v>
      </c>
      <c r="I938" s="1" t="s">
        <v>36</v>
      </c>
      <c r="J938">
        <v>8704.99</v>
      </c>
    </row>
    <row r="939" spans="1:10" hidden="1" x14ac:dyDescent="0.35">
      <c r="A939" t="str">
        <f t="shared" si="14"/>
        <v>Setubinha20174.8</v>
      </c>
      <c r="B939">
        <v>3165552</v>
      </c>
      <c r="C939" t="s">
        <v>60</v>
      </c>
      <c r="D939">
        <v>2017</v>
      </c>
      <c r="E939">
        <v>6</v>
      </c>
      <c r="F939">
        <v>56</v>
      </c>
      <c r="G939" t="s">
        <v>37</v>
      </c>
      <c r="H939" t="s">
        <v>29</v>
      </c>
      <c r="I939" s="1" t="s">
        <v>38</v>
      </c>
      <c r="J939">
        <v>5595.65</v>
      </c>
    </row>
    <row r="940" spans="1:10" hidden="1" x14ac:dyDescent="0.35">
      <c r="A940" t="str">
        <f t="shared" si="14"/>
        <v>Setubinha20174.9</v>
      </c>
      <c r="B940">
        <v>3165552</v>
      </c>
      <c r="C940" t="s">
        <v>60</v>
      </c>
      <c r="D940">
        <v>2017</v>
      </c>
      <c r="E940">
        <v>6</v>
      </c>
      <c r="F940">
        <v>57</v>
      </c>
      <c r="G940" t="s">
        <v>39</v>
      </c>
      <c r="H940" t="s">
        <v>29</v>
      </c>
      <c r="I940" s="1" t="s">
        <v>40</v>
      </c>
      <c r="J940">
        <v>5595.65</v>
      </c>
    </row>
    <row r="941" spans="1:10" hidden="1" x14ac:dyDescent="0.35">
      <c r="A941" t="str">
        <f t="shared" si="14"/>
        <v>Teófilo Otoni20171.1</v>
      </c>
      <c r="B941">
        <v>3168606</v>
      </c>
      <c r="C941" t="s">
        <v>61</v>
      </c>
      <c r="D941">
        <v>2017</v>
      </c>
      <c r="E941">
        <v>6</v>
      </c>
      <c r="F941">
        <v>24</v>
      </c>
      <c r="G941" t="s">
        <v>10</v>
      </c>
      <c r="H941" t="s">
        <v>11</v>
      </c>
      <c r="I941" s="1" t="s">
        <v>12</v>
      </c>
      <c r="J941">
        <v>0.28129999999999999</v>
      </c>
    </row>
    <row r="942" spans="1:10" hidden="1" x14ac:dyDescent="0.35">
      <c r="A942" t="str">
        <f t="shared" si="14"/>
        <v>Teófilo Otoni20171.2</v>
      </c>
      <c r="B942">
        <v>3168606</v>
      </c>
      <c r="C942" t="s">
        <v>61</v>
      </c>
      <c r="D942">
        <v>2017</v>
      </c>
      <c r="E942">
        <v>6</v>
      </c>
      <c r="F942">
        <v>67</v>
      </c>
      <c r="G942" t="s">
        <v>13</v>
      </c>
      <c r="H942" t="s">
        <v>11</v>
      </c>
      <c r="I942" s="1" t="s">
        <v>14</v>
      </c>
      <c r="J942">
        <v>0.77059999999999995</v>
      </c>
    </row>
    <row r="943" spans="1:10" hidden="1" x14ac:dyDescent="0.35">
      <c r="A943" t="str">
        <f t="shared" si="14"/>
        <v>Teófilo Otoni20171.3</v>
      </c>
      <c r="B943">
        <v>3168606</v>
      </c>
      <c r="C943" t="s">
        <v>61</v>
      </c>
      <c r="D943">
        <v>2017</v>
      </c>
      <c r="E943">
        <v>6</v>
      </c>
      <c r="F943">
        <v>68</v>
      </c>
      <c r="G943" t="s">
        <v>15</v>
      </c>
      <c r="H943" t="s">
        <v>11</v>
      </c>
      <c r="I943" s="1" t="s">
        <v>16</v>
      </c>
      <c r="J943">
        <v>0.22939999999999999</v>
      </c>
    </row>
    <row r="944" spans="1:10" hidden="1" x14ac:dyDescent="0.35">
      <c r="A944" t="str">
        <f t="shared" si="14"/>
        <v>Teófilo Otoni20172.1</v>
      </c>
      <c r="B944">
        <v>3168606</v>
      </c>
      <c r="C944" t="s">
        <v>61</v>
      </c>
      <c r="D944">
        <v>2017</v>
      </c>
      <c r="E944">
        <v>6</v>
      </c>
      <c r="F944">
        <v>28</v>
      </c>
      <c r="G944" t="s">
        <v>17</v>
      </c>
      <c r="H944" t="s">
        <v>18</v>
      </c>
      <c r="I944" s="1" t="s">
        <v>19</v>
      </c>
      <c r="J944">
        <v>0.28010000000000002</v>
      </c>
    </row>
    <row r="945" spans="1:12" hidden="1" x14ac:dyDescent="0.35">
      <c r="A945" t="str">
        <f t="shared" si="14"/>
        <v>Teófilo Otoni20172.2</v>
      </c>
      <c r="B945">
        <v>3168606</v>
      </c>
      <c r="C945" t="s">
        <v>61</v>
      </c>
      <c r="D945">
        <v>2017</v>
      </c>
      <c r="E945">
        <v>6</v>
      </c>
      <c r="F945">
        <v>29</v>
      </c>
      <c r="G945" t="s">
        <v>20</v>
      </c>
      <c r="H945" t="s">
        <v>18</v>
      </c>
      <c r="I945" s="1" t="s">
        <v>21</v>
      </c>
      <c r="J945">
        <v>0.71989999999999998</v>
      </c>
    </row>
    <row r="946" spans="1:12" hidden="1" x14ac:dyDescent="0.35">
      <c r="A946" t="str">
        <f t="shared" si="14"/>
        <v>Teófilo Otoni20172.4</v>
      </c>
      <c r="B946">
        <v>3168606</v>
      </c>
      <c r="C946" t="s">
        <v>61</v>
      </c>
      <c r="D946">
        <v>2017</v>
      </c>
      <c r="E946">
        <v>6</v>
      </c>
      <c r="F946">
        <v>31</v>
      </c>
      <c r="G946" t="s">
        <v>22</v>
      </c>
      <c r="H946" t="s">
        <v>18</v>
      </c>
      <c r="I946" s="1" t="s">
        <v>23</v>
      </c>
      <c r="J946">
        <v>0.20780000000000001</v>
      </c>
    </row>
    <row r="947" spans="1:12" hidden="1" x14ac:dyDescent="0.35">
      <c r="A947" t="str">
        <f t="shared" si="14"/>
        <v>Teófilo Otoni20172.5</v>
      </c>
      <c r="B947">
        <v>3168606</v>
      </c>
      <c r="C947" t="s">
        <v>61</v>
      </c>
      <c r="D947">
        <v>2017</v>
      </c>
      <c r="E947">
        <v>6</v>
      </c>
      <c r="F947">
        <v>32</v>
      </c>
      <c r="G947" t="s">
        <v>24</v>
      </c>
      <c r="H947" t="s">
        <v>18</v>
      </c>
      <c r="I947" s="1" t="s">
        <v>25</v>
      </c>
      <c r="J947">
        <v>0.65039999999999998</v>
      </c>
    </row>
    <row r="948" spans="1:12" hidden="1" x14ac:dyDescent="0.35">
      <c r="A948" t="str">
        <f t="shared" si="14"/>
        <v>Teófilo Otoni20172.8</v>
      </c>
      <c r="B948">
        <v>3168606</v>
      </c>
      <c r="C948" t="s">
        <v>61</v>
      </c>
      <c r="D948">
        <v>2017</v>
      </c>
      <c r="E948">
        <v>6</v>
      </c>
      <c r="F948">
        <v>35</v>
      </c>
      <c r="G948" t="s">
        <v>26</v>
      </c>
      <c r="H948" t="s">
        <v>18</v>
      </c>
      <c r="I948" s="1" t="s">
        <v>27</v>
      </c>
      <c r="J948">
        <v>0.17660000000000001</v>
      </c>
    </row>
    <row r="949" spans="1:12" hidden="1" x14ac:dyDescent="0.35">
      <c r="A949" t="str">
        <f t="shared" si="14"/>
        <v>Teófilo Otoni20174.1</v>
      </c>
      <c r="B949">
        <v>3168606</v>
      </c>
      <c r="C949" t="s">
        <v>61</v>
      </c>
      <c r="D949">
        <v>2017</v>
      </c>
      <c r="E949">
        <v>6</v>
      </c>
      <c r="F949">
        <v>44</v>
      </c>
      <c r="G949" t="s">
        <v>28</v>
      </c>
      <c r="H949" t="s">
        <v>29</v>
      </c>
      <c r="I949" s="1" t="s">
        <v>30</v>
      </c>
      <c r="J949">
        <v>2961.75</v>
      </c>
    </row>
    <row r="950" spans="1:12" hidden="1" x14ac:dyDescent="0.35">
      <c r="A950" t="str">
        <f t="shared" si="14"/>
        <v>Teófilo Otoni20174.10</v>
      </c>
      <c r="B950">
        <v>3168606</v>
      </c>
      <c r="C950" t="s">
        <v>61</v>
      </c>
      <c r="D950">
        <v>2017</v>
      </c>
      <c r="E950">
        <v>6</v>
      </c>
      <c r="F950">
        <v>58</v>
      </c>
      <c r="G950" t="s">
        <v>31</v>
      </c>
      <c r="H950" t="s">
        <v>29</v>
      </c>
      <c r="I950" s="1" t="s">
        <v>32</v>
      </c>
      <c r="J950">
        <v>3070.61</v>
      </c>
    </row>
    <row r="951" spans="1:12" hidden="1" x14ac:dyDescent="0.35">
      <c r="A951" t="str">
        <f t="shared" si="14"/>
        <v>Teófilo Otoni20174.11</v>
      </c>
      <c r="B951">
        <v>3168606</v>
      </c>
      <c r="C951" t="s">
        <v>61</v>
      </c>
      <c r="D951">
        <v>2017</v>
      </c>
      <c r="E951">
        <v>6</v>
      </c>
      <c r="F951">
        <v>59</v>
      </c>
      <c r="G951" t="s">
        <v>33</v>
      </c>
      <c r="H951" t="s">
        <v>29</v>
      </c>
      <c r="I951" s="1" t="s">
        <v>34</v>
      </c>
      <c r="J951">
        <v>517.04</v>
      </c>
    </row>
    <row r="952" spans="1:12" x14ac:dyDescent="0.35">
      <c r="A952" t="str">
        <f t="shared" si="14"/>
        <v>Teófilo Otoni20174.2</v>
      </c>
      <c r="B952" s="3">
        <v>3168606</v>
      </c>
      <c r="C952" s="2" t="s">
        <v>61</v>
      </c>
      <c r="D952" s="2">
        <v>2017</v>
      </c>
      <c r="E952">
        <v>6</v>
      </c>
      <c r="F952">
        <v>45</v>
      </c>
      <c r="G952" t="s">
        <v>35</v>
      </c>
      <c r="H952" s="2" t="s">
        <v>29</v>
      </c>
      <c r="I952" s="7" t="s">
        <v>36</v>
      </c>
      <c r="J952" s="8">
        <v>6129.87</v>
      </c>
      <c r="L952" s="10"/>
    </row>
    <row r="953" spans="1:12" hidden="1" x14ac:dyDescent="0.35">
      <c r="A953" t="str">
        <f t="shared" si="14"/>
        <v>Teófilo Otoni20174.8</v>
      </c>
      <c r="B953">
        <v>3168606</v>
      </c>
      <c r="C953" t="s">
        <v>61</v>
      </c>
      <c r="D953">
        <v>2017</v>
      </c>
      <c r="E953">
        <v>6</v>
      </c>
      <c r="F953">
        <v>56</v>
      </c>
      <c r="G953" t="s">
        <v>37</v>
      </c>
      <c r="H953" t="s">
        <v>29</v>
      </c>
      <c r="I953" s="1" t="s">
        <v>38</v>
      </c>
      <c r="J953">
        <v>4599.33</v>
      </c>
    </row>
    <row r="954" spans="1:12" hidden="1" x14ac:dyDescent="0.35">
      <c r="A954" t="str">
        <f t="shared" si="14"/>
        <v>Teófilo Otoni20174.9</v>
      </c>
      <c r="B954">
        <v>3168606</v>
      </c>
      <c r="C954" t="s">
        <v>61</v>
      </c>
      <c r="D954">
        <v>2017</v>
      </c>
      <c r="E954">
        <v>6</v>
      </c>
      <c r="F954">
        <v>57</v>
      </c>
      <c r="G954" t="s">
        <v>39</v>
      </c>
      <c r="H954" t="s">
        <v>29</v>
      </c>
      <c r="I954" s="1" t="s">
        <v>40</v>
      </c>
      <c r="J954">
        <v>4599.33</v>
      </c>
    </row>
    <row r="955" spans="1:12" hidden="1" x14ac:dyDescent="0.35">
      <c r="A955" t="str">
        <f t="shared" si="14"/>
        <v>Umburatiba20171.1</v>
      </c>
      <c r="B955">
        <v>3170305</v>
      </c>
      <c r="C955" t="s">
        <v>62</v>
      </c>
      <c r="D955">
        <v>2017</v>
      </c>
      <c r="E955">
        <v>6</v>
      </c>
      <c r="F955">
        <v>24</v>
      </c>
      <c r="G955" t="s">
        <v>10</v>
      </c>
      <c r="H955" t="s">
        <v>11</v>
      </c>
      <c r="I955" s="1" t="s">
        <v>12</v>
      </c>
      <c r="J955">
        <v>0.29549999999999998</v>
      </c>
    </row>
    <row r="956" spans="1:12" hidden="1" x14ac:dyDescent="0.35">
      <c r="A956" t="str">
        <f t="shared" si="14"/>
        <v>Umburatiba20171.2</v>
      </c>
      <c r="B956">
        <v>3170305</v>
      </c>
      <c r="C956" t="s">
        <v>62</v>
      </c>
      <c r="D956">
        <v>2017</v>
      </c>
      <c r="E956">
        <v>6</v>
      </c>
      <c r="F956">
        <v>67</v>
      </c>
      <c r="G956" t="s">
        <v>13</v>
      </c>
      <c r="H956" t="s">
        <v>11</v>
      </c>
      <c r="I956" s="1" t="s">
        <v>14</v>
      </c>
      <c r="J956">
        <v>0.75170000000000003</v>
      </c>
    </row>
    <row r="957" spans="1:12" hidden="1" x14ac:dyDescent="0.35">
      <c r="A957" t="str">
        <f t="shared" si="14"/>
        <v>Umburatiba20171.3</v>
      </c>
      <c r="B957">
        <v>3170305</v>
      </c>
      <c r="C957" t="s">
        <v>62</v>
      </c>
      <c r="D957">
        <v>2017</v>
      </c>
      <c r="E957">
        <v>6</v>
      </c>
      <c r="F957">
        <v>68</v>
      </c>
      <c r="G957" t="s">
        <v>15</v>
      </c>
      <c r="H957" t="s">
        <v>11</v>
      </c>
      <c r="I957" s="1" t="s">
        <v>16</v>
      </c>
      <c r="J957">
        <v>0.21279999999999999</v>
      </c>
    </row>
    <row r="958" spans="1:12" hidden="1" x14ac:dyDescent="0.35">
      <c r="A958" t="str">
        <f t="shared" si="14"/>
        <v>Umburatiba20172.1</v>
      </c>
      <c r="B958">
        <v>3170305</v>
      </c>
      <c r="C958" t="s">
        <v>62</v>
      </c>
      <c r="D958">
        <v>2017</v>
      </c>
      <c r="E958">
        <v>6</v>
      </c>
      <c r="F958">
        <v>28</v>
      </c>
      <c r="G958" t="s">
        <v>17</v>
      </c>
      <c r="H958" t="s">
        <v>18</v>
      </c>
      <c r="I958" s="1" t="s">
        <v>19</v>
      </c>
    </row>
    <row r="959" spans="1:12" hidden="1" x14ac:dyDescent="0.35">
      <c r="A959" t="str">
        <f t="shared" si="14"/>
        <v>Umburatiba20172.2</v>
      </c>
      <c r="B959">
        <v>3170305</v>
      </c>
      <c r="C959" t="s">
        <v>62</v>
      </c>
      <c r="D959">
        <v>2017</v>
      </c>
      <c r="E959">
        <v>6</v>
      </c>
      <c r="F959">
        <v>29</v>
      </c>
      <c r="G959" t="s">
        <v>20</v>
      </c>
      <c r="H959" t="s">
        <v>18</v>
      </c>
      <c r="I959" s="1" t="s">
        <v>21</v>
      </c>
      <c r="J959">
        <v>0.87250000000000005</v>
      </c>
    </row>
    <row r="960" spans="1:12" hidden="1" x14ac:dyDescent="0.35">
      <c r="A960" t="str">
        <f t="shared" si="14"/>
        <v>Umburatiba20172.4</v>
      </c>
      <c r="B960">
        <v>3170305</v>
      </c>
      <c r="C960" t="s">
        <v>62</v>
      </c>
      <c r="D960">
        <v>2017</v>
      </c>
      <c r="E960">
        <v>6</v>
      </c>
      <c r="F960">
        <v>31</v>
      </c>
      <c r="G960" t="s">
        <v>22</v>
      </c>
      <c r="H960" t="s">
        <v>18</v>
      </c>
      <c r="I960" s="1" t="s">
        <v>23</v>
      </c>
    </row>
    <row r="961" spans="1:10" hidden="1" x14ac:dyDescent="0.35">
      <c r="A961" t="str">
        <f t="shared" si="14"/>
        <v>Umburatiba20172.5</v>
      </c>
      <c r="B961">
        <v>3170305</v>
      </c>
      <c r="C961" t="s">
        <v>62</v>
      </c>
      <c r="D961">
        <v>2017</v>
      </c>
      <c r="E961">
        <v>6</v>
      </c>
      <c r="F961">
        <v>32</v>
      </c>
      <c r="G961" t="s">
        <v>24</v>
      </c>
      <c r="H961" t="s">
        <v>18</v>
      </c>
      <c r="I961" s="1" t="s">
        <v>25</v>
      </c>
    </row>
    <row r="962" spans="1:10" hidden="1" x14ac:dyDescent="0.35">
      <c r="A962" t="str">
        <f t="shared" si="14"/>
        <v>Umburatiba20172.8</v>
      </c>
      <c r="B962">
        <v>3170305</v>
      </c>
      <c r="C962" t="s">
        <v>62</v>
      </c>
      <c r="D962">
        <v>2017</v>
      </c>
      <c r="E962">
        <v>6</v>
      </c>
      <c r="F962">
        <v>35</v>
      </c>
      <c r="G962" t="s">
        <v>26</v>
      </c>
      <c r="H962" t="s">
        <v>18</v>
      </c>
      <c r="I962" s="1" t="s">
        <v>27</v>
      </c>
      <c r="J962">
        <v>0.25480000000000003</v>
      </c>
    </row>
    <row r="963" spans="1:10" hidden="1" x14ac:dyDescent="0.35">
      <c r="A963" t="str">
        <f t="shared" si="14"/>
        <v>Umburatiba20174.1</v>
      </c>
      <c r="B963">
        <v>3170305</v>
      </c>
      <c r="C963" t="s">
        <v>62</v>
      </c>
      <c r="D963">
        <v>2017</v>
      </c>
      <c r="E963">
        <v>6</v>
      </c>
      <c r="F963">
        <v>44</v>
      </c>
      <c r="G963" t="s">
        <v>28</v>
      </c>
      <c r="H963" t="s">
        <v>29</v>
      </c>
      <c r="I963" s="1" t="s">
        <v>30</v>
      </c>
    </row>
    <row r="964" spans="1:10" hidden="1" x14ac:dyDescent="0.35">
      <c r="A964" t="str">
        <f t="shared" ref="A964:A1027" si="15">C964&amp;D964&amp;G964</f>
        <v>Umburatiba20174.10</v>
      </c>
      <c r="B964">
        <v>3170305</v>
      </c>
      <c r="C964" t="s">
        <v>62</v>
      </c>
      <c r="D964">
        <v>2017</v>
      </c>
      <c r="E964">
        <v>6</v>
      </c>
      <c r="F964">
        <v>58</v>
      </c>
      <c r="G964" t="s">
        <v>31</v>
      </c>
      <c r="H964" t="s">
        <v>29</v>
      </c>
      <c r="I964" s="1" t="s">
        <v>32</v>
      </c>
      <c r="J964">
        <v>2892.15</v>
      </c>
    </row>
    <row r="965" spans="1:10" hidden="1" x14ac:dyDescent="0.35">
      <c r="A965" t="str">
        <f t="shared" si="15"/>
        <v>Umburatiba20174.11</v>
      </c>
      <c r="B965">
        <v>3170305</v>
      </c>
      <c r="C965" t="s">
        <v>62</v>
      </c>
      <c r="D965">
        <v>2017</v>
      </c>
      <c r="E965">
        <v>6</v>
      </c>
      <c r="F965">
        <v>59</v>
      </c>
      <c r="G965" t="s">
        <v>33</v>
      </c>
      <c r="H965" t="s">
        <v>29</v>
      </c>
      <c r="I965" s="1" t="s">
        <v>34</v>
      </c>
      <c r="J965">
        <v>938.48</v>
      </c>
    </row>
    <row r="966" spans="1:10" x14ac:dyDescent="0.35">
      <c r="A966" t="str">
        <f t="shared" si="15"/>
        <v>Umburatiba20174.2</v>
      </c>
      <c r="B966" s="4">
        <v>3170305</v>
      </c>
      <c r="C966" t="s">
        <v>62</v>
      </c>
      <c r="D966">
        <v>2017</v>
      </c>
      <c r="E966">
        <v>6</v>
      </c>
      <c r="F966">
        <v>45</v>
      </c>
      <c r="G966" t="s">
        <v>35</v>
      </c>
      <c r="H966" t="s">
        <v>29</v>
      </c>
      <c r="I966" s="1" t="s">
        <v>36</v>
      </c>
      <c r="J966" s="5">
        <v>7665.06</v>
      </c>
    </row>
    <row r="967" spans="1:10" hidden="1" x14ac:dyDescent="0.35">
      <c r="A967" t="str">
        <f t="shared" si="15"/>
        <v>Umburatiba20174.8</v>
      </c>
      <c r="B967">
        <v>3170305</v>
      </c>
      <c r="C967" t="s">
        <v>62</v>
      </c>
      <c r="D967">
        <v>2017</v>
      </c>
      <c r="E967">
        <v>6</v>
      </c>
      <c r="F967">
        <v>56</v>
      </c>
      <c r="G967" t="s">
        <v>37</v>
      </c>
      <c r="H967" t="s">
        <v>29</v>
      </c>
      <c r="I967" s="1" t="s">
        <v>38</v>
      </c>
      <c r="J967">
        <v>6584.3</v>
      </c>
    </row>
    <row r="968" spans="1:10" hidden="1" x14ac:dyDescent="0.35">
      <c r="A968" t="str">
        <f t="shared" si="15"/>
        <v>Umburatiba20174.9</v>
      </c>
      <c r="B968">
        <v>3170305</v>
      </c>
      <c r="C968" t="s">
        <v>62</v>
      </c>
      <c r="D968">
        <v>2017</v>
      </c>
      <c r="E968">
        <v>6</v>
      </c>
      <c r="F968">
        <v>57</v>
      </c>
      <c r="G968" t="s">
        <v>39</v>
      </c>
      <c r="H968" t="s">
        <v>29</v>
      </c>
      <c r="I968" s="1" t="s">
        <v>40</v>
      </c>
      <c r="J968">
        <v>6584.3</v>
      </c>
    </row>
    <row r="969" spans="1:10" hidden="1" x14ac:dyDescent="0.35">
      <c r="A969" t="str">
        <f t="shared" si="15"/>
        <v>Águas Formosas20181.1</v>
      </c>
      <c r="B969">
        <v>3100906</v>
      </c>
      <c r="C969" t="s">
        <v>9</v>
      </c>
      <c r="D969">
        <v>2018</v>
      </c>
      <c r="E969">
        <v>6</v>
      </c>
      <c r="F969">
        <v>24</v>
      </c>
      <c r="G969" t="s">
        <v>10</v>
      </c>
      <c r="H969" t="s">
        <v>11</v>
      </c>
      <c r="I969" s="1" t="s">
        <v>12</v>
      </c>
      <c r="J969">
        <v>0.29649999999999999</v>
      </c>
    </row>
    <row r="970" spans="1:10" hidden="1" x14ac:dyDescent="0.35">
      <c r="A970" t="str">
        <f t="shared" si="15"/>
        <v>Águas Formosas20181.2</v>
      </c>
      <c r="B970">
        <v>3100906</v>
      </c>
      <c r="C970" t="s">
        <v>9</v>
      </c>
      <c r="D970">
        <v>2018</v>
      </c>
      <c r="E970">
        <v>6</v>
      </c>
      <c r="F970">
        <v>67</v>
      </c>
      <c r="G970" t="s">
        <v>13</v>
      </c>
      <c r="H970" t="s">
        <v>11</v>
      </c>
      <c r="I970" s="1" t="s">
        <v>14</v>
      </c>
      <c r="J970">
        <v>0.74460000000000004</v>
      </c>
    </row>
    <row r="971" spans="1:10" hidden="1" x14ac:dyDescent="0.35">
      <c r="A971" t="str">
        <f t="shared" si="15"/>
        <v>Águas Formosas20181.3</v>
      </c>
      <c r="B971">
        <v>3100906</v>
      </c>
      <c r="C971" t="s">
        <v>9</v>
      </c>
      <c r="D971">
        <v>2018</v>
      </c>
      <c r="E971">
        <v>6</v>
      </c>
      <c r="F971">
        <v>68</v>
      </c>
      <c r="G971" t="s">
        <v>15</v>
      </c>
      <c r="H971" t="s">
        <v>11</v>
      </c>
      <c r="I971" s="1" t="s">
        <v>16</v>
      </c>
      <c r="J971">
        <v>0.25540000000000002</v>
      </c>
    </row>
    <row r="972" spans="1:10" hidden="1" x14ac:dyDescent="0.35">
      <c r="A972" t="str">
        <f t="shared" si="15"/>
        <v>Águas Formosas20182.1</v>
      </c>
      <c r="B972">
        <v>3100906</v>
      </c>
      <c r="C972" t="s">
        <v>9</v>
      </c>
      <c r="D972">
        <v>2018</v>
      </c>
      <c r="E972">
        <v>6</v>
      </c>
      <c r="F972">
        <v>28</v>
      </c>
      <c r="G972" t="s">
        <v>17</v>
      </c>
      <c r="H972" t="s">
        <v>18</v>
      </c>
      <c r="I972" s="1" t="s">
        <v>19</v>
      </c>
    </row>
    <row r="973" spans="1:10" hidden="1" x14ac:dyDescent="0.35">
      <c r="A973" t="str">
        <f t="shared" si="15"/>
        <v>Águas Formosas20182.2</v>
      </c>
      <c r="B973">
        <v>3100906</v>
      </c>
      <c r="C973" t="s">
        <v>9</v>
      </c>
      <c r="D973">
        <v>2018</v>
      </c>
      <c r="E973">
        <v>6</v>
      </c>
      <c r="F973">
        <v>29</v>
      </c>
      <c r="G973" t="s">
        <v>20</v>
      </c>
      <c r="H973" t="s">
        <v>18</v>
      </c>
      <c r="I973" s="1" t="s">
        <v>21</v>
      </c>
      <c r="J973">
        <v>0.47199999999999998</v>
      </c>
    </row>
    <row r="974" spans="1:10" hidden="1" x14ac:dyDescent="0.35">
      <c r="A974" t="str">
        <f t="shared" si="15"/>
        <v>Águas Formosas20182.4</v>
      </c>
      <c r="B974">
        <v>3100906</v>
      </c>
      <c r="C974" t="s">
        <v>9</v>
      </c>
      <c r="D974">
        <v>2018</v>
      </c>
      <c r="E974">
        <v>6</v>
      </c>
      <c r="F974">
        <v>31</v>
      </c>
      <c r="G974" t="s">
        <v>22</v>
      </c>
      <c r="H974" t="s">
        <v>18</v>
      </c>
      <c r="I974" s="1" t="s">
        <v>23</v>
      </c>
      <c r="J974">
        <v>0.36749999999999999</v>
      </c>
    </row>
    <row r="975" spans="1:10" hidden="1" x14ac:dyDescent="0.35">
      <c r="A975" t="str">
        <f t="shared" si="15"/>
        <v>Águas Formosas20182.5</v>
      </c>
      <c r="B975">
        <v>3100906</v>
      </c>
      <c r="C975" t="s">
        <v>9</v>
      </c>
      <c r="D975">
        <v>2018</v>
      </c>
      <c r="E975">
        <v>6</v>
      </c>
      <c r="F975">
        <v>32</v>
      </c>
      <c r="G975" t="s">
        <v>24</v>
      </c>
      <c r="H975" t="s">
        <v>18</v>
      </c>
      <c r="I975" s="1" t="s">
        <v>25</v>
      </c>
      <c r="J975">
        <v>0.38879999999999998</v>
      </c>
    </row>
    <row r="976" spans="1:10" hidden="1" x14ac:dyDescent="0.35">
      <c r="A976" t="str">
        <f t="shared" si="15"/>
        <v>Águas Formosas20182.8</v>
      </c>
      <c r="B976">
        <v>3100906</v>
      </c>
      <c r="C976" t="s">
        <v>9</v>
      </c>
      <c r="D976">
        <v>2018</v>
      </c>
      <c r="E976">
        <v>6</v>
      </c>
      <c r="F976">
        <v>35</v>
      </c>
      <c r="G976" t="s">
        <v>26</v>
      </c>
      <c r="H976" t="s">
        <v>18</v>
      </c>
      <c r="I976" s="1" t="s">
        <v>27</v>
      </c>
      <c r="J976">
        <v>0.20549999999999999</v>
      </c>
    </row>
    <row r="977" spans="1:10" hidden="1" x14ac:dyDescent="0.35">
      <c r="A977" t="str">
        <f t="shared" si="15"/>
        <v>Águas Formosas20184.1</v>
      </c>
      <c r="B977">
        <v>3100906</v>
      </c>
      <c r="C977" t="s">
        <v>9</v>
      </c>
      <c r="D977">
        <v>2018</v>
      </c>
      <c r="E977">
        <v>6</v>
      </c>
      <c r="F977">
        <v>44</v>
      </c>
      <c r="G977" t="s">
        <v>28</v>
      </c>
      <c r="H977" t="s">
        <v>29</v>
      </c>
      <c r="I977" s="1" t="s">
        <v>30</v>
      </c>
      <c r="J977">
        <v>3948.21</v>
      </c>
    </row>
    <row r="978" spans="1:10" hidden="1" x14ac:dyDescent="0.35">
      <c r="A978" t="str">
        <f t="shared" si="15"/>
        <v>Águas Formosas20184.10</v>
      </c>
      <c r="B978">
        <v>3100906</v>
      </c>
      <c r="C978" t="s">
        <v>9</v>
      </c>
      <c r="D978">
        <v>2018</v>
      </c>
      <c r="E978">
        <v>6</v>
      </c>
      <c r="F978">
        <v>58</v>
      </c>
      <c r="G978" t="s">
        <v>31</v>
      </c>
      <c r="H978" t="s">
        <v>29</v>
      </c>
      <c r="I978" s="1" t="s">
        <v>32</v>
      </c>
      <c r="J978">
        <v>3129.79</v>
      </c>
    </row>
    <row r="979" spans="1:10" hidden="1" x14ac:dyDescent="0.35">
      <c r="A979" t="str">
        <f t="shared" si="15"/>
        <v>Águas Formosas20184.11</v>
      </c>
      <c r="B979">
        <v>3100906</v>
      </c>
      <c r="C979" t="s">
        <v>9</v>
      </c>
      <c r="D979">
        <v>2018</v>
      </c>
      <c r="E979">
        <v>6</v>
      </c>
      <c r="F979">
        <v>59</v>
      </c>
      <c r="G979" t="s">
        <v>33</v>
      </c>
      <c r="H979" t="s">
        <v>29</v>
      </c>
      <c r="I979" s="1" t="s">
        <v>34</v>
      </c>
      <c r="J979">
        <v>1129.43</v>
      </c>
    </row>
    <row r="980" spans="1:10" hidden="1" x14ac:dyDescent="0.35">
      <c r="A980" t="str">
        <f t="shared" si="15"/>
        <v>Águas Formosas20184.2</v>
      </c>
      <c r="B980">
        <v>3100906</v>
      </c>
      <c r="C980" t="s">
        <v>9</v>
      </c>
      <c r="D980">
        <v>2018</v>
      </c>
      <c r="E980">
        <v>6</v>
      </c>
      <c r="F980">
        <v>45</v>
      </c>
      <c r="G980" t="s">
        <v>35</v>
      </c>
      <c r="H980" t="s">
        <v>29</v>
      </c>
      <c r="I980" s="1" t="s">
        <v>36</v>
      </c>
      <c r="J980">
        <v>5867.06</v>
      </c>
    </row>
    <row r="981" spans="1:10" hidden="1" x14ac:dyDescent="0.35">
      <c r="A981" t="str">
        <f t="shared" si="15"/>
        <v>Águas Formosas20184.8</v>
      </c>
      <c r="B981">
        <v>3100906</v>
      </c>
      <c r="C981" t="s">
        <v>9</v>
      </c>
      <c r="D981">
        <v>2018</v>
      </c>
      <c r="E981">
        <v>6</v>
      </c>
      <c r="F981">
        <v>56</v>
      </c>
      <c r="G981" t="s">
        <v>37</v>
      </c>
      <c r="H981" t="s">
        <v>29</v>
      </c>
      <c r="I981" s="1" t="s">
        <v>38</v>
      </c>
      <c r="J981">
        <v>4616.41</v>
      </c>
    </row>
    <row r="982" spans="1:10" hidden="1" x14ac:dyDescent="0.35">
      <c r="A982" t="str">
        <f t="shared" si="15"/>
        <v>Águas Formosas20184.9</v>
      </c>
      <c r="B982">
        <v>3100906</v>
      </c>
      <c r="C982" t="s">
        <v>9</v>
      </c>
      <c r="D982">
        <v>2018</v>
      </c>
      <c r="E982">
        <v>6</v>
      </c>
      <c r="F982">
        <v>57</v>
      </c>
      <c r="G982" t="s">
        <v>39</v>
      </c>
      <c r="H982" t="s">
        <v>29</v>
      </c>
      <c r="I982" s="1" t="s">
        <v>40</v>
      </c>
      <c r="J982">
        <v>4616.41</v>
      </c>
    </row>
    <row r="983" spans="1:10" hidden="1" x14ac:dyDescent="0.35">
      <c r="A983" t="str">
        <f t="shared" si="15"/>
        <v>Ataléia20181.1</v>
      </c>
      <c r="B983">
        <v>3104700</v>
      </c>
      <c r="C983" t="s">
        <v>41</v>
      </c>
      <c r="D983">
        <v>2018</v>
      </c>
      <c r="E983">
        <v>6</v>
      </c>
      <c r="F983">
        <v>24</v>
      </c>
      <c r="G983" t="s">
        <v>10</v>
      </c>
      <c r="H983" t="s">
        <v>11</v>
      </c>
      <c r="I983" s="1" t="s">
        <v>12</v>
      </c>
      <c r="J983">
        <v>0.34510000000000002</v>
      </c>
    </row>
    <row r="984" spans="1:10" hidden="1" x14ac:dyDescent="0.35">
      <c r="A984" t="str">
        <f t="shared" si="15"/>
        <v>Ataléia20181.2</v>
      </c>
      <c r="B984">
        <v>3104700</v>
      </c>
      <c r="C984" t="s">
        <v>41</v>
      </c>
      <c r="D984">
        <v>2018</v>
      </c>
      <c r="E984">
        <v>6</v>
      </c>
      <c r="F984">
        <v>67</v>
      </c>
      <c r="G984" t="s">
        <v>13</v>
      </c>
      <c r="H984" t="s">
        <v>11</v>
      </c>
      <c r="I984" s="1" t="s">
        <v>14</v>
      </c>
      <c r="J984">
        <v>0.76749999999999996</v>
      </c>
    </row>
    <row r="985" spans="1:10" hidden="1" x14ac:dyDescent="0.35">
      <c r="A985" t="str">
        <f t="shared" si="15"/>
        <v>Ataléia20181.3</v>
      </c>
      <c r="B985">
        <v>3104700</v>
      </c>
      <c r="C985" t="s">
        <v>41</v>
      </c>
      <c r="D985">
        <v>2018</v>
      </c>
      <c r="E985">
        <v>6</v>
      </c>
      <c r="F985">
        <v>68</v>
      </c>
      <c r="G985" t="s">
        <v>15</v>
      </c>
      <c r="H985" t="s">
        <v>11</v>
      </c>
      <c r="I985" s="1" t="s">
        <v>16</v>
      </c>
    </row>
    <row r="986" spans="1:10" hidden="1" x14ac:dyDescent="0.35">
      <c r="A986" t="str">
        <f t="shared" si="15"/>
        <v>Ataléia20182.1</v>
      </c>
      <c r="B986">
        <v>3104700</v>
      </c>
      <c r="C986" t="s">
        <v>41</v>
      </c>
      <c r="D986">
        <v>2018</v>
      </c>
      <c r="E986">
        <v>6</v>
      </c>
      <c r="F986">
        <v>28</v>
      </c>
      <c r="G986" t="s">
        <v>17</v>
      </c>
      <c r="H986" t="s">
        <v>18</v>
      </c>
      <c r="I986" s="1" t="s">
        <v>19</v>
      </c>
    </row>
    <row r="987" spans="1:10" hidden="1" x14ac:dyDescent="0.35">
      <c r="A987" t="str">
        <f t="shared" si="15"/>
        <v>Ataléia20182.2</v>
      </c>
      <c r="B987">
        <v>3104700</v>
      </c>
      <c r="C987" t="s">
        <v>41</v>
      </c>
      <c r="D987">
        <v>2018</v>
      </c>
      <c r="E987">
        <v>6</v>
      </c>
      <c r="F987">
        <v>29</v>
      </c>
      <c r="G987" t="s">
        <v>20</v>
      </c>
      <c r="H987" t="s">
        <v>18</v>
      </c>
      <c r="I987" s="1" t="s">
        <v>21</v>
      </c>
      <c r="J987">
        <v>1.3816999999999999</v>
      </c>
    </row>
    <row r="988" spans="1:10" hidden="1" x14ac:dyDescent="0.35">
      <c r="A988" t="str">
        <f t="shared" si="15"/>
        <v>Ataléia20182.4</v>
      </c>
      <c r="B988">
        <v>3104700</v>
      </c>
      <c r="C988" t="s">
        <v>41</v>
      </c>
      <c r="D988">
        <v>2018</v>
      </c>
      <c r="E988">
        <v>6</v>
      </c>
      <c r="F988">
        <v>31</v>
      </c>
      <c r="G988" t="s">
        <v>22</v>
      </c>
      <c r="H988" t="s">
        <v>18</v>
      </c>
      <c r="I988" s="1" t="s">
        <v>23</v>
      </c>
      <c r="J988">
        <v>0.14050000000000001</v>
      </c>
    </row>
    <row r="989" spans="1:10" hidden="1" x14ac:dyDescent="0.35">
      <c r="A989" t="str">
        <f t="shared" si="15"/>
        <v>Ataléia20182.5</v>
      </c>
      <c r="B989">
        <v>3104700</v>
      </c>
      <c r="C989" t="s">
        <v>41</v>
      </c>
      <c r="D989">
        <v>2018</v>
      </c>
      <c r="E989">
        <v>6</v>
      </c>
      <c r="F989">
        <v>32</v>
      </c>
      <c r="G989" t="s">
        <v>24</v>
      </c>
      <c r="H989" t="s">
        <v>18</v>
      </c>
      <c r="I989" s="1" t="s">
        <v>25</v>
      </c>
      <c r="J989">
        <v>0.75409999999999999</v>
      </c>
    </row>
    <row r="990" spans="1:10" hidden="1" x14ac:dyDescent="0.35">
      <c r="A990" t="str">
        <f t="shared" si="15"/>
        <v>Ataléia20182.8</v>
      </c>
      <c r="B990">
        <v>3104700</v>
      </c>
      <c r="C990" t="s">
        <v>41</v>
      </c>
      <c r="D990">
        <v>2018</v>
      </c>
      <c r="E990">
        <v>6</v>
      </c>
      <c r="F990">
        <v>35</v>
      </c>
      <c r="G990" t="s">
        <v>26</v>
      </c>
      <c r="H990" t="s">
        <v>18</v>
      </c>
      <c r="I990" s="1" t="s">
        <v>27</v>
      </c>
      <c r="J990">
        <v>0.36570000000000003</v>
      </c>
    </row>
    <row r="991" spans="1:10" hidden="1" x14ac:dyDescent="0.35">
      <c r="A991" t="str">
        <f t="shared" si="15"/>
        <v>Ataléia20184.1</v>
      </c>
      <c r="B991">
        <v>3104700</v>
      </c>
      <c r="C991" t="s">
        <v>41</v>
      </c>
      <c r="D991">
        <v>2018</v>
      </c>
      <c r="E991">
        <v>6</v>
      </c>
      <c r="F991">
        <v>44</v>
      </c>
      <c r="G991" t="s">
        <v>28</v>
      </c>
      <c r="H991" t="s">
        <v>29</v>
      </c>
      <c r="I991" s="1" t="s">
        <v>30</v>
      </c>
      <c r="J991">
        <v>3823.44</v>
      </c>
    </row>
    <row r="992" spans="1:10" hidden="1" x14ac:dyDescent="0.35">
      <c r="A992" t="str">
        <f t="shared" si="15"/>
        <v>Ataléia20184.10</v>
      </c>
      <c r="B992">
        <v>3104700</v>
      </c>
      <c r="C992" t="s">
        <v>41</v>
      </c>
      <c r="D992">
        <v>2018</v>
      </c>
      <c r="E992">
        <v>6</v>
      </c>
      <c r="F992">
        <v>58</v>
      </c>
      <c r="G992" t="s">
        <v>31</v>
      </c>
      <c r="H992" t="s">
        <v>29</v>
      </c>
      <c r="I992" s="1" t="s">
        <v>32</v>
      </c>
      <c r="J992">
        <v>8765.9</v>
      </c>
    </row>
    <row r="993" spans="1:10" hidden="1" x14ac:dyDescent="0.35">
      <c r="A993" t="str">
        <f t="shared" si="15"/>
        <v>Ataléia20184.11</v>
      </c>
      <c r="B993">
        <v>3104700</v>
      </c>
      <c r="C993" t="s">
        <v>41</v>
      </c>
      <c r="D993">
        <v>2018</v>
      </c>
      <c r="E993">
        <v>6</v>
      </c>
      <c r="F993">
        <v>59</v>
      </c>
      <c r="G993" t="s">
        <v>33</v>
      </c>
      <c r="H993" t="s">
        <v>29</v>
      </c>
      <c r="I993" s="1" t="s">
        <v>34</v>
      </c>
      <c r="J993">
        <v>149.79</v>
      </c>
    </row>
    <row r="994" spans="1:10" hidden="1" x14ac:dyDescent="0.35">
      <c r="A994" t="str">
        <f t="shared" si="15"/>
        <v>Ataléia20184.2</v>
      </c>
      <c r="B994">
        <v>3104700</v>
      </c>
      <c r="C994" t="s">
        <v>41</v>
      </c>
      <c r="D994">
        <v>2018</v>
      </c>
      <c r="E994">
        <v>6</v>
      </c>
      <c r="F994">
        <v>45</v>
      </c>
      <c r="G994" t="s">
        <v>35</v>
      </c>
      <c r="H994" t="s">
        <v>29</v>
      </c>
      <c r="I994" s="1" t="s">
        <v>36</v>
      </c>
      <c r="J994">
        <v>12567.65</v>
      </c>
    </row>
    <row r="995" spans="1:10" hidden="1" x14ac:dyDescent="0.35">
      <c r="A995" t="str">
        <f t="shared" si="15"/>
        <v>Ataléia20184.8</v>
      </c>
      <c r="B995">
        <v>3104700</v>
      </c>
      <c r="C995" t="s">
        <v>41</v>
      </c>
      <c r="D995">
        <v>2018</v>
      </c>
      <c r="E995">
        <v>6</v>
      </c>
      <c r="F995">
        <v>56</v>
      </c>
      <c r="G995" t="s">
        <v>37</v>
      </c>
      <c r="H995" t="s">
        <v>29</v>
      </c>
      <c r="I995" s="1" t="s">
        <v>38</v>
      </c>
      <c r="J995">
        <v>8915.69</v>
      </c>
    </row>
    <row r="996" spans="1:10" hidden="1" x14ac:dyDescent="0.35">
      <c r="A996" t="str">
        <f t="shared" si="15"/>
        <v>Ataléia20184.9</v>
      </c>
      <c r="B996">
        <v>3104700</v>
      </c>
      <c r="C996" t="s">
        <v>41</v>
      </c>
      <c r="D996">
        <v>2018</v>
      </c>
      <c r="E996">
        <v>6</v>
      </c>
      <c r="F996">
        <v>57</v>
      </c>
      <c r="G996" t="s">
        <v>39</v>
      </c>
      <c r="H996" t="s">
        <v>29</v>
      </c>
      <c r="I996" s="1" t="s">
        <v>40</v>
      </c>
      <c r="J996">
        <v>8915.69</v>
      </c>
    </row>
    <row r="997" spans="1:10" hidden="1" x14ac:dyDescent="0.35">
      <c r="A997" t="str">
        <f t="shared" si="15"/>
        <v>Bertópolis20181.1</v>
      </c>
      <c r="B997">
        <v>3106606</v>
      </c>
      <c r="C997" t="s">
        <v>42</v>
      </c>
      <c r="D997">
        <v>2018</v>
      </c>
      <c r="E997">
        <v>6</v>
      </c>
      <c r="F997">
        <v>24</v>
      </c>
      <c r="G997" t="s">
        <v>10</v>
      </c>
      <c r="H997" t="s">
        <v>11</v>
      </c>
      <c r="I997" s="1" t="s">
        <v>12</v>
      </c>
      <c r="J997">
        <v>0.28589999999999999</v>
      </c>
    </row>
    <row r="998" spans="1:10" hidden="1" x14ac:dyDescent="0.35">
      <c r="A998" t="str">
        <f t="shared" si="15"/>
        <v>Bertópolis20181.2</v>
      </c>
      <c r="B998">
        <v>3106606</v>
      </c>
      <c r="C998" t="s">
        <v>42</v>
      </c>
      <c r="D998">
        <v>2018</v>
      </c>
      <c r="E998">
        <v>6</v>
      </c>
      <c r="F998">
        <v>67</v>
      </c>
      <c r="G998" t="s">
        <v>13</v>
      </c>
      <c r="H998" t="s">
        <v>11</v>
      </c>
      <c r="I998" s="1" t="s">
        <v>14</v>
      </c>
      <c r="J998">
        <v>0.61339999999999995</v>
      </c>
    </row>
    <row r="999" spans="1:10" hidden="1" x14ac:dyDescent="0.35">
      <c r="A999" t="str">
        <f t="shared" si="15"/>
        <v>Bertópolis20181.3</v>
      </c>
      <c r="B999">
        <v>3106606</v>
      </c>
      <c r="C999" t="s">
        <v>42</v>
      </c>
      <c r="D999">
        <v>2018</v>
      </c>
      <c r="E999">
        <v>6</v>
      </c>
      <c r="F999">
        <v>68</v>
      </c>
      <c r="G999" t="s">
        <v>15</v>
      </c>
      <c r="H999" t="s">
        <v>11</v>
      </c>
      <c r="I999" s="1" t="s">
        <v>16</v>
      </c>
      <c r="J999">
        <v>0.38600000000000001</v>
      </c>
    </row>
    <row r="1000" spans="1:10" hidden="1" x14ac:dyDescent="0.35">
      <c r="A1000" t="str">
        <f t="shared" si="15"/>
        <v>Bertópolis20182.1</v>
      </c>
      <c r="B1000">
        <v>3106606</v>
      </c>
      <c r="C1000" t="s">
        <v>42</v>
      </c>
      <c r="D1000">
        <v>2018</v>
      </c>
      <c r="E1000">
        <v>6</v>
      </c>
      <c r="F1000">
        <v>28</v>
      </c>
      <c r="G1000" t="s">
        <v>17</v>
      </c>
      <c r="H1000" t="s">
        <v>18</v>
      </c>
      <c r="I1000" s="1" t="s">
        <v>19</v>
      </c>
    </row>
    <row r="1001" spans="1:10" hidden="1" x14ac:dyDescent="0.35">
      <c r="A1001" t="str">
        <f t="shared" si="15"/>
        <v>Bertópolis20182.2</v>
      </c>
      <c r="B1001">
        <v>3106606</v>
      </c>
      <c r="C1001" t="s">
        <v>42</v>
      </c>
      <c r="D1001">
        <v>2018</v>
      </c>
      <c r="E1001">
        <v>6</v>
      </c>
      <c r="F1001">
        <v>29</v>
      </c>
      <c r="G1001" t="s">
        <v>20</v>
      </c>
      <c r="H1001" t="s">
        <v>18</v>
      </c>
      <c r="I1001" s="1" t="s">
        <v>21</v>
      </c>
      <c r="J1001">
        <v>0.59279999999999999</v>
      </c>
    </row>
    <row r="1002" spans="1:10" hidden="1" x14ac:dyDescent="0.35">
      <c r="A1002" t="str">
        <f t="shared" si="15"/>
        <v>Bertópolis20182.4</v>
      </c>
      <c r="B1002">
        <v>3106606</v>
      </c>
      <c r="C1002" t="s">
        <v>42</v>
      </c>
      <c r="D1002">
        <v>2018</v>
      </c>
      <c r="E1002">
        <v>6</v>
      </c>
      <c r="F1002">
        <v>31</v>
      </c>
      <c r="G1002" t="s">
        <v>22</v>
      </c>
      <c r="H1002" t="s">
        <v>18</v>
      </c>
      <c r="I1002" s="1" t="s">
        <v>23</v>
      </c>
      <c r="J1002">
        <v>0.1603</v>
      </c>
    </row>
    <row r="1003" spans="1:10" hidden="1" x14ac:dyDescent="0.35">
      <c r="A1003" t="str">
        <f t="shared" si="15"/>
        <v>Bertópolis20182.5</v>
      </c>
      <c r="B1003">
        <v>3106606</v>
      </c>
      <c r="C1003" t="s">
        <v>42</v>
      </c>
      <c r="D1003">
        <v>2018</v>
      </c>
      <c r="E1003">
        <v>6</v>
      </c>
      <c r="F1003">
        <v>32</v>
      </c>
      <c r="G1003" t="s">
        <v>24</v>
      </c>
      <c r="H1003" t="s">
        <v>18</v>
      </c>
      <c r="I1003" s="1" t="s">
        <v>25</v>
      </c>
      <c r="J1003">
        <v>0.77259999999999995</v>
      </c>
    </row>
    <row r="1004" spans="1:10" hidden="1" x14ac:dyDescent="0.35">
      <c r="A1004" t="str">
        <f t="shared" si="15"/>
        <v>Bertópolis20182.8</v>
      </c>
      <c r="B1004">
        <v>3106606</v>
      </c>
      <c r="C1004" t="s">
        <v>42</v>
      </c>
      <c r="D1004">
        <v>2018</v>
      </c>
      <c r="E1004">
        <v>6</v>
      </c>
      <c r="F1004">
        <v>35</v>
      </c>
      <c r="G1004" t="s">
        <v>26</v>
      </c>
      <c r="H1004" t="s">
        <v>18</v>
      </c>
      <c r="I1004" s="1" t="s">
        <v>27</v>
      </c>
      <c r="J1004">
        <v>0.373</v>
      </c>
    </row>
    <row r="1005" spans="1:10" hidden="1" x14ac:dyDescent="0.35">
      <c r="A1005" t="str">
        <f t="shared" si="15"/>
        <v>Bertópolis20184.1</v>
      </c>
      <c r="B1005">
        <v>3106606</v>
      </c>
      <c r="C1005" t="s">
        <v>42</v>
      </c>
      <c r="D1005">
        <v>2018</v>
      </c>
      <c r="E1005">
        <v>6</v>
      </c>
      <c r="F1005">
        <v>44</v>
      </c>
      <c r="G1005" t="s">
        <v>28</v>
      </c>
      <c r="H1005" t="s">
        <v>29</v>
      </c>
      <c r="I1005" s="1" t="s">
        <v>30</v>
      </c>
      <c r="J1005">
        <v>2290.04</v>
      </c>
    </row>
    <row r="1006" spans="1:10" hidden="1" x14ac:dyDescent="0.35">
      <c r="A1006" t="str">
        <f t="shared" si="15"/>
        <v>Bertópolis20184.10</v>
      </c>
      <c r="B1006">
        <v>3106606</v>
      </c>
      <c r="C1006" t="s">
        <v>42</v>
      </c>
      <c r="D1006">
        <v>2018</v>
      </c>
      <c r="E1006">
        <v>6</v>
      </c>
      <c r="F1006">
        <v>58</v>
      </c>
      <c r="G1006" t="s">
        <v>31</v>
      </c>
      <c r="H1006" t="s">
        <v>29</v>
      </c>
      <c r="I1006" s="1" t="s">
        <v>32</v>
      </c>
      <c r="J1006">
        <v>4689.38</v>
      </c>
    </row>
    <row r="1007" spans="1:10" hidden="1" x14ac:dyDescent="0.35">
      <c r="A1007" t="str">
        <f t="shared" si="15"/>
        <v>Bertópolis20184.11</v>
      </c>
      <c r="B1007">
        <v>3106606</v>
      </c>
      <c r="C1007" t="s">
        <v>42</v>
      </c>
      <c r="D1007">
        <v>2018</v>
      </c>
      <c r="E1007">
        <v>6</v>
      </c>
      <c r="F1007">
        <v>59</v>
      </c>
      <c r="G1007" t="s">
        <v>33</v>
      </c>
      <c r="H1007" t="s">
        <v>29</v>
      </c>
      <c r="I1007" s="1" t="s">
        <v>34</v>
      </c>
      <c r="J1007">
        <v>913.98</v>
      </c>
    </row>
    <row r="1008" spans="1:10" hidden="1" x14ac:dyDescent="0.35">
      <c r="A1008" t="str">
        <f t="shared" si="15"/>
        <v>Bertópolis20184.2</v>
      </c>
      <c r="B1008">
        <v>3106606</v>
      </c>
      <c r="C1008" t="s">
        <v>42</v>
      </c>
      <c r="D1008">
        <v>2018</v>
      </c>
      <c r="E1008">
        <v>6</v>
      </c>
      <c r="F1008">
        <v>45</v>
      </c>
      <c r="G1008" t="s">
        <v>35</v>
      </c>
      <c r="H1008" t="s">
        <v>29</v>
      </c>
      <c r="I1008" s="1" t="s">
        <v>36</v>
      </c>
      <c r="J1008">
        <v>8841.65</v>
      </c>
    </row>
    <row r="1009" spans="1:10" hidden="1" x14ac:dyDescent="0.35">
      <c r="A1009" t="str">
        <f t="shared" si="15"/>
        <v>Bertópolis20184.8</v>
      </c>
      <c r="B1009">
        <v>3106606</v>
      </c>
      <c r="C1009" t="s">
        <v>42</v>
      </c>
      <c r="D1009">
        <v>2018</v>
      </c>
      <c r="E1009">
        <v>6</v>
      </c>
      <c r="F1009">
        <v>56</v>
      </c>
      <c r="G1009" t="s">
        <v>37</v>
      </c>
      <c r="H1009" t="s">
        <v>29</v>
      </c>
      <c r="I1009" s="1" t="s">
        <v>38</v>
      </c>
      <c r="J1009">
        <v>5603.36</v>
      </c>
    </row>
    <row r="1010" spans="1:10" hidden="1" x14ac:dyDescent="0.35">
      <c r="A1010" t="str">
        <f t="shared" si="15"/>
        <v>Bertópolis20184.9</v>
      </c>
      <c r="B1010">
        <v>3106606</v>
      </c>
      <c r="C1010" t="s">
        <v>42</v>
      </c>
      <c r="D1010">
        <v>2018</v>
      </c>
      <c r="E1010">
        <v>6</v>
      </c>
      <c r="F1010">
        <v>57</v>
      </c>
      <c r="G1010" t="s">
        <v>39</v>
      </c>
      <c r="H1010" t="s">
        <v>29</v>
      </c>
      <c r="I1010" s="1" t="s">
        <v>40</v>
      </c>
      <c r="J1010">
        <v>5603.36</v>
      </c>
    </row>
    <row r="1011" spans="1:10" hidden="1" x14ac:dyDescent="0.35">
      <c r="A1011" t="str">
        <f t="shared" si="15"/>
        <v>Carlos Chagas20181.1</v>
      </c>
      <c r="B1011">
        <v>3113701</v>
      </c>
      <c r="C1011" t="s">
        <v>43</v>
      </c>
      <c r="D1011">
        <v>2018</v>
      </c>
      <c r="E1011">
        <v>6</v>
      </c>
      <c r="F1011">
        <v>24</v>
      </c>
      <c r="G1011" t="s">
        <v>10</v>
      </c>
      <c r="H1011" t="s">
        <v>11</v>
      </c>
      <c r="I1011" s="1" t="s">
        <v>12</v>
      </c>
      <c r="J1011">
        <v>0.33090000000000003</v>
      </c>
    </row>
    <row r="1012" spans="1:10" hidden="1" x14ac:dyDescent="0.35">
      <c r="A1012" t="str">
        <f t="shared" si="15"/>
        <v>Carlos Chagas20181.2</v>
      </c>
      <c r="B1012">
        <v>3113701</v>
      </c>
      <c r="C1012" t="s">
        <v>43</v>
      </c>
      <c r="D1012">
        <v>2018</v>
      </c>
      <c r="E1012">
        <v>6</v>
      </c>
      <c r="F1012">
        <v>67</v>
      </c>
      <c r="G1012" t="s">
        <v>13</v>
      </c>
      <c r="H1012" t="s">
        <v>11</v>
      </c>
      <c r="I1012" s="1" t="s">
        <v>14</v>
      </c>
      <c r="J1012">
        <v>0.75409999999999999</v>
      </c>
    </row>
    <row r="1013" spans="1:10" hidden="1" x14ac:dyDescent="0.35">
      <c r="A1013" t="str">
        <f t="shared" si="15"/>
        <v>Carlos Chagas20181.3</v>
      </c>
      <c r="B1013">
        <v>3113701</v>
      </c>
      <c r="C1013" t="s">
        <v>43</v>
      </c>
      <c r="D1013">
        <v>2018</v>
      </c>
      <c r="E1013">
        <v>6</v>
      </c>
      <c r="F1013">
        <v>68</v>
      </c>
      <c r="G1013" t="s">
        <v>15</v>
      </c>
      <c r="H1013" t="s">
        <v>11</v>
      </c>
      <c r="I1013" s="1" t="s">
        <v>16</v>
      </c>
      <c r="J1013">
        <v>0.23499999999999999</v>
      </c>
    </row>
    <row r="1014" spans="1:10" hidden="1" x14ac:dyDescent="0.35">
      <c r="A1014" t="str">
        <f t="shared" si="15"/>
        <v>Carlos Chagas20182.1</v>
      </c>
      <c r="B1014">
        <v>3113701</v>
      </c>
      <c r="C1014" t="s">
        <v>43</v>
      </c>
      <c r="D1014">
        <v>2018</v>
      </c>
      <c r="E1014">
        <v>6</v>
      </c>
      <c r="F1014">
        <v>28</v>
      </c>
      <c r="G1014" t="s">
        <v>17</v>
      </c>
      <c r="H1014" t="s">
        <v>18</v>
      </c>
      <c r="I1014" s="1" t="s">
        <v>19</v>
      </c>
    </row>
    <row r="1015" spans="1:10" hidden="1" x14ac:dyDescent="0.35">
      <c r="A1015" t="str">
        <f t="shared" si="15"/>
        <v>Carlos Chagas20182.2</v>
      </c>
      <c r="B1015">
        <v>3113701</v>
      </c>
      <c r="C1015" t="s">
        <v>43</v>
      </c>
      <c r="D1015">
        <v>2018</v>
      </c>
      <c r="E1015">
        <v>6</v>
      </c>
      <c r="F1015">
        <v>29</v>
      </c>
      <c r="G1015" t="s">
        <v>20</v>
      </c>
      <c r="H1015" t="s">
        <v>18</v>
      </c>
      <c r="I1015" s="1" t="s">
        <v>21</v>
      </c>
      <c r="J1015">
        <v>0.98909999999999998</v>
      </c>
    </row>
    <row r="1016" spans="1:10" hidden="1" x14ac:dyDescent="0.35">
      <c r="A1016" t="str">
        <f t="shared" si="15"/>
        <v>Carlos Chagas20182.4</v>
      </c>
      <c r="B1016">
        <v>3113701</v>
      </c>
      <c r="C1016" t="s">
        <v>43</v>
      </c>
      <c r="D1016">
        <v>2018</v>
      </c>
      <c r="E1016">
        <v>6</v>
      </c>
      <c r="F1016">
        <v>31</v>
      </c>
      <c r="G1016" t="s">
        <v>22</v>
      </c>
      <c r="H1016" t="s">
        <v>18</v>
      </c>
      <c r="I1016" s="1" t="s">
        <v>23</v>
      </c>
      <c r="J1016">
        <v>9.2999999999999999E-2</v>
      </c>
    </row>
    <row r="1017" spans="1:10" hidden="1" x14ac:dyDescent="0.35">
      <c r="A1017" t="str">
        <f t="shared" si="15"/>
        <v>Carlos Chagas20182.5</v>
      </c>
      <c r="B1017">
        <v>3113701</v>
      </c>
      <c r="C1017" t="s">
        <v>43</v>
      </c>
      <c r="D1017">
        <v>2018</v>
      </c>
      <c r="E1017">
        <v>6</v>
      </c>
      <c r="F1017">
        <v>32</v>
      </c>
      <c r="G1017" t="s">
        <v>24</v>
      </c>
      <c r="H1017" t="s">
        <v>18</v>
      </c>
      <c r="I1017" s="1" t="s">
        <v>25</v>
      </c>
      <c r="J1017">
        <v>0.76280000000000003</v>
      </c>
    </row>
    <row r="1018" spans="1:10" hidden="1" x14ac:dyDescent="0.35">
      <c r="A1018" t="str">
        <f t="shared" si="15"/>
        <v>Carlos Chagas20182.8</v>
      </c>
      <c r="B1018">
        <v>3113701</v>
      </c>
      <c r="C1018" t="s">
        <v>43</v>
      </c>
      <c r="D1018">
        <v>2018</v>
      </c>
      <c r="E1018">
        <v>6</v>
      </c>
      <c r="F1018">
        <v>35</v>
      </c>
      <c r="G1018" t="s">
        <v>26</v>
      </c>
      <c r="H1018" t="s">
        <v>18</v>
      </c>
      <c r="I1018" s="1" t="s">
        <v>27</v>
      </c>
      <c r="J1018">
        <v>0.30109999999999998</v>
      </c>
    </row>
    <row r="1019" spans="1:10" hidden="1" x14ac:dyDescent="0.35">
      <c r="A1019" t="str">
        <f t="shared" si="15"/>
        <v>Carlos Chagas20184.1</v>
      </c>
      <c r="B1019">
        <v>3113701</v>
      </c>
      <c r="C1019" t="s">
        <v>43</v>
      </c>
      <c r="D1019">
        <v>2018</v>
      </c>
      <c r="E1019">
        <v>6</v>
      </c>
      <c r="F1019">
        <v>44</v>
      </c>
      <c r="G1019" t="s">
        <v>28</v>
      </c>
      <c r="H1019" t="s">
        <v>29</v>
      </c>
      <c r="I1019" s="1" t="s">
        <v>30</v>
      </c>
      <c r="J1019">
        <v>2564.08</v>
      </c>
    </row>
    <row r="1020" spans="1:10" hidden="1" x14ac:dyDescent="0.35">
      <c r="A1020" t="str">
        <f t="shared" si="15"/>
        <v>Carlos Chagas20184.10</v>
      </c>
      <c r="B1020">
        <v>3113701</v>
      </c>
      <c r="C1020" t="s">
        <v>43</v>
      </c>
      <c r="D1020">
        <v>2018</v>
      </c>
      <c r="E1020">
        <v>6</v>
      </c>
      <c r="F1020">
        <v>58</v>
      </c>
      <c r="G1020" t="s">
        <v>31</v>
      </c>
      <c r="H1020" t="s">
        <v>29</v>
      </c>
      <c r="I1020" s="1" t="s">
        <v>32</v>
      </c>
      <c r="J1020">
        <v>2580.59</v>
      </c>
    </row>
    <row r="1021" spans="1:10" hidden="1" x14ac:dyDescent="0.35">
      <c r="A1021" t="str">
        <f t="shared" si="15"/>
        <v>Carlos Chagas20184.11</v>
      </c>
      <c r="B1021">
        <v>3113701</v>
      </c>
      <c r="C1021" t="s">
        <v>43</v>
      </c>
      <c r="D1021">
        <v>2018</v>
      </c>
      <c r="E1021">
        <v>6</v>
      </c>
      <c r="F1021">
        <v>59</v>
      </c>
      <c r="G1021" t="s">
        <v>33</v>
      </c>
      <c r="H1021" t="s">
        <v>29</v>
      </c>
      <c r="I1021" s="1" t="s">
        <v>34</v>
      </c>
      <c r="J1021">
        <v>984.07</v>
      </c>
    </row>
    <row r="1022" spans="1:10" hidden="1" x14ac:dyDescent="0.35">
      <c r="A1022" t="str">
        <f t="shared" si="15"/>
        <v>Carlos Chagas20184.2</v>
      </c>
      <c r="B1022">
        <v>3113701</v>
      </c>
      <c r="C1022" t="s">
        <v>43</v>
      </c>
      <c r="D1022">
        <v>2018</v>
      </c>
      <c r="E1022">
        <v>6</v>
      </c>
      <c r="F1022">
        <v>45</v>
      </c>
      <c r="G1022" t="s">
        <v>35</v>
      </c>
      <c r="H1022" t="s">
        <v>29</v>
      </c>
      <c r="I1022" s="1" t="s">
        <v>36</v>
      </c>
      <c r="J1022">
        <v>6058.75</v>
      </c>
    </row>
    <row r="1023" spans="1:10" hidden="1" x14ac:dyDescent="0.35">
      <c r="A1023" t="str">
        <f t="shared" si="15"/>
        <v>Carlos Chagas20184.8</v>
      </c>
      <c r="B1023">
        <v>3113701</v>
      </c>
      <c r="C1023" t="s">
        <v>43</v>
      </c>
      <c r="D1023">
        <v>2018</v>
      </c>
      <c r="E1023">
        <v>6</v>
      </c>
      <c r="F1023">
        <v>56</v>
      </c>
      <c r="G1023" t="s">
        <v>37</v>
      </c>
      <c r="H1023" t="s">
        <v>29</v>
      </c>
      <c r="I1023" s="1" t="s">
        <v>38</v>
      </c>
      <c r="J1023">
        <v>5234.16</v>
      </c>
    </row>
    <row r="1024" spans="1:10" hidden="1" x14ac:dyDescent="0.35">
      <c r="A1024" t="str">
        <f t="shared" si="15"/>
        <v>Carlos Chagas20184.9</v>
      </c>
      <c r="B1024">
        <v>3113701</v>
      </c>
      <c r="C1024" t="s">
        <v>43</v>
      </c>
      <c r="D1024">
        <v>2018</v>
      </c>
      <c r="E1024">
        <v>6</v>
      </c>
      <c r="F1024">
        <v>57</v>
      </c>
      <c r="G1024" t="s">
        <v>39</v>
      </c>
      <c r="H1024" t="s">
        <v>29</v>
      </c>
      <c r="I1024" s="1" t="s">
        <v>40</v>
      </c>
      <c r="J1024">
        <v>5234.16</v>
      </c>
    </row>
    <row r="1025" spans="1:10" hidden="1" x14ac:dyDescent="0.35">
      <c r="A1025" t="str">
        <f t="shared" si="15"/>
        <v>Catuji20181.1</v>
      </c>
      <c r="B1025">
        <v>3115458</v>
      </c>
      <c r="C1025" t="s">
        <v>44</v>
      </c>
      <c r="D1025">
        <v>2018</v>
      </c>
      <c r="E1025">
        <v>6</v>
      </c>
      <c r="F1025">
        <v>24</v>
      </c>
      <c r="G1025" t="s">
        <v>10</v>
      </c>
      <c r="H1025" t="s">
        <v>11</v>
      </c>
      <c r="I1025" s="1" t="s">
        <v>12</v>
      </c>
      <c r="J1025">
        <v>0.29720000000000002</v>
      </c>
    </row>
    <row r="1026" spans="1:10" hidden="1" x14ac:dyDescent="0.35">
      <c r="A1026" t="str">
        <f t="shared" si="15"/>
        <v>Catuji20181.2</v>
      </c>
      <c r="B1026">
        <v>3115458</v>
      </c>
      <c r="C1026" t="s">
        <v>44</v>
      </c>
      <c r="D1026">
        <v>2018</v>
      </c>
      <c r="E1026">
        <v>6</v>
      </c>
      <c r="F1026">
        <v>67</v>
      </c>
      <c r="G1026" t="s">
        <v>13</v>
      </c>
      <c r="H1026" t="s">
        <v>11</v>
      </c>
      <c r="I1026" s="1" t="s">
        <v>14</v>
      </c>
      <c r="J1026">
        <v>0.78959999999999997</v>
      </c>
    </row>
    <row r="1027" spans="1:10" hidden="1" x14ac:dyDescent="0.35">
      <c r="A1027" t="str">
        <f t="shared" si="15"/>
        <v>Catuji20181.3</v>
      </c>
      <c r="B1027">
        <v>3115458</v>
      </c>
      <c r="C1027" t="s">
        <v>44</v>
      </c>
      <c r="D1027">
        <v>2018</v>
      </c>
      <c r="E1027">
        <v>6</v>
      </c>
      <c r="F1027">
        <v>68</v>
      </c>
      <c r="G1027" t="s">
        <v>15</v>
      </c>
      <c r="H1027" t="s">
        <v>11</v>
      </c>
      <c r="I1027" s="1" t="s">
        <v>16</v>
      </c>
      <c r="J1027">
        <v>0.2104</v>
      </c>
    </row>
    <row r="1028" spans="1:10" hidden="1" x14ac:dyDescent="0.35">
      <c r="A1028" t="str">
        <f t="shared" ref="A1028:A1091" si="16">C1028&amp;D1028&amp;G1028</f>
        <v>Catuji20182.1</v>
      </c>
      <c r="B1028">
        <v>3115458</v>
      </c>
      <c r="C1028" t="s">
        <v>44</v>
      </c>
      <c r="D1028">
        <v>2018</v>
      </c>
      <c r="E1028">
        <v>6</v>
      </c>
      <c r="F1028">
        <v>28</v>
      </c>
      <c r="G1028" t="s">
        <v>17</v>
      </c>
      <c r="H1028" t="s">
        <v>18</v>
      </c>
      <c r="I1028" s="1" t="s">
        <v>19</v>
      </c>
    </row>
    <row r="1029" spans="1:10" hidden="1" x14ac:dyDescent="0.35">
      <c r="A1029" t="str">
        <f t="shared" si="16"/>
        <v>Catuji20182.2</v>
      </c>
      <c r="B1029">
        <v>3115458</v>
      </c>
      <c r="C1029" t="s">
        <v>44</v>
      </c>
      <c r="D1029">
        <v>2018</v>
      </c>
      <c r="E1029">
        <v>6</v>
      </c>
      <c r="F1029">
        <v>29</v>
      </c>
      <c r="G1029" t="s">
        <v>20</v>
      </c>
      <c r="H1029" t="s">
        <v>18</v>
      </c>
      <c r="I1029" s="1" t="s">
        <v>21</v>
      </c>
      <c r="J1029">
        <v>0.73499999999999999</v>
      </c>
    </row>
    <row r="1030" spans="1:10" hidden="1" x14ac:dyDescent="0.35">
      <c r="A1030" t="str">
        <f t="shared" si="16"/>
        <v>Catuji20182.4</v>
      </c>
      <c r="B1030">
        <v>3115458</v>
      </c>
      <c r="C1030" t="s">
        <v>44</v>
      </c>
      <c r="D1030">
        <v>2018</v>
      </c>
      <c r="E1030">
        <v>6</v>
      </c>
      <c r="F1030">
        <v>31</v>
      </c>
      <c r="G1030" t="s">
        <v>22</v>
      </c>
      <c r="H1030" t="s">
        <v>18</v>
      </c>
      <c r="I1030" s="1" t="s">
        <v>23</v>
      </c>
      <c r="J1030">
        <v>8.8400000000000006E-2</v>
      </c>
    </row>
    <row r="1031" spans="1:10" hidden="1" x14ac:dyDescent="0.35">
      <c r="A1031" t="str">
        <f t="shared" si="16"/>
        <v>Catuji20182.5</v>
      </c>
      <c r="B1031">
        <v>3115458</v>
      </c>
      <c r="C1031" t="s">
        <v>44</v>
      </c>
      <c r="D1031">
        <v>2018</v>
      </c>
      <c r="E1031">
        <v>6</v>
      </c>
      <c r="F1031">
        <v>32</v>
      </c>
      <c r="G1031" t="s">
        <v>24</v>
      </c>
      <c r="H1031" t="s">
        <v>18</v>
      </c>
      <c r="I1031" s="1" t="s">
        <v>25</v>
      </c>
      <c r="J1031">
        <v>0.59489999999999998</v>
      </c>
    </row>
    <row r="1032" spans="1:10" hidden="1" x14ac:dyDescent="0.35">
      <c r="A1032" t="str">
        <f t="shared" si="16"/>
        <v>Catuji20182.8</v>
      </c>
      <c r="B1032">
        <v>3115458</v>
      </c>
      <c r="C1032" t="s">
        <v>44</v>
      </c>
      <c r="D1032">
        <v>2018</v>
      </c>
      <c r="E1032">
        <v>6</v>
      </c>
      <c r="F1032">
        <v>35</v>
      </c>
      <c r="G1032" t="s">
        <v>26</v>
      </c>
      <c r="H1032" t="s">
        <v>18</v>
      </c>
      <c r="I1032" s="1" t="s">
        <v>27</v>
      </c>
      <c r="J1032">
        <v>0.37130000000000002</v>
      </c>
    </row>
    <row r="1033" spans="1:10" hidden="1" x14ac:dyDescent="0.35">
      <c r="A1033" t="str">
        <f t="shared" si="16"/>
        <v>Catuji20184.1</v>
      </c>
      <c r="B1033">
        <v>3115458</v>
      </c>
      <c r="C1033" t="s">
        <v>44</v>
      </c>
      <c r="D1033">
        <v>2018</v>
      </c>
      <c r="E1033">
        <v>6</v>
      </c>
      <c r="F1033">
        <v>44</v>
      </c>
      <c r="G1033" t="s">
        <v>28</v>
      </c>
      <c r="H1033" t="s">
        <v>29</v>
      </c>
      <c r="I1033" s="1" t="s">
        <v>30</v>
      </c>
      <c r="J1033">
        <v>2186.88</v>
      </c>
    </row>
    <row r="1034" spans="1:10" hidden="1" x14ac:dyDescent="0.35">
      <c r="A1034" t="str">
        <f t="shared" si="16"/>
        <v>Catuji20184.10</v>
      </c>
      <c r="B1034">
        <v>3115458</v>
      </c>
      <c r="C1034" t="s">
        <v>44</v>
      </c>
      <c r="D1034">
        <v>2018</v>
      </c>
      <c r="E1034">
        <v>6</v>
      </c>
      <c r="F1034">
        <v>58</v>
      </c>
      <c r="G1034" t="s">
        <v>31</v>
      </c>
      <c r="H1034" t="s">
        <v>29</v>
      </c>
      <c r="I1034" s="1" t="s">
        <v>32</v>
      </c>
      <c r="J1034">
        <v>5013.28</v>
      </c>
    </row>
    <row r="1035" spans="1:10" hidden="1" x14ac:dyDescent="0.35">
      <c r="A1035" t="str">
        <f t="shared" si="16"/>
        <v>Catuji20184.11</v>
      </c>
      <c r="B1035">
        <v>3115458</v>
      </c>
      <c r="C1035" t="s">
        <v>44</v>
      </c>
      <c r="D1035">
        <v>2018</v>
      </c>
      <c r="E1035">
        <v>6</v>
      </c>
      <c r="F1035">
        <v>59</v>
      </c>
      <c r="G1035" t="s">
        <v>33</v>
      </c>
      <c r="H1035" t="s">
        <v>29</v>
      </c>
      <c r="I1035" s="1" t="s">
        <v>34</v>
      </c>
      <c r="J1035">
        <v>540.88</v>
      </c>
    </row>
    <row r="1036" spans="1:10" hidden="1" x14ac:dyDescent="0.35">
      <c r="A1036" t="str">
        <f t="shared" si="16"/>
        <v>Catuji20184.2</v>
      </c>
      <c r="B1036">
        <v>3115458</v>
      </c>
      <c r="C1036" t="s">
        <v>44</v>
      </c>
      <c r="D1036">
        <v>2018</v>
      </c>
      <c r="E1036">
        <v>6</v>
      </c>
      <c r="F1036">
        <v>45</v>
      </c>
      <c r="G1036" t="s">
        <v>35</v>
      </c>
      <c r="H1036" t="s">
        <v>29</v>
      </c>
      <c r="I1036" s="1" t="s">
        <v>36</v>
      </c>
      <c r="J1036">
        <v>7465.55</v>
      </c>
    </row>
    <row r="1037" spans="1:10" hidden="1" x14ac:dyDescent="0.35">
      <c r="A1037" t="str">
        <f t="shared" si="16"/>
        <v>Catuji20184.8</v>
      </c>
      <c r="B1037">
        <v>3115458</v>
      </c>
      <c r="C1037" t="s">
        <v>44</v>
      </c>
      <c r="D1037">
        <v>2018</v>
      </c>
      <c r="E1037">
        <v>6</v>
      </c>
      <c r="F1037">
        <v>56</v>
      </c>
      <c r="G1037" t="s">
        <v>37</v>
      </c>
      <c r="H1037" t="s">
        <v>29</v>
      </c>
      <c r="I1037" s="1" t="s">
        <v>38</v>
      </c>
      <c r="J1037">
        <v>5586.88</v>
      </c>
    </row>
    <row r="1038" spans="1:10" hidden="1" x14ac:dyDescent="0.35">
      <c r="A1038" t="str">
        <f t="shared" si="16"/>
        <v>Catuji20184.9</v>
      </c>
      <c r="B1038">
        <v>3115458</v>
      </c>
      <c r="C1038" t="s">
        <v>44</v>
      </c>
      <c r="D1038">
        <v>2018</v>
      </c>
      <c r="E1038">
        <v>6</v>
      </c>
      <c r="F1038">
        <v>57</v>
      </c>
      <c r="G1038" t="s">
        <v>39</v>
      </c>
      <c r="H1038" t="s">
        <v>29</v>
      </c>
      <c r="I1038" s="1" t="s">
        <v>40</v>
      </c>
      <c r="J1038">
        <v>5586.88</v>
      </c>
    </row>
    <row r="1039" spans="1:10" hidden="1" x14ac:dyDescent="0.35">
      <c r="A1039" t="str">
        <f t="shared" si="16"/>
        <v>Crisólita20181.1</v>
      </c>
      <c r="B1039">
        <v>3120151</v>
      </c>
      <c r="C1039" t="s">
        <v>45</v>
      </c>
      <c r="D1039">
        <v>2018</v>
      </c>
      <c r="E1039">
        <v>6</v>
      </c>
      <c r="F1039">
        <v>24</v>
      </c>
      <c r="G1039" t="s">
        <v>10</v>
      </c>
      <c r="H1039" t="s">
        <v>11</v>
      </c>
      <c r="I1039" s="1" t="s">
        <v>12</v>
      </c>
      <c r="J1039">
        <v>0.25540000000000002</v>
      </c>
    </row>
    <row r="1040" spans="1:10" hidden="1" x14ac:dyDescent="0.35">
      <c r="A1040" t="str">
        <f t="shared" si="16"/>
        <v>Crisólita20181.2</v>
      </c>
      <c r="B1040">
        <v>3120151</v>
      </c>
      <c r="C1040" t="s">
        <v>45</v>
      </c>
      <c r="D1040">
        <v>2018</v>
      </c>
      <c r="E1040">
        <v>6</v>
      </c>
      <c r="F1040">
        <v>67</v>
      </c>
      <c r="G1040" t="s">
        <v>13</v>
      </c>
      <c r="H1040" t="s">
        <v>11</v>
      </c>
      <c r="I1040" s="1" t="s">
        <v>14</v>
      </c>
      <c r="J1040">
        <v>0.7732</v>
      </c>
    </row>
    <row r="1041" spans="1:10" hidden="1" x14ac:dyDescent="0.35">
      <c r="A1041" t="str">
        <f t="shared" si="16"/>
        <v>Crisólita20181.3</v>
      </c>
      <c r="B1041">
        <v>3120151</v>
      </c>
      <c r="C1041" t="s">
        <v>45</v>
      </c>
      <c r="D1041">
        <v>2018</v>
      </c>
      <c r="E1041">
        <v>6</v>
      </c>
      <c r="F1041">
        <v>68</v>
      </c>
      <c r="G1041" t="s">
        <v>15</v>
      </c>
      <c r="H1041" t="s">
        <v>11</v>
      </c>
      <c r="I1041" s="1" t="s">
        <v>16</v>
      </c>
      <c r="J1041">
        <v>0.2258</v>
      </c>
    </row>
    <row r="1042" spans="1:10" hidden="1" x14ac:dyDescent="0.35">
      <c r="A1042" t="str">
        <f t="shared" si="16"/>
        <v>Crisólita20182.1</v>
      </c>
      <c r="B1042">
        <v>3120151</v>
      </c>
      <c r="C1042" t="s">
        <v>45</v>
      </c>
      <c r="D1042">
        <v>2018</v>
      </c>
      <c r="E1042">
        <v>6</v>
      </c>
      <c r="F1042">
        <v>28</v>
      </c>
      <c r="G1042" t="s">
        <v>17</v>
      </c>
      <c r="H1042" t="s">
        <v>18</v>
      </c>
      <c r="I1042" s="1" t="s">
        <v>19</v>
      </c>
    </row>
    <row r="1043" spans="1:10" hidden="1" x14ac:dyDescent="0.35">
      <c r="A1043" t="str">
        <f t="shared" si="16"/>
        <v>Crisólita20182.2</v>
      </c>
      <c r="B1043">
        <v>3120151</v>
      </c>
      <c r="C1043" t="s">
        <v>45</v>
      </c>
      <c r="D1043">
        <v>2018</v>
      </c>
      <c r="E1043">
        <v>6</v>
      </c>
      <c r="F1043">
        <v>29</v>
      </c>
      <c r="G1043" t="s">
        <v>20</v>
      </c>
      <c r="H1043" t="s">
        <v>18</v>
      </c>
      <c r="I1043" s="1" t="s">
        <v>21</v>
      </c>
      <c r="J1043">
        <v>1.1640999999999999</v>
      </c>
    </row>
    <row r="1044" spans="1:10" hidden="1" x14ac:dyDescent="0.35">
      <c r="A1044" t="str">
        <f t="shared" si="16"/>
        <v>Crisólita20182.4</v>
      </c>
      <c r="B1044">
        <v>3120151</v>
      </c>
      <c r="C1044" t="s">
        <v>45</v>
      </c>
      <c r="D1044">
        <v>2018</v>
      </c>
      <c r="E1044">
        <v>6</v>
      </c>
      <c r="F1044">
        <v>31</v>
      </c>
      <c r="G1044" t="s">
        <v>22</v>
      </c>
      <c r="H1044" t="s">
        <v>18</v>
      </c>
      <c r="I1044" s="1" t="s">
        <v>23</v>
      </c>
      <c r="J1044">
        <v>0.112</v>
      </c>
    </row>
    <row r="1045" spans="1:10" hidden="1" x14ac:dyDescent="0.35">
      <c r="A1045" t="str">
        <f t="shared" si="16"/>
        <v>Crisólita20182.5</v>
      </c>
      <c r="B1045">
        <v>3120151</v>
      </c>
      <c r="C1045" t="s">
        <v>45</v>
      </c>
      <c r="D1045">
        <v>2018</v>
      </c>
      <c r="E1045">
        <v>6</v>
      </c>
      <c r="F1045">
        <v>32</v>
      </c>
      <c r="G1045" t="s">
        <v>24</v>
      </c>
      <c r="H1045" t="s">
        <v>18</v>
      </c>
      <c r="I1045" s="1" t="s">
        <v>25</v>
      </c>
      <c r="J1045">
        <v>0.70050000000000001</v>
      </c>
    </row>
    <row r="1046" spans="1:10" hidden="1" x14ac:dyDescent="0.35">
      <c r="A1046" t="str">
        <f t="shared" si="16"/>
        <v>Crisólita20182.8</v>
      </c>
      <c r="B1046">
        <v>3120151</v>
      </c>
      <c r="C1046" t="s">
        <v>45</v>
      </c>
      <c r="D1046">
        <v>2018</v>
      </c>
      <c r="E1046">
        <v>6</v>
      </c>
      <c r="F1046">
        <v>35</v>
      </c>
      <c r="G1046" t="s">
        <v>26</v>
      </c>
      <c r="H1046" t="s">
        <v>18</v>
      </c>
      <c r="I1046" s="1" t="s">
        <v>27</v>
      </c>
      <c r="J1046">
        <v>0.24479999999999999</v>
      </c>
    </row>
    <row r="1047" spans="1:10" hidden="1" x14ac:dyDescent="0.35">
      <c r="A1047" t="str">
        <f t="shared" si="16"/>
        <v>Crisólita20184.1</v>
      </c>
      <c r="B1047">
        <v>3120151</v>
      </c>
      <c r="C1047" t="s">
        <v>45</v>
      </c>
      <c r="D1047">
        <v>2018</v>
      </c>
      <c r="E1047">
        <v>6</v>
      </c>
      <c r="F1047">
        <v>44</v>
      </c>
      <c r="G1047" t="s">
        <v>28</v>
      </c>
      <c r="H1047" t="s">
        <v>29</v>
      </c>
      <c r="I1047" s="1" t="s">
        <v>30</v>
      </c>
      <c r="J1047">
        <v>2322.2199999999998</v>
      </c>
    </row>
    <row r="1048" spans="1:10" hidden="1" x14ac:dyDescent="0.35">
      <c r="A1048" t="str">
        <f t="shared" si="16"/>
        <v>Crisólita20184.10</v>
      </c>
      <c r="B1048">
        <v>3120151</v>
      </c>
      <c r="C1048" t="s">
        <v>45</v>
      </c>
      <c r="D1048">
        <v>2018</v>
      </c>
      <c r="E1048">
        <v>6</v>
      </c>
      <c r="F1048">
        <v>58</v>
      </c>
      <c r="G1048" t="s">
        <v>31</v>
      </c>
      <c r="H1048" t="s">
        <v>29</v>
      </c>
      <c r="I1048" s="1" t="s">
        <v>32</v>
      </c>
      <c r="J1048">
        <v>2733.78</v>
      </c>
    </row>
    <row r="1049" spans="1:10" hidden="1" x14ac:dyDescent="0.35">
      <c r="A1049" t="str">
        <f t="shared" si="16"/>
        <v>Crisólita20184.11</v>
      </c>
      <c r="B1049">
        <v>3120151</v>
      </c>
      <c r="C1049" t="s">
        <v>45</v>
      </c>
      <c r="D1049">
        <v>2018</v>
      </c>
      <c r="E1049">
        <v>6</v>
      </c>
      <c r="F1049">
        <v>59</v>
      </c>
      <c r="G1049" t="s">
        <v>33</v>
      </c>
      <c r="H1049" t="s">
        <v>29</v>
      </c>
      <c r="I1049" s="1" t="s">
        <v>34</v>
      </c>
      <c r="J1049">
        <v>880.5</v>
      </c>
    </row>
    <row r="1050" spans="1:10" hidden="1" x14ac:dyDescent="0.35">
      <c r="A1050" t="str">
        <f t="shared" si="16"/>
        <v>Crisólita20184.2</v>
      </c>
      <c r="B1050">
        <v>3120151</v>
      </c>
      <c r="C1050" t="s">
        <v>45</v>
      </c>
      <c r="D1050">
        <v>2018</v>
      </c>
      <c r="E1050">
        <v>6</v>
      </c>
      <c r="F1050">
        <v>45</v>
      </c>
      <c r="G1050" t="s">
        <v>35</v>
      </c>
      <c r="H1050" t="s">
        <v>29</v>
      </c>
      <c r="I1050" s="1" t="s">
        <v>36</v>
      </c>
      <c r="J1050">
        <v>5558.22</v>
      </c>
    </row>
    <row r="1051" spans="1:10" hidden="1" x14ac:dyDescent="0.35">
      <c r="A1051" t="str">
        <f t="shared" si="16"/>
        <v>Crisólita20184.8</v>
      </c>
      <c r="B1051">
        <v>3120151</v>
      </c>
      <c r="C1051" t="s">
        <v>45</v>
      </c>
      <c r="D1051">
        <v>2018</v>
      </c>
      <c r="E1051">
        <v>6</v>
      </c>
      <c r="F1051">
        <v>56</v>
      </c>
      <c r="G1051" t="s">
        <v>37</v>
      </c>
      <c r="H1051" t="s">
        <v>29</v>
      </c>
      <c r="I1051" s="1" t="s">
        <v>38</v>
      </c>
      <c r="J1051">
        <v>4544.62</v>
      </c>
    </row>
    <row r="1052" spans="1:10" hidden="1" x14ac:dyDescent="0.35">
      <c r="A1052" t="str">
        <f t="shared" si="16"/>
        <v>Crisólita20184.9</v>
      </c>
      <c r="B1052">
        <v>3120151</v>
      </c>
      <c r="C1052" t="s">
        <v>45</v>
      </c>
      <c r="D1052">
        <v>2018</v>
      </c>
      <c r="E1052">
        <v>6</v>
      </c>
      <c r="F1052">
        <v>57</v>
      </c>
      <c r="G1052" t="s">
        <v>39</v>
      </c>
      <c r="H1052" t="s">
        <v>29</v>
      </c>
      <c r="I1052" s="1" t="s">
        <v>40</v>
      </c>
      <c r="J1052">
        <v>4544.62</v>
      </c>
    </row>
    <row r="1053" spans="1:10" hidden="1" x14ac:dyDescent="0.35">
      <c r="A1053" t="str">
        <f t="shared" si="16"/>
        <v>Franciscópolis20181.1</v>
      </c>
      <c r="B1053">
        <v>3126752</v>
      </c>
      <c r="C1053" t="s">
        <v>46</v>
      </c>
      <c r="D1053">
        <v>2018</v>
      </c>
      <c r="E1053">
        <v>6</v>
      </c>
      <c r="F1053">
        <v>24</v>
      </c>
      <c r="G1053" t="s">
        <v>10</v>
      </c>
      <c r="H1053" t="s">
        <v>11</v>
      </c>
      <c r="I1053" s="1" t="s">
        <v>12</v>
      </c>
      <c r="J1053">
        <v>0.30580000000000002</v>
      </c>
    </row>
    <row r="1054" spans="1:10" hidden="1" x14ac:dyDescent="0.35">
      <c r="A1054" t="str">
        <f t="shared" si="16"/>
        <v>Franciscópolis20181.2</v>
      </c>
      <c r="B1054">
        <v>3126752</v>
      </c>
      <c r="C1054" t="s">
        <v>46</v>
      </c>
      <c r="D1054">
        <v>2018</v>
      </c>
      <c r="E1054">
        <v>6</v>
      </c>
      <c r="F1054">
        <v>67</v>
      </c>
      <c r="G1054" t="s">
        <v>13</v>
      </c>
      <c r="H1054" t="s">
        <v>11</v>
      </c>
      <c r="I1054" s="1" t="s">
        <v>14</v>
      </c>
      <c r="J1054">
        <v>0.81779999999999997</v>
      </c>
    </row>
    <row r="1055" spans="1:10" hidden="1" x14ac:dyDescent="0.35">
      <c r="A1055" t="str">
        <f t="shared" si="16"/>
        <v>Franciscópolis20181.3</v>
      </c>
      <c r="B1055">
        <v>3126752</v>
      </c>
      <c r="C1055" t="s">
        <v>46</v>
      </c>
      <c r="D1055">
        <v>2018</v>
      </c>
      <c r="E1055">
        <v>6</v>
      </c>
      <c r="F1055">
        <v>68</v>
      </c>
      <c r="G1055" t="s">
        <v>15</v>
      </c>
      <c r="H1055" t="s">
        <v>11</v>
      </c>
      <c r="I1055" s="1" t="s">
        <v>16</v>
      </c>
      <c r="J1055">
        <v>0.1822</v>
      </c>
    </row>
    <row r="1056" spans="1:10" hidden="1" x14ac:dyDescent="0.35">
      <c r="A1056" t="str">
        <f t="shared" si="16"/>
        <v>Franciscópolis20182.1</v>
      </c>
      <c r="B1056">
        <v>3126752</v>
      </c>
      <c r="C1056" t="s">
        <v>46</v>
      </c>
      <c r="D1056">
        <v>2018</v>
      </c>
      <c r="E1056">
        <v>6</v>
      </c>
      <c r="F1056">
        <v>28</v>
      </c>
      <c r="G1056" t="s">
        <v>17</v>
      </c>
      <c r="H1056" t="s">
        <v>18</v>
      </c>
      <c r="I1056" s="1" t="s">
        <v>19</v>
      </c>
    </row>
    <row r="1057" spans="1:10" hidden="1" x14ac:dyDescent="0.35">
      <c r="A1057" t="str">
        <f t="shared" si="16"/>
        <v>Franciscópolis20182.2</v>
      </c>
      <c r="B1057">
        <v>3126752</v>
      </c>
      <c r="C1057" t="s">
        <v>46</v>
      </c>
      <c r="D1057">
        <v>2018</v>
      </c>
      <c r="E1057">
        <v>6</v>
      </c>
      <c r="F1057">
        <v>29</v>
      </c>
      <c r="G1057" t="s">
        <v>20</v>
      </c>
      <c r="H1057" t="s">
        <v>18</v>
      </c>
      <c r="I1057" s="1" t="s">
        <v>21</v>
      </c>
      <c r="J1057">
        <v>0.82169999999999999</v>
      </c>
    </row>
    <row r="1058" spans="1:10" hidden="1" x14ac:dyDescent="0.35">
      <c r="A1058" t="str">
        <f t="shared" si="16"/>
        <v>Franciscópolis20182.4</v>
      </c>
      <c r="B1058">
        <v>3126752</v>
      </c>
      <c r="C1058" t="s">
        <v>46</v>
      </c>
      <c r="D1058">
        <v>2018</v>
      </c>
      <c r="E1058">
        <v>6</v>
      </c>
      <c r="F1058">
        <v>31</v>
      </c>
      <c r="G1058" t="s">
        <v>22</v>
      </c>
      <c r="H1058" t="s">
        <v>18</v>
      </c>
      <c r="I1058" s="1" t="s">
        <v>23</v>
      </c>
      <c r="J1058">
        <v>8.6300000000000002E-2</v>
      </c>
    </row>
    <row r="1059" spans="1:10" hidden="1" x14ac:dyDescent="0.35">
      <c r="A1059" t="str">
        <f t="shared" si="16"/>
        <v>Franciscópolis20182.5</v>
      </c>
      <c r="B1059">
        <v>3126752</v>
      </c>
      <c r="C1059" t="s">
        <v>46</v>
      </c>
      <c r="D1059">
        <v>2018</v>
      </c>
      <c r="E1059">
        <v>6</v>
      </c>
      <c r="F1059">
        <v>32</v>
      </c>
      <c r="G1059" t="s">
        <v>24</v>
      </c>
      <c r="H1059" t="s">
        <v>18</v>
      </c>
      <c r="I1059" s="1" t="s">
        <v>25</v>
      </c>
      <c r="J1059">
        <v>0.64459999999999995</v>
      </c>
    </row>
    <row r="1060" spans="1:10" hidden="1" x14ac:dyDescent="0.35">
      <c r="A1060" t="str">
        <f t="shared" si="16"/>
        <v>Franciscópolis20182.8</v>
      </c>
      <c r="B1060">
        <v>3126752</v>
      </c>
      <c r="C1060" t="s">
        <v>46</v>
      </c>
      <c r="D1060">
        <v>2018</v>
      </c>
      <c r="E1060">
        <v>6</v>
      </c>
      <c r="F1060">
        <v>35</v>
      </c>
      <c r="G1060" t="s">
        <v>26</v>
      </c>
      <c r="H1060" t="s">
        <v>18</v>
      </c>
      <c r="I1060" s="1" t="s">
        <v>27</v>
      </c>
      <c r="J1060">
        <v>0.26579999999999998</v>
      </c>
    </row>
    <row r="1061" spans="1:10" hidden="1" x14ac:dyDescent="0.35">
      <c r="A1061" t="str">
        <f t="shared" si="16"/>
        <v>Franciscópolis20184.1</v>
      </c>
      <c r="B1061">
        <v>3126752</v>
      </c>
      <c r="C1061" t="s">
        <v>46</v>
      </c>
      <c r="D1061">
        <v>2018</v>
      </c>
      <c r="E1061">
        <v>6</v>
      </c>
      <c r="F1061">
        <v>44</v>
      </c>
      <c r="G1061" t="s">
        <v>28</v>
      </c>
      <c r="H1061" t="s">
        <v>29</v>
      </c>
      <c r="I1061" s="1" t="s">
        <v>30</v>
      </c>
      <c r="J1061">
        <v>2488.1</v>
      </c>
    </row>
    <row r="1062" spans="1:10" hidden="1" x14ac:dyDescent="0.35">
      <c r="A1062" t="str">
        <f t="shared" si="16"/>
        <v>Franciscópolis20184.10</v>
      </c>
      <c r="B1062">
        <v>3126752</v>
      </c>
      <c r="C1062" t="s">
        <v>46</v>
      </c>
      <c r="D1062">
        <v>2018</v>
      </c>
      <c r="E1062">
        <v>6</v>
      </c>
      <c r="F1062">
        <v>58</v>
      </c>
      <c r="G1062" t="s">
        <v>31</v>
      </c>
      <c r="H1062" t="s">
        <v>29</v>
      </c>
      <c r="I1062" s="1" t="s">
        <v>32</v>
      </c>
      <c r="J1062">
        <v>4190.5</v>
      </c>
    </row>
    <row r="1063" spans="1:10" hidden="1" x14ac:dyDescent="0.35">
      <c r="A1063" t="str">
        <f t="shared" si="16"/>
        <v>Franciscópolis20184.11</v>
      </c>
      <c r="B1063">
        <v>3126752</v>
      </c>
      <c r="C1063" t="s">
        <v>46</v>
      </c>
      <c r="D1063">
        <v>2018</v>
      </c>
      <c r="E1063">
        <v>6</v>
      </c>
      <c r="F1063">
        <v>59</v>
      </c>
      <c r="G1063" t="s">
        <v>33</v>
      </c>
      <c r="H1063" t="s">
        <v>29</v>
      </c>
      <c r="I1063" s="1" t="s">
        <v>34</v>
      </c>
      <c r="J1063">
        <v>1924.1</v>
      </c>
    </row>
    <row r="1064" spans="1:10" hidden="1" x14ac:dyDescent="0.35">
      <c r="A1064" t="str">
        <f t="shared" si="16"/>
        <v>Franciscópolis20184.2</v>
      </c>
      <c r="B1064">
        <v>3126752</v>
      </c>
      <c r="C1064" t="s">
        <v>46</v>
      </c>
      <c r="D1064">
        <v>2018</v>
      </c>
      <c r="E1064">
        <v>6</v>
      </c>
      <c r="F1064">
        <v>45</v>
      </c>
      <c r="G1064" t="s">
        <v>35</v>
      </c>
      <c r="H1064" t="s">
        <v>29</v>
      </c>
      <c r="I1064" s="1" t="s">
        <v>36</v>
      </c>
      <c r="J1064">
        <v>8665.36</v>
      </c>
    </row>
    <row r="1065" spans="1:10" hidden="1" x14ac:dyDescent="0.35">
      <c r="A1065" t="str">
        <f t="shared" si="16"/>
        <v>Franciscópolis20184.8</v>
      </c>
      <c r="B1065">
        <v>3126752</v>
      </c>
      <c r="C1065" t="s">
        <v>46</v>
      </c>
      <c r="D1065">
        <v>2018</v>
      </c>
      <c r="E1065">
        <v>6</v>
      </c>
      <c r="F1065">
        <v>56</v>
      </c>
      <c r="G1065" t="s">
        <v>37</v>
      </c>
      <c r="H1065" t="s">
        <v>29</v>
      </c>
      <c r="I1065" s="1" t="s">
        <v>38</v>
      </c>
      <c r="J1065">
        <v>6640.45</v>
      </c>
    </row>
    <row r="1066" spans="1:10" hidden="1" x14ac:dyDescent="0.35">
      <c r="A1066" t="str">
        <f t="shared" si="16"/>
        <v>Franciscópolis20184.9</v>
      </c>
      <c r="B1066">
        <v>3126752</v>
      </c>
      <c r="C1066" t="s">
        <v>46</v>
      </c>
      <c r="D1066">
        <v>2018</v>
      </c>
      <c r="E1066">
        <v>6</v>
      </c>
      <c r="F1066">
        <v>57</v>
      </c>
      <c r="G1066" t="s">
        <v>39</v>
      </c>
      <c r="H1066" t="s">
        <v>29</v>
      </c>
      <c r="I1066" s="1" t="s">
        <v>40</v>
      </c>
      <c r="J1066">
        <v>6640.45</v>
      </c>
    </row>
    <row r="1067" spans="1:10" hidden="1" x14ac:dyDescent="0.35">
      <c r="A1067" t="str">
        <f t="shared" si="16"/>
        <v>Frei Gaspar20181.1</v>
      </c>
      <c r="B1067">
        <v>3126802</v>
      </c>
      <c r="C1067" t="s">
        <v>47</v>
      </c>
      <c r="D1067">
        <v>2018</v>
      </c>
      <c r="E1067">
        <v>6</v>
      </c>
      <c r="F1067">
        <v>24</v>
      </c>
      <c r="G1067" t="s">
        <v>10</v>
      </c>
      <c r="H1067" t="s">
        <v>11</v>
      </c>
      <c r="I1067" s="1" t="s">
        <v>12</v>
      </c>
      <c r="J1067">
        <v>0.25900000000000001</v>
      </c>
    </row>
    <row r="1068" spans="1:10" hidden="1" x14ac:dyDescent="0.35">
      <c r="A1068" t="str">
        <f t="shared" si="16"/>
        <v>Frei Gaspar20181.2</v>
      </c>
      <c r="B1068">
        <v>3126802</v>
      </c>
      <c r="C1068" t="s">
        <v>47</v>
      </c>
      <c r="D1068">
        <v>2018</v>
      </c>
      <c r="E1068">
        <v>6</v>
      </c>
      <c r="F1068">
        <v>67</v>
      </c>
      <c r="G1068" t="s">
        <v>13</v>
      </c>
      <c r="H1068" t="s">
        <v>11</v>
      </c>
      <c r="I1068" s="1" t="s">
        <v>14</v>
      </c>
      <c r="J1068">
        <v>0.81320000000000003</v>
      </c>
    </row>
    <row r="1069" spans="1:10" hidden="1" x14ac:dyDescent="0.35">
      <c r="A1069" t="str">
        <f t="shared" si="16"/>
        <v>Frei Gaspar20181.3</v>
      </c>
      <c r="B1069">
        <v>3126802</v>
      </c>
      <c r="C1069" t="s">
        <v>47</v>
      </c>
      <c r="D1069">
        <v>2018</v>
      </c>
      <c r="E1069">
        <v>6</v>
      </c>
      <c r="F1069">
        <v>68</v>
      </c>
      <c r="G1069" t="s">
        <v>15</v>
      </c>
      <c r="H1069" t="s">
        <v>11</v>
      </c>
      <c r="I1069" s="1" t="s">
        <v>16</v>
      </c>
      <c r="J1069">
        <v>0.18679999999999999</v>
      </c>
    </row>
    <row r="1070" spans="1:10" hidden="1" x14ac:dyDescent="0.35">
      <c r="A1070" t="str">
        <f t="shared" si="16"/>
        <v>Frei Gaspar20182.1</v>
      </c>
      <c r="B1070">
        <v>3126802</v>
      </c>
      <c r="C1070" t="s">
        <v>47</v>
      </c>
      <c r="D1070">
        <v>2018</v>
      </c>
      <c r="E1070">
        <v>6</v>
      </c>
      <c r="F1070">
        <v>28</v>
      </c>
      <c r="G1070" t="s">
        <v>17</v>
      </c>
      <c r="H1070" t="s">
        <v>18</v>
      </c>
      <c r="I1070" s="1" t="s">
        <v>19</v>
      </c>
    </row>
    <row r="1071" spans="1:10" hidden="1" x14ac:dyDescent="0.35">
      <c r="A1071" t="str">
        <f t="shared" si="16"/>
        <v>Frei Gaspar20182.2</v>
      </c>
      <c r="B1071">
        <v>3126802</v>
      </c>
      <c r="C1071" t="s">
        <v>47</v>
      </c>
      <c r="D1071">
        <v>2018</v>
      </c>
      <c r="E1071">
        <v>6</v>
      </c>
      <c r="F1071">
        <v>29</v>
      </c>
      <c r="G1071" t="s">
        <v>20</v>
      </c>
      <c r="H1071" t="s">
        <v>18</v>
      </c>
      <c r="I1071" s="1" t="s">
        <v>21</v>
      </c>
      <c r="J1071">
        <v>0.86870000000000003</v>
      </c>
    </row>
    <row r="1072" spans="1:10" hidden="1" x14ac:dyDescent="0.35">
      <c r="A1072" t="str">
        <f t="shared" si="16"/>
        <v>Frei Gaspar20182.4</v>
      </c>
      <c r="B1072">
        <v>3126802</v>
      </c>
      <c r="C1072" t="s">
        <v>47</v>
      </c>
      <c r="D1072">
        <v>2018</v>
      </c>
      <c r="E1072">
        <v>6</v>
      </c>
      <c r="F1072">
        <v>31</v>
      </c>
      <c r="G1072" t="s">
        <v>22</v>
      </c>
      <c r="H1072" t="s">
        <v>18</v>
      </c>
      <c r="I1072" s="1" t="s">
        <v>23</v>
      </c>
      <c r="J1072">
        <v>7.6799999999999993E-2</v>
      </c>
    </row>
    <row r="1073" spans="1:10" hidden="1" x14ac:dyDescent="0.35">
      <c r="A1073" t="str">
        <f t="shared" si="16"/>
        <v>Frei Gaspar20182.5</v>
      </c>
      <c r="B1073">
        <v>3126802</v>
      </c>
      <c r="C1073" t="s">
        <v>47</v>
      </c>
      <c r="D1073">
        <v>2018</v>
      </c>
      <c r="E1073">
        <v>6</v>
      </c>
      <c r="F1073">
        <v>32</v>
      </c>
      <c r="G1073" t="s">
        <v>24</v>
      </c>
      <c r="H1073" t="s">
        <v>18</v>
      </c>
      <c r="I1073" s="1" t="s">
        <v>25</v>
      </c>
      <c r="J1073">
        <v>0.80200000000000005</v>
      </c>
    </row>
    <row r="1074" spans="1:10" hidden="1" x14ac:dyDescent="0.35">
      <c r="A1074" t="str">
        <f t="shared" si="16"/>
        <v>Frei Gaspar20182.8</v>
      </c>
      <c r="B1074">
        <v>3126802</v>
      </c>
      <c r="C1074" t="s">
        <v>47</v>
      </c>
      <c r="D1074">
        <v>2018</v>
      </c>
      <c r="E1074">
        <v>6</v>
      </c>
      <c r="F1074">
        <v>35</v>
      </c>
      <c r="G1074" t="s">
        <v>26</v>
      </c>
      <c r="H1074" t="s">
        <v>18</v>
      </c>
      <c r="I1074" s="1" t="s">
        <v>27</v>
      </c>
      <c r="J1074">
        <v>0.2898</v>
      </c>
    </row>
    <row r="1075" spans="1:10" hidden="1" x14ac:dyDescent="0.35">
      <c r="A1075" t="str">
        <f t="shared" si="16"/>
        <v>Frei Gaspar20184.1</v>
      </c>
      <c r="B1075">
        <v>3126802</v>
      </c>
      <c r="C1075" t="s">
        <v>47</v>
      </c>
      <c r="D1075">
        <v>2018</v>
      </c>
      <c r="E1075">
        <v>6</v>
      </c>
      <c r="F1075">
        <v>44</v>
      </c>
      <c r="G1075" t="s">
        <v>28</v>
      </c>
      <c r="H1075" t="s">
        <v>29</v>
      </c>
      <c r="I1075" s="1" t="s">
        <v>30</v>
      </c>
      <c r="J1075">
        <v>2097.5</v>
      </c>
    </row>
    <row r="1076" spans="1:10" hidden="1" x14ac:dyDescent="0.35">
      <c r="A1076" t="str">
        <f t="shared" si="16"/>
        <v>Frei Gaspar20184.10</v>
      </c>
      <c r="B1076">
        <v>3126802</v>
      </c>
      <c r="C1076" t="s">
        <v>47</v>
      </c>
      <c r="D1076">
        <v>2018</v>
      </c>
      <c r="E1076">
        <v>6</v>
      </c>
      <c r="F1076">
        <v>58</v>
      </c>
      <c r="G1076" t="s">
        <v>31</v>
      </c>
      <c r="H1076" t="s">
        <v>29</v>
      </c>
      <c r="I1076" s="1" t="s">
        <v>32</v>
      </c>
      <c r="J1076">
        <v>4489.8</v>
      </c>
    </row>
    <row r="1077" spans="1:10" hidden="1" x14ac:dyDescent="0.35">
      <c r="A1077" t="str">
        <f t="shared" si="16"/>
        <v>Frei Gaspar20184.11</v>
      </c>
      <c r="B1077">
        <v>3126802</v>
      </c>
      <c r="C1077" t="s">
        <v>47</v>
      </c>
      <c r="D1077">
        <v>2018</v>
      </c>
      <c r="E1077">
        <v>6</v>
      </c>
      <c r="F1077">
        <v>59</v>
      </c>
      <c r="G1077" t="s">
        <v>33</v>
      </c>
      <c r="H1077" t="s">
        <v>29</v>
      </c>
      <c r="I1077" s="1" t="s">
        <v>34</v>
      </c>
      <c r="J1077">
        <v>637.03</v>
      </c>
    </row>
    <row r="1078" spans="1:10" hidden="1" x14ac:dyDescent="0.35">
      <c r="A1078" t="str">
        <f t="shared" si="16"/>
        <v>Frei Gaspar20184.2</v>
      </c>
      <c r="B1078">
        <v>3126802</v>
      </c>
      <c r="C1078" t="s">
        <v>47</v>
      </c>
      <c r="D1078">
        <v>2018</v>
      </c>
      <c r="E1078">
        <v>6</v>
      </c>
      <c r="F1078">
        <v>45</v>
      </c>
      <c r="G1078" t="s">
        <v>35</v>
      </c>
      <c r="H1078" t="s">
        <v>29</v>
      </c>
      <c r="I1078" s="1" t="s">
        <v>36</v>
      </c>
      <c r="J1078">
        <v>6328.48</v>
      </c>
    </row>
    <row r="1079" spans="1:10" hidden="1" x14ac:dyDescent="0.35">
      <c r="A1079" t="str">
        <f t="shared" si="16"/>
        <v>Frei Gaspar20184.8</v>
      </c>
      <c r="B1079">
        <v>3126802</v>
      </c>
      <c r="C1079" t="s">
        <v>47</v>
      </c>
      <c r="D1079">
        <v>2018</v>
      </c>
      <c r="E1079">
        <v>6</v>
      </c>
      <c r="F1079">
        <v>56</v>
      </c>
      <c r="G1079" t="s">
        <v>37</v>
      </c>
      <c r="H1079" t="s">
        <v>29</v>
      </c>
      <c r="I1079" s="1" t="s">
        <v>38</v>
      </c>
      <c r="J1079">
        <v>5126.83</v>
      </c>
    </row>
    <row r="1080" spans="1:10" hidden="1" x14ac:dyDescent="0.35">
      <c r="A1080" t="str">
        <f t="shared" si="16"/>
        <v>Frei Gaspar20184.9</v>
      </c>
      <c r="B1080">
        <v>3126802</v>
      </c>
      <c r="C1080" t="s">
        <v>47</v>
      </c>
      <c r="D1080">
        <v>2018</v>
      </c>
      <c r="E1080">
        <v>6</v>
      </c>
      <c r="F1080">
        <v>57</v>
      </c>
      <c r="G1080" t="s">
        <v>39</v>
      </c>
      <c r="H1080" t="s">
        <v>29</v>
      </c>
      <c r="I1080" s="1" t="s">
        <v>40</v>
      </c>
      <c r="J1080">
        <v>5126.83</v>
      </c>
    </row>
    <row r="1081" spans="1:10" hidden="1" x14ac:dyDescent="0.35">
      <c r="A1081" t="str">
        <f t="shared" si="16"/>
        <v>Fronteira dos Vales20181.1</v>
      </c>
      <c r="B1081">
        <v>3127057</v>
      </c>
      <c r="C1081" t="s">
        <v>48</v>
      </c>
      <c r="D1081">
        <v>2018</v>
      </c>
      <c r="E1081">
        <v>6</v>
      </c>
      <c r="F1081">
        <v>24</v>
      </c>
      <c r="G1081" t="s">
        <v>10</v>
      </c>
      <c r="H1081" t="s">
        <v>11</v>
      </c>
      <c r="I1081" s="1" t="s">
        <v>12</v>
      </c>
      <c r="J1081">
        <v>0.2918</v>
      </c>
    </row>
    <row r="1082" spans="1:10" hidden="1" x14ac:dyDescent="0.35">
      <c r="A1082" t="str">
        <f t="shared" si="16"/>
        <v>Fronteira dos Vales20181.2</v>
      </c>
      <c r="B1082">
        <v>3127057</v>
      </c>
      <c r="C1082" t="s">
        <v>48</v>
      </c>
      <c r="D1082">
        <v>2018</v>
      </c>
      <c r="E1082">
        <v>6</v>
      </c>
      <c r="F1082">
        <v>67</v>
      </c>
      <c r="G1082" t="s">
        <v>13</v>
      </c>
      <c r="H1082" t="s">
        <v>11</v>
      </c>
      <c r="I1082" s="1" t="s">
        <v>14</v>
      </c>
      <c r="J1082">
        <v>0.8347</v>
      </c>
    </row>
    <row r="1083" spans="1:10" hidden="1" x14ac:dyDescent="0.35">
      <c r="A1083" t="str">
        <f t="shared" si="16"/>
        <v>Fronteira dos Vales20181.3</v>
      </c>
      <c r="B1083">
        <v>3127057</v>
      </c>
      <c r="C1083" t="s">
        <v>48</v>
      </c>
      <c r="D1083">
        <v>2018</v>
      </c>
      <c r="E1083">
        <v>6</v>
      </c>
      <c r="F1083">
        <v>68</v>
      </c>
      <c r="G1083" t="s">
        <v>15</v>
      </c>
      <c r="H1083" t="s">
        <v>11</v>
      </c>
      <c r="I1083" s="1" t="s">
        <v>16</v>
      </c>
      <c r="J1083">
        <v>0.1653</v>
      </c>
    </row>
    <row r="1084" spans="1:10" hidden="1" x14ac:dyDescent="0.35">
      <c r="A1084" t="str">
        <f t="shared" si="16"/>
        <v>Fronteira dos Vales20182.1</v>
      </c>
      <c r="B1084">
        <v>3127057</v>
      </c>
      <c r="C1084" t="s">
        <v>48</v>
      </c>
      <c r="D1084">
        <v>2018</v>
      </c>
      <c r="E1084">
        <v>6</v>
      </c>
      <c r="F1084">
        <v>28</v>
      </c>
      <c r="G1084" t="s">
        <v>17</v>
      </c>
      <c r="H1084" t="s">
        <v>18</v>
      </c>
      <c r="I1084" s="1" t="s">
        <v>19</v>
      </c>
    </row>
    <row r="1085" spans="1:10" hidden="1" x14ac:dyDescent="0.35">
      <c r="A1085" t="str">
        <f t="shared" si="16"/>
        <v>Fronteira dos Vales20182.2</v>
      </c>
      <c r="B1085">
        <v>3127057</v>
      </c>
      <c r="C1085" t="s">
        <v>48</v>
      </c>
      <c r="D1085">
        <v>2018</v>
      </c>
      <c r="E1085">
        <v>6</v>
      </c>
      <c r="F1085">
        <v>29</v>
      </c>
      <c r="G1085" t="s">
        <v>20</v>
      </c>
      <c r="H1085" t="s">
        <v>18</v>
      </c>
      <c r="I1085" s="1" t="s">
        <v>21</v>
      </c>
      <c r="J1085">
        <v>0.95199999999999996</v>
      </c>
    </row>
    <row r="1086" spans="1:10" hidden="1" x14ac:dyDescent="0.35">
      <c r="A1086" t="str">
        <f t="shared" si="16"/>
        <v>Fronteira dos Vales20182.4</v>
      </c>
      <c r="B1086">
        <v>3127057</v>
      </c>
      <c r="C1086" t="s">
        <v>48</v>
      </c>
      <c r="D1086">
        <v>2018</v>
      </c>
      <c r="E1086">
        <v>6</v>
      </c>
      <c r="F1086">
        <v>31</v>
      </c>
      <c r="G1086" t="s">
        <v>22</v>
      </c>
      <c r="H1086" t="s">
        <v>18</v>
      </c>
      <c r="I1086" s="1" t="s">
        <v>23</v>
      </c>
      <c r="J1086">
        <v>9.9299999999999999E-2</v>
      </c>
    </row>
    <row r="1087" spans="1:10" hidden="1" x14ac:dyDescent="0.35">
      <c r="A1087" t="str">
        <f t="shared" si="16"/>
        <v>Fronteira dos Vales20182.5</v>
      </c>
      <c r="B1087">
        <v>3127057</v>
      </c>
      <c r="C1087" t="s">
        <v>48</v>
      </c>
      <c r="D1087">
        <v>2018</v>
      </c>
      <c r="E1087">
        <v>6</v>
      </c>
      <c r="F1087">
        <v>32</v>
      </c>
      <c r="G1087" t="s">
        <v>24</v>
      </c>
      <c r="H1087" t="s">
        <v>18</v>
      </c>
      <c r="I1087" s="1" t="s">
        <v>25</v>
      </c>
      <c r="J1087">
        <v>0.81430000000000002</v>
      </c>
    </row>
    <row r="1088" spans="1:10" hidden="1" x14ac:dyDescent="0.35">
      <c r="A1088" t="str">
        <f t="shared" si="16"/>
        <v>Fronteira dos Vales20182.8</v>
      </c>
      <c r="B1088">
        <v>3127057</v>
      </c>
      <c r="C1088" t="s">
        <v>48</v>
      </c>
      <c r="D1088">
        <v>2018</v>
      </c>
      <c r="E1088">
        <v>6</v>
      </c>
      <c r="F1088">
        <v>35</v>
      </c>
      <c r="G1088" t="s">
        <v>26</v>
      </c>
      <c r="H1088" t="s">
        <v>18</v>
      </c>
      <c r="I1088" s="1" t="s">
        <v>27</v>
      </c>
      <c r="J1088">
        <v>0.26650000000000001</v>
      </c>
    </row>
    <row r="1089" spans="1:10" hidden="1" x14ac:dyDescent="0.35">
      <c r="A1089" t="str">
        <f t="shared" si="16"/>
        <v>Fronteira dos Vales20184.1</v>
      </c>
      <c r="B1089">
        <v>3127057</v>
      </c>
      <c r="C1089" t="s">
        <v>48</v>
      </c>
      <c r="D1089">
        <v>2018</v>
      </c>
      <c r="E1089">
        <v>6</v>
      </c>
      <c r="F1089">
        <v>44</v>
      </c>
      <c r="G1089" t="s">
        <v>28</v>
      </c>
      <c r="H1089" t="s">
        <v>29</v>
      </c>
      <c r="I1089" s="1" t="s">
        <v>30</v>
      </c>
      <c r="J1089">
        <v>2791.67</v>
      </c>
    </row>
    <row r="1090" spans="1:10" hidden="1" x14ac:dyDescent="0.35">
      <c r="A1090" t="str">
        <f t="shared" si="16"/>
        <v>Fronteira dos Vales20184.10</v>
      </c>
      <c r="B1090">
        <v>3127057</v>
      </c>
      <c r="C1090" t="s">
        <v>48</v>
      </c>
      <c r="D1090">
        <v>2018</v>
      </c>
      <c r="E1090">
        <v>6</v>
      </c>
      <c r="F1090">
        <v>58</v>
      </c>
      <c r="G1090" t="s">
        <v>31</v>
      </c>
      <c r="H1090" t="s">
        <v>29</v>
      </c>
      <c r="I1090" s="1" t="s">
        <v>32</v>
      </c>
      <c r="J1090">
        <v>4514.47</v>
      </c>
    </row>
    <row r="1091" spans="1:10" hidden="1" x14ac:dyDescent="0.35">
      <c r="A1091" t="str">
        <f t="shared" si="16"/>
        <v>Fronteira dos Vales20184.11</v>
      </c>
      <c r="B1091">
        <v>3127057</v>
      </c>
      <c r="C1091" t="s">
        <v>48</v>
      </c>
      <c r="D1091">
        <v>2018</v>
      </c>
      <c r="E1091">
        <v>6</v>
      </c>
      <c r="F1091">
        <v>59</v>
      </c>
      <c r="G1091" t="s">
        <v>33</v>
      </c>
      <c r="H1091" t="s">
        <v>29</v>
      </c>
      <c r="I1091" s="1" t="s">
        <v>34</v>
      </c>
      <c r="J1091">
        <v>2687.73</v>
      </c>
    </row>
    <row r="1092" spans="1:10" hidden="1" x14ac:dyDescent="0.35">
      <c r="A1092" t="str">
        <f t="shared" ref="A1092:A1155" si="17">C1092&amp;D1092&amp;G1092</f>
        <v>Fronteira dos Vales20184.2</v>
      </c>
      <c r="B1092">
        <v>3127057</v>
      </c>
      <c r="C1092" t="s">
        <v>48</v>
      </c>
      <c r="D1092">
        <v>2018</v>
      </c>
      <c r="E1092">
        <v>6</v>
      </c>
      <c r="F1092">
        <v>45</v>
      </c>
      <c r="G1092" t="s">
        <v>35</v>
      </c>
      <c r="H1092" t="s">
        <v>29</v>
      </c>
      <c r="I1092" s="1" t="s">
        <v>36</v>
      </c>
      <c r="J1092">
        <v>8920.59</v>
      </c>
    </row>
    <row r="1093" spans="1:10" hidden="1" x14ac:dyDescent="0.35">
      <c r="A1093" t="str">
        <f t="shared" si="17"/>
        <v>Fronteira dos Vales20184.8</v>
      </c>
      <c r="B1093">
        <v>3127057</v>
      </c>
      <c r="C1093" t="s">
        <v>48</v>
      </c>
      <c r="D1093">
        <v>2018</v>
      </c>
      <c r="E1093">
        <v>6</v>
      </c>
      <c r="F1093">
        <v>56</v>
      </c>
      <c r="G1093" t="s">
        <v>37</v>
      </c>
      <c r="H1093" t="s">
        <v>29</v>
      </c>
      <c r="I1093" s="1" t="s">
        <v>38</v>
      </c>
      <c r="J1093">
        <v>7202.2</v>
      </c>
    </row>
    <row r="1094" spans="1:10" hidden="1" x14ac:dyDescent="0.35">
      <c r="A1094" t="str">
        <f t="shared" si="17"/>
        <v>Fronteira dos Vales20184.9</v>
      </c>
      <c r="B1094">
        <v>3127057</v>
      </c>
      <c r="C1094" t="s">
        <v>48</v>
      </c>
      <c r="D1094">
        <v>2018</v>
      </c>
      <c r="E1094">
        <v>6</v>
      </c>
      <c r="F1094">
        <v>57</v>
      </c>
      <c r="G1094" t="s">
        <v>39</v>
      </c>
      <c r="H1094" t="s">
        <v>29</v>
      </c>
      <c r="I1094" s="1" t="s">
        <v>40</v>
      </c>
      <c r="J1094">
        <v>7202.2</v>
      </c>
    </row>
    <row r="1095" spans="1:10" hidden="1" x14ac:dyDescent="0.35">
      <c r="A1095" t="str">
        <f t="shared" si="17"/>
        <v>Itaipé20181.1</v>
      </c>
      <c r="B1095">
        <v>3132305</v>
      </c>
      <c r="C1095" t="s">
        <v>49</v>
      </c>
      <c r="D1095">
        <v>2018</v>
      </c>
      <c r="E1095">
        <v>6</v>
      </c>
      <c r="F1095">
        <v>24</v>
      </c>
      <c r="G1095" t="s">
        <v>10</v>
      </c>
      <c r="H1095" t="s">
        <v>11</v>
      </c>
      <c r="I1095" s="1" t="s">
        <v>12</v>
      </c>
      <c r="J1095">
        <v>0.251</v>
      </c>
    </row>
    <row r="1096" spans="1:10" hidden="1" x14ac:dyDescent="0.35">
      <c r="A1096" t="str">
        <f t="shared" si="17"/>
        <v>Itaipé20181.2</v>
      </c>
      <c r="B1096">
        <v>3132305</v>
      </c>
      <c r="C1096" t="s">
        <v>49</v>
      </c>
      <c r="D1096">
        <v>2018</v>
      </c>
      <c r="E1096">
        <v>6</v>
      </c>
      <c r="F1096">
        <v>67</v>
      </c>
      <c r="G1096" t="s">
        <v>13</v>
      </c>
      <c r="H1096" t="s">
        <v>11</v>
      </c>
      <c r="I1096" s="1" t="s">
        <v>14</v>
      </c>
      <c r="J1096">
        <v>0.65139999999999998</v>
      </c>
    </row>
    <row r="1097" spans="1:10" hidden="1" x14ac:dyDescent="0.35">
      <c r="A1097" t="str">
        <f t="shared" si="17"/>
        <v>Itaipé20181.3</v>
      </c>
      <c r="B1097">
        <v>3132305</v>
      </c>
      <c r="C1097" t="s">
        <v>49</v>
      </c>
      <c r="D1097">
        <v>2018</v>
      </c>
      <c r="E1097">
        <v>6</v>
      </c>
      <c r="F1097">
        <v>68</v>
      </c>
      <c r="G1097" t="s">
        <v>15</v>
      </c>
      <c r="H1097" t="s">
        <v>11</v>
      </c>
      <c r="I1097" s="1" t="s">
        <v>16</v>
      </c>
      <c r="J1097">
        <v>0.34860000000000002</v>
      </c>
    </row>
    <row r="1098" spans="1:10" hidden="1" x14ac:dyDescent="0.35">
      <c r="A1098" t="str">
        <f t="shared" si="17"/>
        <v>Itaipé20182.1</v>
      </c>
      <c r="B1098">
        <v>3132305</v>
      </c>
      <c r="C1098" t="s">
        <v>49</v>
      </c>
      <c r="D1098">
        <v>2018</v>
      </c>
      <c r="E1098">
        <v>6</v>
      </c>
      <c r="F1098">
        <v>28</v>
      </c>
      <c r="G1098" t="s">
        <v>17</v>
      </c>
      <c r="H1098" t="s">
        <v>18</v>
      </c>
      <c r="I1098" s="1" t="s">
        <v>19</v>
      </c>
    </row>
    <row r="1099" spans="1:10" hidden="1" x14ac:dyDescent="0.35">
      <c r="A1099" t="str">
        <f t="shared" si="17"/>
        <v>Itaipé20182.2</v>
      </c>
      <c r="B1099">
        <v>3132305</v>
      </c>
      <c r="C1099" t="s">
        <v>49</v>
      </c>
      <c r="D1099">
        <v>2018</v>
      </c>
      <c r="E1099">
        <v>6</v>
      </c>
      <c r="F1099">
        <v>29</v>
      </c>
      <c r="G1099" t="s">
        <v>20</v>
      </c>
      <c r="H1099" t="s">
        <v>18</v>
      </c>
      <c r="I1099" s="1" t="s">
        <v>21</v>
      </c>
      <c r="J1099">
        <v>0.77470000000000006</v>
      </c>
    </row>
    <row r="1100" spans="1:10" hidden="1" x14ac:dyDescent="0.35">
      <c r="A1100" t="str">
        <f t="shared" si="17"/>
        <v>Itaipé20182.4</v>
      </c>
      <c r="B1100">
        <v>3132305</v>
      </c>
      <c r="C1100" t="s">
        <v>49</v>
      </c>
      <c r="D1100">
        <v>2018</v>
      </c>
      <c r="E1100">
        <v>6</v>
      </c>
      <c r="F1100">
        <v>31</v>
      </c>
      <c r="G1100" t="s">
        <v>22</v>
      </c>
      <c r="H1100" t="s">
        <v>18</v>
      </c>
      <c r="I1100" s="1" t="s">
        <v>23</v>
      </c>
      <c r="J1100">
        <v>9.9000000000000005E-2</v>
      </c>
    </row>
    <row r="1101" spans="1:10" hidden="1" x14ac:dyDescent="0.35">
      <c r="A1101" t="str">
        <f t="shared" si="17"/>
        <v>Itaipé20182.5</v>
      </c>
      <c r="B1101">
        <v>3132305</v>
      </c>
      <c r="C1101" t="s">
        <v>49</v>
      </c>
      <c r="D1101">
        <v>2018</v>
      </c>
      <c r="E1101">
        <v>6</v>
      </c>
      <c r="F1101">
        <v>32</v>
      </c>
      <c r="G1101" t="s">
        <v>24</v>
      </c>
      <c r="H1101" t="s">
        <v>18</v>
      </c>
      <c r="I1101" s="1" t="s">
        <v>25</v>
      </c>
      <c r="J1101">
        <v>0.73429999999999995</v>
      </c>
    </row>
    <row r="1102" spans="1:10" hidden="1" x14ac:dyDescent="0.35">
      <c r="A1102" t="str">
        <f t="shared" si="17"/>
        <v>Itaipé20182.8</v>
      </c>
      <c r="B1102">
        <v>3132305</v>
      </c>
      <c r="C1102" t="s">
        <v>49</v>
      </c>
      <c r="D1102">
        <v>2018</v>
      </c>
      <c r="E1102">
        <v>6</v>
      </c>
      <c r="F1102">
        <v>35</v>
      </c>
      <c r="G1102" t="s">
        <v>26</v>
      </c>
      <c r="H1102" t="s">
        <v>18</v>
      </c>
      <c r="I1102" s="1" t="s">
        <v>27</v>
      </c>
      <c r="J1102">
        <v>0.32300000000000001</v>
      </c>
    </row>
    <row r="1103" spans="1:10" hidden="1" x14ac:dyDescent="0.35">
      <c r="A1103" t="str">
        <f t="shared" si="17"/>
        <v>Itaipé20184.1</v>
      </c>
      <c r="B1103">
        <v>3132305</v>
      </c>
      <c r="C1103" t="s">
        <v>49</v>
      </c>
      <c r="D1103">
        <v>2018</v>
      </c>
      <c r="E1103">
        <v>6</v>
      </c>
      <c r="F1103">
        <v>44</v>
      </c>
      <c r="G1103" t="s">
        <v>28</v>
      </c>
      <c r="H1103" t="s">
        <v>29</v>
      </c>
      <c r="I1103" s="1" t="s">
        <v>30</v>
      </c>
      <c r="J1103">
        <v>2108.44</v>
      </c>
    </row>
    <row r="1104" spans="1:10" hidden="1" x14ac:dyDescent="0.35">
      <c r="A1104" t="str">
        <f t="shared" si="17"/>
        <v>Itaipé20184.10</v>
      </c>
      <c r="B1104">
        <v>3132305</v>
      </c>
      <c r="C1104" t="s">
        <v>49</v>
      </c>
      <c r="D1104">
        <v>2018</v>
      </c>
      <c r="E1104">
        <v>6</v>
      </c>
      <c r="F1104">
        <v>58</v>
      </c>
      <c r="G1104" t="s">
        <v>31</v>
      </c>
      <c r="H1104" t="s">
        <v>29</v>
      </c>
      <c r="I1104" s="1" t="s">
        <v>32</v>
      </c>
      <c r="J1104">
        <v>3854.43</v>
      </c>
    </row>
    <row r="1105" spans="1:10" hidden="1" x14ac:dyDescent="0.35">
      <c r="A1105" t="str">
        <f t="shared" si="17"/>
        <v>Itaipé20184.11</v>
      </c>
      <c r="B1105">
        <v>3132305</v>
      </c>
      <c r="C1105" t="s">
        <v>49</v>
      </c>
      <c r="D1105">
        <v>2018</v>
      </c>
      <c r="E1105">
        <v>6</v>
      </c>
      <c r="F1105">
        <v>59</v>
      </c>
      <c r="G1105" t="s">
        <v>33</v>
      </c>
      <c r="H1105" t="s">
        <v>29</v>
      </c>
      <c r="I1105" s="1" t="s">
        <v>34</v>
      </c>
      <c r="J1105">
        <v>868.59</v>
      </c>
    </row>
    <row r="1106" spans="1:10" hidden="1" x14ac:dyDescent="0.35">
      <c r="A1106" t="str">
        <f t="shared" si="17"/>
        <v>Itaipé20184.2</v>
      </c>
      <c r="B1106">
        <v>3132305</v>
      </c>
      <c r="C1106" t="s">
        <v>49</v>
      </c>
      <c r="D1106">
        <v>2018</v>
      </c>
      <c r="E1106">
        <v>6</v>
      </c>
      <c r="F1106">
        <v>45</v>
      </c>
      <c r="G1106" t="s">
        <v>35</v>
      </c>
      <c r="H1106" t="s">
        <v>29</v>
      </c>
      <c r="I1106" s="1" t="s">
        <v>36</v>
      </c>
      <c r="J1106">
        <v>6010.41</v>
      </c>
    </row>
    <row r="1107" spans="1:10" hidden="1" x14ac:dyDescent="0.35">
      <c r="A1107" t="str">
        <f t="shared" si="17"/>
        <v>Itaipé20184.8</v>
      </c>
      <c r="B1107">
        <v>3132305</v>
      </c>
      <c r="C1107" t="s">
        <v>49</v>
      </c>
      <c r="D1107">
        <v>2018</v>
      </c>
      <c r="E1107">
        <v>6</v>
      </c>
      <c r="F1107">
        <v>56</v>
      </c>
      <c r="G1107" t="s">
        <v>37</v>
      </c>
      <c r="H1107" t="s">
        <v>29</v>
      </c>
      <c r="I1107" s="1" t="s">
        <v>38</v>
      </c>
      <c r="J1107">
        <v>4723.0200000000004</v>
      </c>
    </row>
    <row r="1108" spans="1:10" hidden="1" x14ac:dyDescent="0.35">
      <c r="A1108" t="str">
        <f t="shared" si="17"/>
        <v>Itaipé20184.9</v>
      </c>
      <c r="B1108">
        <v>3132305</v>
      </c>
      <c r="C1108" t="s">
        <v>49</v>
      </c>
      <c r="D1108">
        <v>2018</v>
      </c>
      <c r="E1108">
        <v>6</v>
      </c>
      <c r="F1108">
        <v>57</v>
      </c>
      <c r="G1108" t="s">
        <v>39</v>
      </c>
      <c r="H1108" t="s">
        <v>29</v>
      </c>
      <c r="I1108" s="1" t="s">
        <v>40</v>
      </c>
      <c r="J1108">
        <v>4723.0200000000004</v>
      </c>
    </row>
    <row r="1109" spans="1:10" hidden="1" x14ac:dyDescent="0.35">
      <c r="A1109" t="str">
        <f t="shared" si="17"/>
        <v>Ladainha20181.1</v>
      </c>
      <c r="B1109">
        <v>3137007</v>
      </c>
      <c r="C1109" t="s">
        <v>50</v>
      </c>
      <c r="D1109">
        <v>2018</v>
      </c>
      <c r="E1109">
        <v>6</v>
      </c>
      <c r="F1109">
        <v>24</v>
      </c>
      <c r="G1109" t="s">
        <v>10</v>
      </c>
      <c r="H1109" t="s">
        <v>11</v>
      </c>
      <c r="I1109" s="1" t="s">
        <v>12</v>
      </c>
      <c r="J1109">
        <v>0.27789999999999998</v>
      </c>
    </row>
    <row r="1110" spans="1:10" hidden="1" x14ac:dyDescent="0.35">
      <c r="A1110" t="str">
        <f t="shared" si="17"/>
        <v>Ladainha20181.2</v>
      </c>
      <c r="B1110">
        <v>3137007</v>
      </c>
      <c r="C1110" t="s">
        <v>50</v>
      </c>
      <c r="D1110">
        <v>2018</v>
      </c>
      <c r="E1110">
        <v>6</v>
      </c>
      <c r="F1110">
        <v>67</v>
      </c>
      <c r="G1110" t="s">
        <v>13</v>
      </c>
      <c r="H1110" t="s">
        <v>11</v>
      </c>
      <c r="I1110" s="1" t="s">
        <v>14</v>
      </c>
      <c r="J1110">
        <v>0.74419999999999997</v>
      </c>
    </row>
    <row r="1111" spans="1:10" hidden="1" x14ac:dyDescent="0.35">
      <c r="A1111" t="str">
        <f t="shared" si="17"/>
        <v>Ladainha20181.3</v>
      </c>
      <c r="B1111">
        <v>3137007</v>
      </c>
      <c r="C1111" t="s">
        <v>50</v>
      </c>
      <c r="D1111">
        <v>2018</v>
      </c>
      <c r="E1111">
        <v>6</v>
      </c>
      <c r="F1111">
        <v>68</v>
      </c>
      <c r="G1111" t="s">
        <v>15</v>
      </c>
      <c r="H1111" t="s">
        <v>11</v>
      </c>
      <c r="I1111" s="1" t="s">
        <v>16</v>
      </c>
      <c r="J1111">
        <v>0.25580000000000003</v>
      </c>
    </row>
    <row r="1112" spans="1:10" hidden="1" x14ac:dyDescent="0.35">
      <c r="A1112" t="str">
        <f t="shared" si="17"/>
        <v>Ladainha20182.1</v>
      </c>
      <c r="B1112">
        <v>3137007</v>
      </c>
      <c r="C1112" t="s">
        <v>50</v>
      </c>
      <c r="D1112">
        <v>2018</v>
      </c>
      <c r="E1112">
        <v>6</v>
      </c>
      <c r="F1112">
        <v>28</v>
      </c>
      <c r="G1112" t="s">
        <v>17</v>
      </c>
      <c r="H1112" t="s">
        <v>18</v>
      </c>
      <c r="I1112" s="1" t="s">
        <v>19</v>
      </c>
    </row>
    <row r="1113" spans="1:10" hidden="1" x14ac:dyDescent="0.35">
      <c r="A1113" t="str">
        <f t="shared" si="17"/>
        <v>Ladainha20182.2</v>
      </c>
      <c r="B1113">
        <v>3137007</v>
      </c>
      <c r="C1113" t="s">
        <v>50</v>
      </c>
      <c r="D1113">
        <v>2018</v>
      </c>
      <c r="E1113">
        <v>6</v>
      </c>
      <c r="F1113">
        <v>29</v>
      </c>
      <c r="G1113" t="s">
        <v>20</v>
      </c>
      <c r="H1113" t="s">
        <v>18</v>
      </c>
      <c r="I1113" s="1" t="s">
        <v>21</v>
      </c>
      <c r="J1113">
        <v>0.76280000000000003</v>
      </c>
    </row>
    <row r="1114" spans="1:10" hidden="1" x14ac:dyDescent="0.35">
      <c r="A1114" t="str">
        <f t="shared" si="17"/>
        <v>Ladainha20182.4</v>
      </c>
      <c r="B1114">
        <v>3137007</v>
      </c>
      <c r="C1114" t="s">
        <v>50</v>
      </c>
      <c r="D1114">
        <v>2018</v>
      </c>
      <c r="E1114">
        <v>6</v>
      </c>
      <c r="F1114">
        <v>31</v>
      </c>
      <c r="G1114" t="s">
        <v>22</v>
      </c>
      <c r="H1114" t="s">
        <v>18</v>
      </c>
      <c r="I1114" s="1" t="s">
        <v>23</v>
      </c>
      <c r="J1114">
        <v>0.18840000000000001</v>
      </c>
    </row>
    <row r="1115" spans="1:10" hidden="1" x14ac:dyDescent="0.35">
      <c r="A1115" t="str">
        <f t="shared" si="17"/>
        <v>Ladainha20182.5</v>
      </c>
      <c r="B1115">
        <v>3137007</v>
      </c>
      <c r="C1115" t="s">
        <v>50</v>
      </c>
      <c r="D1115">
        <v>2018</v>
      </c>
      <c r="E1115">
        <v>6</v>
      </c>
      <c r="F1115">
        <v>32</v>
      </c>
      <c r="G1115" t="s">
        <v>24</v>
      </c>
      <c r="H1115" t="s">
        <v>18</v>
      </c>
      <c r="I1115" s="1" t="s">
        <v>25</v>
      </c>
      <c r="J1115">
        <v>0.50270000000000004</v>
      </c>
    </row>
    <row r="1116" spans="1:10" hidden="1" x14ac:dyDescent="0.35">
      <c r="A1116" t="str">
        <f t="shared" si="17"/>
        <v>Ladainha20182.8</v>
      </c>
      <c r="B1116">
        <v>3137007</v>
      </c>
      <c r="C1116" t="s">
        <v>50</v>
      </c>
      <c r="D1116">
        <v>2018</v>
      </c>
      <c r="E1116">
        <v>6</v>
      </c>
      <c r="F1116">
        <v>35</v>
      </c>
      <c r="G1116" t="s">
        <v>26</v>
      </c>
      <c r="H1116" t="s">
        <v>18</v>
      </c>
      <c r="I1116" s="1" t="s">
        <v>27</v>
      </c>
      <c r="J1116">
        <v>0.24679999999999999</v>
      </c>
    </row>
    <row r="1117" spans="1:10" hidden="1" x14ac:dyDescent="0.35">
      <c r="A1117" t="str">
        <f t="shared" si="17"/>
        <v>Ladainha20184.1</v>
      </c>
      <c r="B1117">
        <v>3137007</v>
      </c>
      <c r="C1117" t="s">
        <v>50</v>
      </c>
      <c r="D1117">
        <v>2018</v>
      </c>
      <c r="E1117">
        <v>6</v>
      </c>
      <c r="F1117">
        <v>44</v>
      </c>
      <c r="G1117" t="s">
        <v>28</v>
      </c>
      <c r="H1117" t="s">
        <v>29</v>
      </c>
      <c r="I1117" s="1" t="s">
        <v>30</v>
      </c>
      <c r="J1117">
        <v>3557.11</v>
      </c>
    </row>
    <row r="1118" spans="1:10" hidden="1" x14ac:dyDescent="0.35">
      <c r="A1118" t="str">
        <f t="shared" si="17"/>
        <v>Ladainha20184.10</v>
      </c>
      <c r="B1118">
        <v>3137007</v>
      </c>
      <c r="C1118" t="s">
        <v>50</v>
      </c>
      <c r="D1118">
        <v>2018</v>
      </c>
      <c r="E1118">
        <v>6</v>
      </c>
      <c r="F1118">
        <v>58</v>
      </c>
      <c r="G1118" t="s">
        <v>31</v>
      </c>
      <c r="H1118" t="s">
        <v>29</v>
      </c>
      <c r="I1118" s="1" t="s">
        <v>32</v>
      </c>
      <c r="J1118">
        <v>3049.81</v>
      </c>
    </row>
    <row r="1119" spans="1:10" hidden="1" x14ac:dyDescent="0.35">
      <c r="A1119" t="str">
        <f t="shared" si="17"/>
        <v>Ladainha20184.11</v>
      </c>
      <c r="B1119">
        <v>3137007</v>
      </c>
      <c r="C1119" t="s">
        <v>50</v>
      </c>
      <c r="D1119">
        <v>2018</v>
      </c>
      <c r="E1119">
        <v>6</v>
      </c>
      <c r="F1119">
        <v>59</v>
      </c>
      <c r="G1119" t="s">
        <v>33</v>
      </c>
      <c r="H1119" t="s">
        <v>29</v>
      </c>
      <c r="I1119" s="1" t="s">
        <v>34</v>
      </c>
      <c r="J1119">
        <v>1354.03</v>
      </c>
    </row>
    <row r="1120" spans="1:10" hidden="1" x14ac:dyDescent="0.35">
      <c r="A1120" t="str">
        <f t="shared" si="17"/>
        <v>Ladainha20184.2</v>
      </c>
      <c r="B1120">
        <v>3137007</v>
      </c>
      <c r="C1120" t="s">
        <v>50</v>
      </c>
      <c r="D1120">
        <v>2018</v>
      </c>
      <c r="E1120">
        <v>6</v>
      </c>
      <c r="F1120">
        <v>45</v>
      </c>
      <c r="G1120" t="s">
        <v>35</v>
      </c>
      <c r="H1120" t="s">
        <v>29</v>
      </c>
      <c r="I1120" s="1" t="s">
        <v>36</v>
      </c>
      <c r="J1120">
        <v>5042.0200000000004</v>
      </c>
    </row>
    <row r="1121" spans="1:10" hidden="1" x14ac:dyDescent="0.35">
      <c r="A1121" t="str">
        <f t="shared" si="17"/>
        <v>Ladainha20184.8</v>
      </c>
      <c r="B1121">
        <v>3137007</v>
      </c>
      <c r="C1121" t="s">
        <v>50</v>
      </c>
      <c r="D1121">
        <v>2018</v>
      </c>
      <c r="E1121">
        <v>6</v>
      </c>
      <c r="F1121">
        <v>56</v>
      </c>
      <c r="G1121" t="s">
        <v>37</v>
      </c>
      <c r="H1121" t="s">
        <v>29</v>
      </c>
      <c r="I1121" s="1" t="s">
        <v>38</v>
      </c>
      <c r="J1121">
        <v>4523.8900000000003</v>
      </c>
    </row>
    <row r="1122" spans="1:10" hidden="1" x14ac:dyDescent="0.35">
      <c r="A1122" t="str">
        <f t="shared" si="17"/>
        <v>Ladainha20184.9</v>
      </c>
      <c r="B1122">
        <v>3137007</v>
      </c>
      <c r="C1122" t="s">
        <v>50</v>
      </c>
      <c r="D1122">
        <v>2018</v>
      </c>
      <c r="E1122">
        <v>6</v>
      </c>
      <c r="F1122">
        <v>57</v>
      </c>
      <c r="G1122" t="s">
        <v>39</v>
      </c>
      <c r="H1122" t="s">
        <v>29</v>
      </c>
      <c r="I1122" s="1" t="s">
        <v>40</v>
      </c>
      <c r="J1122">
        <v>4523.8900000000003</v>
      </c>
    </row>
    <row r="1123" spans="1:10" hidden="1" x14ac:dyDescent="0.35">
      <c r="A1123" t="str">
        <f t="shared" si="17"/>
        <v>Machacalis20181.1</v>
      </c>
      <c r="B1123">
        <v>3138906</v>
      </c>
      <c r="C1123" t="s">
        <v>51</v>
      </c>
      <c r="D1123">
        <v>2018</v>
      </c>
      <c r="E1123">
        <v>6</v>
      </c>
      <c r="F1123">
        <v>24</v>
      </c>
      <c r="G1123" t="s">
        <v>10</v>
      </c>
      <c r="H1123" t="s">
        <v>11</v>
      </c>
      <c r="I1123" s="1" t="s">
        <v>12</v>
      </c>
      <c r="J1123">
        <v>0.29349999999999998</v>
      </c>
    </row>
    <row r="1124" spans="1:10" hidden="1" x14ac:dyDescent="0.35">
      <c r="A1124" t="str">
        <f t="shared" si="17"/>
        <v>Machacalis20181.2</v>
      </c>
      <c r="B1124">
        <v>3138906</v>
      </c>
      <c r="C1124" t="s">
        <v>51</v>
      </c>
      <c r="D1124">
        <v>2018</v>
      </c>
      <c r="E1124">
        <v>6</v>
      </c>
      <c r="F1124">
        <v>67</v>
      </c>
      <c r="G1124" t="s">
        <v>13</v>
      </c>
      <c r="H1124" t="s">
        <v>11</v>
      </c>
      <c r="I1124" s="1" t="s">
        <v>14</v>
      </c>
      <c r="J1124">
        <v>0.68030000000000002</v>
      </c>
    </row>
    <row r="1125" spans="1:10" hidden="1" x14ac:dyDescent="0.35">
      <c r="A1125" t="str">
        <f t="shared" si="17"/>
        <v>Machacalis20181.3</v>
      </c>
      <c r="B1125">
        <v>3138906</v>
      </c>
      <c r="C1125" t="s">
        <v>51</v>
      </c>
      <c r="D1125">
        <v>2018</v>
      </c>
      <c r="E1125">
        <v>6</v>
      </c>
      <c r="F1125">
        <v>68</v>
      </c>
      <c r="G1125" t="s">
        <v>15</v>
      </c>
      <c r="H1125" t="s">
        <v>11</v>
      </c>
      <c r="I1125" s="1" t="s">
        <v>16</v>
      </c>
      <c r="J1125">
        <v>0.31969999999999998</v>
      </c>
    </row>
    <row r="1126" spans="1:10" hidden="1" x14ac:dyDescent="0.35">
      <c r="A1126" t="str">
        <f t="shared" si="17"/>
        <v>Machacalis20182.1</v>
      </c>
      <c r="B1126">
        <v>3138906</v>
      </c>
      <c r="C1126" t="s">
        <v>51</v>
      </c>
      <c r="D1126">
        <v>2018</v>
      </c>
      <c r="E1126">
        <v>6</v>
      </c>
      <c r="F1126">
        <v>28</v>
      </c>
      <c r="G1126" t="s">
        <v>17</v>
      </c>
      <c r="H1126" t="s">
        <v>18</v>
      </c>
      <c r="I1126" s="1" t="s">
        <v>19</v>
      </c>
    </row>
    <row r="1127" spans="1:10" hidden="1" x14ac:dyDescent="0.35">
      <c r="A1127" t="str">
        <f t="shared" si="17"/>
        <v>Machacalis20182.2</v>
      </c>
      <c r="B1127">
        <v>3138906</v>
      </c>
      <c r="C1127" t="s">
        <v>51</v>
      </c>
      <c r="D1127">
        <v>2018</v>
      </c>
      <c r="E1127">
        <v>6</v>
      </c>
      <c r="F1127">
        <v>29</v>
      </c>
      <c r="G1127" t="s">
        <v>20</v>
      </c>
      <c r="H1127" t="s">
        <v>18</v>
      </c>
      <c r="I1127" s="1" t="s">
        <v>21</v>
      </c>
      <c r="J1127">
        <v>0.80549999999999999</v>
      </c>
    </row>
    <row r="1128" spans="1:10" hidden="1" x14ac:dyDescent="0.35">
      <c r="A1128" t="str">
        <f t="shared" si="17"/>
        <v>Machacalis20182.4</v>
      </c>
      <c r="B1128">
        <v>3138906</v>
      </c>
      <c r="C1128" t="s">
        <v>51</v>
      </c>
      <c r="D1128">
        <v>2018</v>
      </c>
      <c r="E1128">
        <v>6</v>
      </c>
      <c r="F1128">
        <v>31</v>
      </c>
      <c r="G1128" t="s">
        <v>22</v>
      </c>
      <c r="H1128" t="s">
        <v>18</v>
      </c>
      <c r="I1128" s="1" t="s">
        <v>23</v>
      </c>
      <c r="J1128">
        <v>0.14849999999999999</v>
      </c>
    </row>
    <row r="1129" spans="1:10" hidden="1" x14ac:dyDescent="0.35">
      <c r="A1129" t="str">
        <f t="shared" si="17"/>
        <v>Machacalis20182.5</v>
      </c>
      <c r="B1129">
        <v>3138906</v>
      </c>
      <c r="C1129" t="s">
        <v>51</v>
      </c>
      <c r="D1129">
        <v>2018</v>
      </c>
      <c r="E1129">
        <v>6</v>
      </c>
      <c r="F1129">
        <v>32</v>
      </c>
      <c r="G1129" t="s">
        <v>24</v>
      </c>
      <c r="H1129" t="s">
        <v>18</v>
      </c>
      <c r="I1129" s="1" t="s">
        <v>25</v>
      </c>
      <c r="J1129">
        <v>0.73899999999999999</v>
      </c>
    </row>
    <row r="1130" spans="1:10" hidden="1" x14ac:dyDescent="0.35">
      <c r="A1130" t="str">
        <f t="shared" si="17"/>
        <v>Machacalis20182.8</v>
      </c>
      <c r="B1130">
        <v>3138906</v>
      </c>
      <c r="C1130" t="s">
        <v>51</v>
      </c>
      <c r="D1130">
        <v>2018</v>
      </c>
      <c r="E1130">
        <v>6</v>
      </c>
      <c r="F1130">
        <v>35</v>
      </c>
      <c r="G1130" t="s">
        <v>26</v>
      </c>
      <c r="H1130" t="s">
        <v>18</v>
      </c>
      <c r="I1130" s="1" t="s">
        <v>27</v>
      </c>
      <c r="J1130">
        <v>0.2006</v>
      </c>
    </row>
    <row r="1131" spans="1:10" hidden="1" x14ac:dyDescent="0.35">
      <c r="A1131" t="str">
        <f t="shared" si="17"/>
        <v>Machacalis20184.1</v>
      </c>
      <c r="B1131">
        <v>3138906</v>
      </c>
      <c r="C1131" t="s">
        <v>51</v>
      </c>
      <c r="D1131">
        <v>2018</v>
      </c>
      <c r="E1131">
        <v>6</v>
      </c>
      <c r="F1131">
        <v>44</v>
      </c>
      <c r="G1131" t="s">
        <v>28</v>
      </c>
      <c r="H1131" t="s">
        <v>29</v>
      </c>
      <c r="I1131" s="1" t="s">
        <v>30</v>
      </c>
      <c r="J1131">
        <v>2173.41</v>
      </c>
    </row>
    <row r="1132" spans="1:10" hidden="1" x14ac:dyDescent="0.35">
      <c r="A1132" t="str">
        <f t="shared" si="17"/>
        <v>Machacalis20184.10</v>
      </c>
      <c r="B1132">
        <v>3138906</v>
      </c>
      <c r="C1132" t="s">
        <v>51</v>
      </c>
      <c r="D1132">
        <v>2018</v>
      </c>
      <c r="E1132">
        <v>6</v>
      </c>
      <c r="F1132">
        <v>58</v>
      </c>
      <c r="G1132" t="s">
        <v>31</v>
      </c>
      <c r="H1132" t="s">
        <v>29</v>
      </c>
      <c r="I1132" s="1" t="s">
        <v>32</v>
      </c>
      <c r="J1132">
        <v>4461.05</v>
      </c>
    </row>
    <row r="1133" spans="1:10" hidden="1" x14ac:dyDescent="0.35">
      <c r="A1133" t="str">
        <f t="shared" si="17"/>
        <v>Machacalis20184.11</v>
      </c>
      <c r="B1133">
        <v>3138906</v>
      </c>
      <c r="C1133" t="s">
        <v>51</v>
      </c>
      <c r="D1133">
        <v>2018</v>
      </c>
      <c r="E1133">
        <v>6</v>
      </c>
      <c r="F1133">
        <v>59</v>
      </c>
      <c r="G1133" t="s">
        <v>33</v>
      </c>
      <c r="H1133" t="s">
        <v>29</v>
      </c>
      <c r="I1133" s="1" t="s">
        <v>34</v>
      </c>
      <c r="J1133">
        <v>798.93</v>
      </c>
    </row>
    <row r="1134" spans="1:10" hidden="1" x14ac:dyDescent="0.35">
      <c r="A1134" t="str">
        <f t="shared" si="17"/>
        <v>Machacalis20184.2</v>
      </c>
      <c r="B1134">
        <v>3138906</v>
      </c>
      <c r="C1134" t="s">
        <v>51</v>
      </c>
      <c r="D1134">
        <v>2018</v>
      </c>
      <c r="E1134">
        <v>6</v>
      </c>
      <c r="F1134">
        <v>45</v>
      </c>
      <c r="G1134" t="s">
        <v>35</v>
      </c>
      <c r="H1134" t="s">
        <v>29</v>
      </c>
      <c r="I1134" s="1" t="s">
        <v>36</v>
      </c>
      <c r="J1134">
        <v>7360.24</v>
      </c>
    </row>
    <row r="1135" spans="1:10" hidden="1" x14ac:dyDescent="0.35">
      <c r="A1135" t="str">
        <f t="shared" si="17"/>
        <v>Machacalis20184.8</v>
      </c>
      <c r="B1135">
        <v>3138906</v>
      </c>
      <c r="C1135" t="s">
        <v>51</v>
      </c>
      <c r="D1135">
        <v>2018</v>
      </c>
      <c r="E1135">
        <v>6</v>
      </c>
      <c r="F1135">
        <v>56</v>
      </c>
      <c r="G1135" t="s">
        <v>37</v>
      </c>
      <c r="H1135" t="s">
        <v>29</v>
      </c>
      <c r="I1135" s="1" t="s">
        <v>38</v>
      </c>
      <c r="J1135">
        <v>5259.98</v>
      </c>
    </row>
    <row r="1136" spans="1:10" hidden="1" x14ac:dyDescent="0.35">
      <c r="A1136" t="str">
        <f t="shared" si="17"/>
        <v>Machacalis20184.9</v>
      </c>
      <c r="B1136">
        <v>3138906</v>
      </c>
      <c r="C1136" t="s">
        <v>51</v>
      </c>
      <c r="D1136">
        <v>2018</v>
      </c>
      <c r="E1136">
        <v>6</v>
      </c>
      <c r="F1136">
        <v>57</v>
      </c>
      <c r="G1136" t="s">
        <v>39</v>
      </c>
      <c r="H1136" t="s">
        <v>29</v>
      </c>
      <c r="I1136" s="1" t="s">
        <v>40</v>
      </c>
      <c r="J1136">
        <v>5259.98</v>
      </c>
    </row>
    <row r="1137" spans="1:10" hidden="1" x14ac:dyDescent="0.35">
      <c r="A1137" t="str">
        <f t="shared" si="17"/>
        <v>Malacacheta20181.1</v>
      </c>
      <c r="B1137">
        <v>3139201</v>
      </c>
      <c r="C1137" t="s">
        <v>52</v>
      </c>
      <c r="D1137">
        <v>2018</v>
      </c>
      <c r="E1137">
        <v>6</v>
      </c>
      <c r="F1137">
        <v>24</v>
      </c>
      <c r="G1137" t="s">
        <v>10</v>
      </c>
      <c r="H1137" t="s">
        <v>11</v>
      </c>
      <c r="I1137" s="1" t="s">
        <v>12</v>
      </c>
      <c r="J1137">
        <v>0.26219999999999999</v>
      </c>
    </row>
    <row r="1138" spans="1:10" hidden="1" x14ac:dyDescent="0.35">
      <c r="A1138" t="str">
        <f t="shared" si="17"/>
        <v>Malacacheta20181.2</v>
      </c>
      <c r="B1138">
        <v>3139201</v>
      </c>
      <c r="C1138" t="s">
        <v>52</v>
      </c>
      <c r="D1138">
        <v>2018</v>
      </c>
      <c r="E1138">
        <v>6</v>
      </c>
      <c r="F1138">
        <v>67</v>
      </c>
      <c r="G1138" t="s">
        <v>13</v>
      </c>
      <c r="H1138" t="s">
        <v>11</v>
      </c>
      <c r="I1138" s="1" t="s">
        <v>14</v>
      </c>
      <c r="J1138">
        <v>0.78310000000000002</v>
      </c>
    </row>
    <row r="1139" spans="1:10" hidden="1" x14ac:dyDescent="0.35">
      <c r="A1139" t="str">
        <f t="shared" si="17"/>
        <v>Malacacheta20181.3</v>
      </c>
      <c r="B1139">
        <v>3139201</v>
      </c>
      <c r="C1139" t="s">
        <v>52</v>
      </c>
      <c r="D1139">
        <v>2018</v>
      </c>
      <c r="E1139">
        <v>6</v>
      </c>
      <c r="F1139">
        <v>68</v>
      </c>
      <c r="G1139" t="s">
        <v>15</v>
      </c>
      <c r="H1139" t="s">
        <v>11</v>
      </c>
      <c r="I1139" s="1" t="s">
        <v>16</v>
      </c>
      <c r="J1139">
        <v>0.21690000000000001</v>
      </c>
    </row>
    <row r="1140" spans="1:10" hidden="1" x14ac:dyDescent="0.35">
      <c r="A1140" t="str">
        <f t="shared" si="17"/>
        <v>Malacacheta20182.1</v>
      </c>
      <c r="B1140">
        <v>3139201</v>
      </c>
      <c r="C1140" t="s">
        <v>52</v>
      </c>
      <c r="D1140">
        <v>2018</v>
      </c>
      <c r="E1140">
        <v>6</v>
      </c>
      <c r="F1140">
        <v>28</v>
      </c>
      <c r="G1140" t="s">
        <v>17</v>
      </c>
      <c r="H1140" t="s">
        <v>18</v>
      </c>
      <c r="I1140" s="1" t="s">
        <v>19</v>
      </c>
    </row>
    <row r="1141" spans="1:10" hidden="1" x14ac:dyDescent="0.35">
      <c r="A1141" t="str">
        <f t="shared" si="17"/>
        <v>Malacacheta20182.2</v>
      </c>
      <c r="B1141">
        <v>3139201</v>
      </c>
      <c r="C1141" t="s">
        <v>52</v>
      </c>
      <c r="D1141">
        <v>2018</v>
      </c>
      <c r="E1141">
        <v>6</v>
      </c>
      <c r="F1141">
        <v>29</v>
      </c>
      <c r="G1141" t="s">
        <v>20</v>
      </c>
      <c r="H1141" t="s">
        <v>18</v>
      </c>
      <c r="I1141" s="1" t="s">
        <v>21</v>
      </c>
      <c r="J1141">
        <v>0.57399999999999995</v>
      </c>
    </row>
    <row r="1142" spans="1:10" hidden="1" x14ac:dyDescent="0.35">
      <c r="A1142" t="str">
        <f t="shared" si="17"/>
        <v>Malacacheta20182.4</v>
      </c>
      <c r="B1142">
        <v>3139201</v>
      </c>
      <c r="C1142" t="s">
        <v>52</v>
      </c>
      <c r="D1142">
        <v>2018</v>
      </c>
      <c r="E1142">
        <v>6</v>
      </c>
      <c r="F1142">
        <v>31</v>
      </c>
      <c r="G1142" t="s">
        <v>22</v>
      </c>
      <c r="H1142" t="s">
        <v>18</v>
      </c>
      <c r="I1142" s="1" t="s">
        <v>23</v>
      </c>
      <c r="J1142">
        <v>0.2109</v>
      </c>
    </row>
    <row r="1143" spans="1:10" hidden="1" x14ac:dyDescent="0.35">
      <c r="A1143" t="str">
        <f t="shared" si="17"/>
        <v>Malacacheta20182.5</v>
      </c>
      <c r="B1143">
        <v>3139201</v>
      </c>
      <c r="C1143" t="s">
        <v>52</v>
      </c>
      <c r="D1143">
        <v>2018</v>
      </c>
      <c r="E1143">
        <v>6</v>
      </c>
      <c r="F1143">
        <v>32</v>
      </c>
      <c r="G1143" t="s">
        <v>24</v>
      </c>
      <c r="H1143" t="s">
        <v>18</v>
      </c>
      <c r="I1143" s="1" t="s">
        <v>25</v>
      </c>
      <c r="J1143">
        <v>0.43980000000000002</v>
      </c>
    </row>
    <row r="1144" spans="1:10" hidden="1" x14ac:dyDescent="0.35">
      <c r="A1144" t="str">
        <f t="shared" si="17"/>
        <v>Malacacheta20182.8</v>
      </c>
      <c r="B1144">
        <v>3139201</v>
      </c>
      <c r="C1144" t="s">
        <v>52</v>
      </c>
      <c r="D1144">
        <v>2018</v>
      </c>
      <c r="E1144">
        <v>6</v>
      </c>
      <c r="F1144">
        <v>35</v>
      </c>
      <c r="G1144" t="s">
        <v>26</v>
      </c>
      <c r="H1144" t="s">
        <v>18</v>
      </c>
      <c r="I1144" s="1" t="s">
        <v>27</v>
      </c>
      <c r="J1144">
        <v>0.2833</v>
      </c>
    </row>
    <row r="1145" spans="1:10" hidden="1" x14ac:dyDescent="0.35">
      <c r="A1145" t="str">
        <f t="shared" si="17"/>
        <v>Malacacheta20184.1</v>
      </c>
      <c r="B1145">
        <v>3139201</v>
      </c>
      <c r="C1145" t="s">
        <v>52</v>
      </c>
      <c r="D1145">
        <v>2018</v>
      </c>
      <c r="E1145">
        <v>6</v>
      </c>
      <c r="F1145">
        <v>44</v>
      </c>
      <c r="G1145" t="s">
        <v>28</v>
      </c>
      <c r="H1145" t="s">
        <v>29</v>
      </c>
      <c r="I1145" s="1" t="s">
        <v>30</v>
      </c>
      <c r="J1145">
        <v>2650.3</v>
      </c>
    </row>
    <row r="1146" spans="1:10" hidden="1" x14ac:dyDescent="0.35">
      <c r="A1146" t="str">
        <f t="shared" si="17"/>
        <v>Malacacheta20184.10</v>
      </c>
      <c r="B1146">
        <v>3139201</v>
      </c>
      <c r="C1146" t="s">
        <v>52</v>
      </c>
      <c r="D1146">
        <v>2018</v>
      </c>
      <c r="E1146">
        <v>6</v>
      </c>
      <c r="F1146">
        <v>58</v>
      </c>
      <c r="G1146" t="s">
        <v>31</v>
      </c>
      <c r="H1146" t="s">
        <v>29</v>
      </c>
      <c r="I1146" s="1" t="s">
        <v>32</v>
      </c>
      <c r="J1146">
        <v>2915.53</v>
      </c>
    </row>
    <row r="1147" spans="1:10" hidden="1" x14ac:dyDescent="0.35">
      <c r="A1147" t="str">
        <f t="shared" si="17"/>
        <v>Malacacheta20184.11</v>
      </c>
      <c r="B1147">
        <v>3139201</v>
      </c>
      <c r="C1147" t="s">
        <v>52</v>
      </c>
      <c r="D1147">
        <v>2018</v>
      </c>
      <c r="E1147">
        <v>6</v>
      </c>
      <c r="F1147">
        <v>59</v>
      </c>
      <c r="G1147" t="s">
        <v>33</v>
      </c>
      <c r="H1147" t="s">
        <v>29</v>
      </c>
      <c r="I1147" s="1" t="s">
        <v>34</v>
      </c>
      <c r="J1147">
        <v>1318.48</v>
      </c>
    </row>
    <row r="1148" spans="1:10" hidden="1" x14ac:dyDescent="0.35">
      <c r="A1148" t="str">
        <f t="shared" si="17"/>
        <v>Malacacheta20184.2</v>
      </c>
      <c r="B1148">
        <v>3139201</v>
      </c>
      <c r="C1148" t="s">
        <v>52</v>
      </c>
      <c r="D1148">
        <v>2018</v>
      </c>
      <c r="E1148">
        <v>6</v>
      </c>
      <c r="F1148">
        <v>45</v>
      </c>
      <c r="G1148" t="s">
        <v>35</v>
      </c>
      <c r="H1148" t="s">
        <v>29</v>
      </c>
      <c r="I1148" s="1" t="s">
        <v>36</v>
      </c>
      <c r="J1148">
        <v>7699.39</v>
      </c>
    </row>
    <row r="1149" spans="1:10" hidden="1" x14ac:dyDescent="0.35">
      <c r="A1149" t="str">
        <f t="shared" si="17"/>
        <v>Malacacheta20184.8</v>
      </c>
      <c r="B1149">
        <v>3139201</v>
      </c>
      <c r="C1149" t="s">
        <v>52</v>
      </c>
      <c r="D1149">
        <v>2018</v>
      </c>
      <c r="E1149">
        <v>6</v>
      </c>
      <c r="F1149">
        <v>56</v>
      </c>
      <c r="G1149" t="s">
        <v>37</v>
      </c>
      <c r="H1149" t="s">
        <v>29</v>
      </c>
      <c r="I1149" s="1" t="s">
        <v>38</v>
      </c>
      <c r="J1149">
        <v>4639.32</v>
      </c>
    </row>
    <row r="1150" spans="1:10" hidden="1" x14ac:dyDescent="0.35">
      <c r="A1150" t="str">
        <f t="shared" si="17"/>
        <v>Malacacheta20184.9</v>
      </c>
      <c r="B1150">
        <v>3139201</v>
      </c>
      <c r="C1150" t="s">
        <v>52</v>
      </c>
      <c r="D1150">
        <v>2018</v>
      </c>
      <c r="E1150">
        <v>6</v>
      </c>
      <c r="F1150">
        <v>57</v>
      </c>
      <c r="G1150" t="s">
        <v>39</v>
      </c>
      <c r="H1150" t="s">
        <v>29</v>
      </c>
      <c r="I1150" s="1" t="s">
        <v>40</v>
      </c>
      <c r="J1150">
        <v>4639.32</v>
      </c>
    </row>
    <row r="1151" spans="1:10" hidden="1" x14ac:dyDescent="0.35">
      <c r="A1151" t="str">
        <f t="shared" si="17"/>
        <v>Nanuque20181.1</v>
      </c>
      <c r="B1151">
        <v>3144300</v>
      </c>
      <c r="C1151" t="s">
        <v>53</v>
      </c>
      <c r="D1151">
        <v>2018</v>
      </c>
      <c r="E1151">
        <v>6</v>
      </c>
      <c r="F1151">
        <v>24</v>
      </c>
      <c r="G1151" t="s">
        <v>10</v>
      </c>
      <c r="H1151" t="s">
        <v>11</v>
      </c>
      <c r="I1151" s="1" t="s">
        <v>12</v>
      </c>
      <c r="J1151">
        <v>0.34610000000000002</v>
      </c>
    </row>
    <row r="1152" spans="1:10" hidden="1" x14ac:dyDescent="0.35">
      <c r="A1152" t="str">
        <f t="shared" si="17"/>
        <v>Nanuque20181.2</v>
      </c>
      <c r="B1152">
        <v>3144300</v>
      </c>
      <c r="C1152" t="s">
        <v>53</v>
      </c>
      <c r="D1152">
        <v>2018</v>
      </c>
      <c r="E1152">
        <v>6</v>
      </c>
      <c r="F1152">
        <v>67</v>
      </c>
      <c r="G1152" t="s">
        <v>13</v>
      </c>
      <c r="H1152" t="s">
        <v>11</v>
      </c>
      <c r="I1152" s="1" t="s">
        <v>14</v>
      </c>
      <c r="J1152">
        <v>0.96850000000000003</v>
      </c>
    </row>
    <row r="1153" spans="1:10" hidden="1" x14ac:dyDescent="0.35">
      <c r="A1153" t="str">
        <f t="shared" si="17"/>
        <v>Nanuque20181.3</v>
      </c>
      <c r="B1153">
        <v>3144300</v>
      </c>
      <c r="C1153" t="s">
        <v>53</v>
      </c>
      <c r="D1153">
        <v>2018</v>
      </c>
      <c r="E1153">
        <v>6</v>
      </c>
      <c r="F1153">
        <v>68</v>
      </c>
      <c r="G1153" t="s">
        <v>15</v>
      </c>
      <c r="H1153" t="s">
        <v>11</v>
      </c>
      <c r="I1153" s="1" t="s">
        <v>16</v>
      </c>
      <c r="J1153">
        <v>3.1300000000000001E-2</v>
      </c>
    </row>
    <row r="1154" spans="1:10" hidden="1" x14ac:dyDescent="0.35">
      <c r="A1154" t="str">
        <f t="shared" si="17"/>
        <v>Nanuque20182.1</v>
      </c>
      <c r="B1154">
        <v>3144300</v>
      </c>
      <c r="C1154" t="s">
        <v>53</v>
      </c>
      <c r="D1154">
        <v>2018</v>
      </c>
      <c r="E1154">
        <v>6</v>
      </c>
      <c r="F1154">
        <v>28</v>
      </c>
      <c r="G1154" t="s">
        <v>17</v>
      </c>
      <c r="H1154" t="s">
        <v>18</v>
      </c>
      <c r="I1154" s="1" t="s">
        <v>19</v>
      </c>
    </row>
    <row r="1155" spans="1:10" hidden="1" x14ac:dyDescent="0.35">
      <c r="A1155" t="str">
        <f t="shared" si="17"/>
        <v>Nanuque20182.2</v>
      </c>
      <c r="B1155">
        <v>3144300</v>
      </c>
      <c r="C1155" t="s">
        <v>53</v>
      </c>
      <c r="D1155">
        <v>2018</v>
      </c>
      <c r="E1155">
        <v>6</v>
      </c>
      <c r="F1155">
        <v>29</v>
      </c>
      <c r="G1155" t="s">
        <v>20</v>
      </c>
      <c r="H1155" t="s">
        <v>18</v>
      </c>
      <c r="I1155" s="1" t="s">
        <v>21</v>
      </c>
      <c r="J1155">
        <v>0.66869999999999996</v>
      </c>
    </row>
    <row r="1156" spans="1:10" hidden="1" x14ac:dyDescent="0.35">
      <c r="A1156" t="str">
        <f t="shared" ref="A1156:A1219" si="18">C1156&amp;D1156&amp;G1156</f>
        <v>Nanuque20182.4</v>
      </c>
      <c r="B1156">
        <v>3144300</v>
      </c>
      <c r="C1156" t="s">
        <v>53</v>
      </c>
      <c r="D1156">
        <v>2018</v>
      </c>
      <c r="E1156">
        <v>6</v>
      </c>
      <c r="F1156">
        <v>31</v>
      </c>
      <c r="G1156" t="s">
        <v>22</v>
      </c>
      <c r="H1156" t="s">
        <v>18</v>
      </c>
      <c r="I1156" s="1" t="s">
        <v>23</v>
      </c>
      <c r="J1156">
        <v>0.28189999999999998</v>
      </c>
    </row>
    <row r="1157" spans="1:10" hidden="1" x14ac:dyDescent="0.35">
      <c r="A1157" t="str">
        <f t="shared" si="18"/>
        <v>Nanuque20182.5</v>
      </c>
      <c r="B1157">
        <v>3144300</v>
      </c>
      <c r="C1157" t="s">
        <v>53</v>
      </c>
      <c r="D1157">
        <v>2018</v>
      </c>
      <c r="E1157">
        <v>6</v>
      </c>
      <c r="F1157">
        <v>32</v>
      </c>
      <c r="G1157" t="s">
        <v>24</v>
      </c>
      <c r="H1157" t="s">
        <v>18</v>
      </c>
      <c r="I1157" s="1" t="s">
        <v>25</v>
      </c>
      <c r="J1157">
        <v>0.60609999999999997</v>
      </c>
    </row>
    <row r="1158" spans="1:10" hidden="1" x14ac:dyDescent="0.35">
      <c r="A1158" t="str">
        <f t="shared" si="18"/>
        <v>Nanuque20182.8</v>
      </c>
      <c r="B1158">
        <v>3144300</v>
      </c>
      <c r="C1158" t="s">
        <v>53</v>
      </c>
      <c r="D1158">
        <v>2018</v>
      </c>
      <c r="E1158">
        <v>6</v>
      </c>
      <c r="F1158">
        <v>35</v>
      </c>
      <c r="G1158" t="s">
        <v>26</v>
      </c>
      <c r="H1158" t="s">
        <v>18</v>
      </c>
      <c r="I1158" s="1" t="s">
        <v>27</v>
      </c>
      <c r="J1158">
        <v>0.18940000000000001</v>
      </c>
    </row>
    <row r="1159" spans="1:10" hidden="1" x14ac:dyDescent="0.35">
      <c r="A1159" t="str">
        <f t="shared" si="18"/>
        <v>Nanuque20184.1</v>
      </c>
      <c r="B1159">
        <v>3144300</v>
      </c>
      <c r="C1159" t="s">
        <v>53</v>
      </c>
      <c r="D1159">
        <v>2018</v>
      </c>
      <c r="E1159">
        <v>6</v>
      </c>
      <c r="F1159">
        <v>44</v>
      </c>
      <c r="G1159" t="s">
        <v>28</v>
      </c>
      <c r="H1159" t="s">
        <v>29</v>
      </c>
      <c r="I1159" s="1" t="s">
        <v>30</v>
      </c>
      <c r="J1159">
        <v>5099.3999999999996</v>
      </c>
    </row>
    <row r="1160" spans="1:10" hidden="1" x14ac:dyDescent="0.35">
      <c r="A1160" t="str">
        <f t="shared" si="18"/>
        <v>Nanuque20184.10</v>
      </c>
      <c r="B1160">
        <v>3144300</v>
      </c>
      <c r="C1160" t="s">
        <v>53</v>
      </c>
      <c r="D1160">
        <v>2018</v>
      </c>
      <c r="E1160">
        <v>6</v>
      </c>
      <c r="F1160">
        <v>58</v>
      </c>
      <c r="G1160" t="s">
        <v>31</v>
      </c>
      <c r="H1160" t="s">
        <v>29</v>
      </c>
      <c r="I1160" s="1" t="s">
        <v>32</v>
      </c>
      <c r="J1160">
        <v>5353.32</v>
      </c>
    </row>
    <row r="1161" spans="1:10" hidden="1" x14ac:dyDescent="0.35">
      <c r="A1161" t="str">
        <f t="shared" si="18"/>
        <v>Nanuque20184.11</v>
      </c>
      <c r="B1161">
        <v>3144300</v>
      </c>
      <c r="C1161" t="s">
        <v>53</v>
      </c>
      <c r="D1161">
        <v>2018</v>
      </c>
      <c r="E1161">
        <v>6</v>
      </c>
      <c r="F1161">
        <v>59</v>
      </c>
      <c r="G1161" t="s">
        <v>33</v>
      </c>
      <c r="H1161" t="s">
        <v>29</v>
      </c>
      <c r="I1161" s="1" t="s">
        <v>34</v>
      </c>
      <c r="J1161">
        <v>446.18</v>
      </c>
    </row>
    <row r="1162" spans="1:10" hidden="1" x14ac:dyDescent="0.35">
      <c r="A1162" t="str">
        <f t="shared" si="18"/>
        <v>Nanuque20184.2</v>
      </c>
      <c r="B1162">
        <v>3144300</v>
      </c>
      <c r="C1162" t="s">
        <v>53</v>
      </c>
      <c r="D1162">
        <v>2018</v>
      </c>
      <c r="E1162">
        <v>6</v>
      </c>
      <c r="F1162">
        <v>45</v>
      </c>
      <c r="G1162" t="s">
        <v>35</v>
      </c>
      <c r="H1162" t="s">
        <v>29</v>
      </c>
      <c r="I1162" s="1" t="s">
        <v>36</v>
      </c>
      <c r="J1162">
        <v>6558.61</v>
      </c>
    </row>
    <row r="1163" spans="1:10" hidden="1" x14ac:dyDescent="0.35">
      <c r="A1163" t="str">
        <f t="shared" si="18"/>
        <v>Nanuque20184.8</v>
      </c>
      <c r="B1163">
        <v>3144300</v>
      </c>
      <c r="C1163" t="s">
        <v>53</v>
      </c>
      <c r="D1163">
        <v>2018</v>
      </c>
      <c r="E1163">
        <v>6</v>
      </c>
      <c r="F1163">
        <v>56</v>
      </c>
      <c r="G1163" t="s">
        <v>37</v>
      </c>
      <c r="H1163" t="s">
        <v>29</v>
      </c>
      <c r="I1163" s="1" t="s">
        <v>38</v>
      </c>
      <c r="J1163">
        <v>6217.3</v>
      </c>
    </row>
    <row r="1164" spans="1:10" hidden="1" x14ac:dyDescent="0.35">
      <c r="A1164" t="str">
        <f t="shared" si="18"/>
        <v>Nanuque20184.9</v>
      </c>
      <c r="B1164">
        <v>3144300</v>
      </c>
      <c r="C1164" t="s">
        <v>53</v>
      </c>
      <c r="D1164">
        <v>2018</v>
      </c>
      <c r="E1164">
        <v>6</v>
      </c>
      <c r="F1164">
        <v>57</v>
      </c>
      <c r="G1164" t="s">
        <v>39</v>
      </c>
      <c r="H1164" t="s">
        <v>29</v>
      </c>
      <c r="I1164" s="1" t="s">
        <v>40</v>
      </c>
      <c r="J1164">
        <v>6217.3</v>
      </c>
    </row>
    <row r="1165" spans="1:10" hidden="1" x14ac:dyDescent="0.35">
      <c r="A1165" t="str">
        <f t="shared" si="18"/>
        <v>Novo Oriente de Minas20181.1</v>
      </c>
      <c r="B1165">
        <v>3145356</v>
      </c>
      <c r="C1165" t="s">
        <v>54</v>
      </c>
      <c r="D1165">
        <v>2018</v>
      </c>
      <c r="E1165">
        <v>6</v>
      </c>
      <c r="F1165">
        <v>24</v>
      </c>
      <c r="G1165" t="s">
        <v>10</v>
      </c>
      <c r="H1165" t="s">
        <v>11</v>
      </c>
      <c r="I1165" s="1" t="s">
        <v>12</v>
      </c>
      <c r="J1165">
        <v>0.26719999999999999</v>
      </c>
    </row>
    <row r="1166" spans="1:10" hidden="1" x14ac:dyDescent="0.35">
      <c r="A1166" t="str">
        <f t="shared" si="18"/>
        <v>Novo Oriente de Minas20181.2</v>
      </c>
      <c r="B1166">
        <v>3145356</v>
      </c>
      <c r="C1166" t="s">
        <v>54</v>
      </c>
      <c r="D1166">
        <v>2018</v>
      </c>
      <c r="E1166">
        <v>6</v>
      </c>
      <c r="F1166">
        <v>67</v>
      </c>
      <c r="G1166" t="s">
        <v>13</v>
      </c>
      <c r="H1166" t="s">
        <v>11</v>
      </c>
      <c r="I1166" s="1" t="s">
        <v>14</v>
      </c>
      <c r="J1166">
        <v>0.65080000000000005</v>
      </c>
    </row>
    <row r="1167" spans="1:10" hidden="1" x14ac:dyDescent="0.35">
      <c r="A1167" t="str">
        <f t="shared" si="18"/>
        <v>Novo Oriente de Minas20181.3</v>
      </c>
      <c r="B1167">
        <v>3145356</v>
      </c>
      <c r="C1167" t="s">
        <v>54</v>
      </c>
      <c r="D1167">
        <v>2018</v>
      </c>
      <c r="E1167">
        <v>6</v>
      </c>
      <c r="F1167">
        <v>68</v>
      </c>
      <c r="G1167" t="s">
        <v>15</v>
      </c>
      <c r="H1167" t="s">
        <v>11</v>
      </c>
      <c r="I1167" s="1" t="s">
        <v>16</v>
      </c>
      <c r="J1167">
        <v>0.34920000000000001</v>
      </c>
    </row>
    <row r="1168" spans="1:10" hidden="1" x14ac:dyDescent="0.35">
      <c r="A1168" t="str">
        <f t="shared" si="18"/>
        <v>Novo Oriente de Minas20182.1</v>
      </c>
      <c r="B1168">
        <v>3145356</v>
      </c>
      <c r="C1168" t="s">
        <v>54</v>
      </c>
      <c r="D1168">
        <v>2018</v>
      </c>
      <c r="E1168">
        <v>6</v>
      </c>
      <c r="F1168">
        <v>28</v>
      </c>
      <c r="G1168" t="s">
        <v>17</v>
      </c>
      <c r="H1168" t="s">
        <v>18</v>
      </c>
      <c r="I1168" s="1" t="s">
        <v>19</v>
      </c>
    </row>
    <row r="1169" spans="1:10" hidden="1" x14ac:dyDescent="0.35">
      <c r="A1169" t="str">
        <f t="shared" si="18"/>
        <v>Novo Oriente de Minas20182.2</v>
      </c>
      <c r="B1169">
        <v>3145356</v>
      </c>
      <c r="C1169" t="s">
        <v>54</v>
      </c>
      <c r="D1169">
        <v>2018</v>
      </c>
      <c r="E1169">
        <v>6</v>
      </c>
      <c r="F1169">
        <v>29</v>
      </c>
      <c r="G1169" t="s">
        <v>20</v>
      </c>
      <c r="H1169" t="s">
        <v>18</v>
      </c>
      <c r="I1169" s="1" t="s">
        <v>21</v>
      </c>
      <c r="J1169">
        <v>0.71450000000000002</v>
      </c>
    </row>
    <row r="1170" spans="1:10" hidden="1" x14ac:dyDescent="0.35">
      <c r="A1170" t="str">
        <f t="shared" si="18"/>
        <v>Novo Oriente de Minas20182.4</v>
      </c>
      <c r="B1170">
        <v>3145356</v>
      </c>
      <c r="C1170" t="s">
        <v>54</v>
      </c>
      <c r="D1170">
        <v>2018</v>
      </c>
      <c r="E1170">
        <v>6</v>
      </c>
      <c r="F1170">
        <v>31</v>
      </c>
      <c r="G1170" t="s">
        <v>22</v>
      </c>
      <c r="H1170" t="s">
        <v>18</v>
      </c>
      <c r="I1170" s="1" t="s">
        <v>23</v>
      </c>
      <c r="J1170">
        <v>0.13009999999999999</v>
      </c>
    </row>
    <row r="1171" spans="1:10" hidden="1" x14ac:dyDescent="0.35">
      <c r="A1171" t="str">
        <f t="shared" si="18"/>
        <v>Novo Oriente de Minas20182.5</v>
      </c>
      <c r="B1171">
        <v>3145356</v>
      </c>
      <c r="C1171" t="s">
        <v>54</v>
      </c>
      <c r="D1171">
        <v>2018</v>
      </c>
      <c r="E1171">
        <v>6</v>
      </c>
      <c r="F1171">
        <v>32</v>
      </c>
      <c r="G1171" t="s">
        <v>24</v>
      </c>
      <c r="H1171" t="s">
        <v>18</v>
      </c>
      <c r="I1171" s="1" t="s">
        <v>25</v>
      </c>
      <c r="J1171">
        <v>0.64639999999999997</v>
      </c>
    </row>
    <row r="1172" spans="1:10" hidden="1" x14ac:dyDescent="0.35">
      <c r="A1172" t="str">
        <f t="shared" si="18"/>
        <v>Novo Oriente de Minas20182.8</v>
      </c>
      <c r="B1172">
        <v>3145356</v>
      </c>
      <c r="C1172" t="s">
        <v>54</v>
      </c>
      <c r="D1172">
        <v>2018</v>
      </c>
      <c r="E1172">
        <v>6</v>
      </c>
      <c r="F1172">
        <v>35</v>
      </c>
      <c r="G1172" t="s">
        <v>26</v>
      </c>
      <c r="H1172" t="s">
        <v>18</v>
      </c>
      <c r="I1172" s="1" t="s">
        <v>27</v>
      </c>
      <c r="J1172">
        <v>0.28270000000000001</v>
      </c>
    </row>
    <row r="1173" spans="1:10" hidden="1" x14ac:dyDescent="0.35">
      <c r="A1173" t="str">
        <f t="shared" si="18"/>
        <v>Novo Oriente de Minas20184.1</v>
      </c>
      <c r="B1173">
        <v>3145356</v>
      </c>
      <c r="C1173" t="s">
        <v>54</v>
      </c>
      <c r="D1173">
        <v>2018</v>
      </c>
      <c r="E1173">
        <v>6</v>
      </c>
      <c r="F1173">
        <v>44</v>
      </c>
      <c r="G1173" t="s">
        <v>28</v>
      </c>
      <c r="H1173" t="s">
        <v>29</v>
      </c>
      <c r="I1173" s="1" t="s">
        <v>30</v>
      </c>
      <c r="J1173">
        <v>2125.77</v>
      </c>
    </row>
    <row r="1174" spans="1:10" hidden="1" x14ac:dyDescent="0.35">
      <c r="A1174" t="str">
        <f t="shared" si="18"/>
        <v>Novo Oriente de Minas20184.10</v>
      </c>
      <c r="B1174">
        <v>3145356</v>
      </c>
      <c r="C1174" t="s">
        <v>54</v>
      </c>
      <c r="D1174">
        <v>2018</v>
      </c>
      <c r="E1174">
        <v>6</v>
      </c>
      <c r="F1174">
        <v>58</v>
      </c>
      <c r="G1174" t="s">
        <v>31</v>
      </c>
      <c r="H1174" t="s">
        <v>29</v>
      </c>
      <c r="I1174" s="1" t="s">
        <v>32</v>
      </c>
      <c r="J1174">
        <v>3559.5</v>
      </c>
    </row>
    <row r="1175" spans="1:10" hidden="1" x14ac:dyDescent="0.35">
      <c r="A1175" t="str">
        <f t="shared" si="18"/>
        <v>Novo Oriente de Minas20184.11</v>
      </c>
      <c r="B1175">
        <v>3145356</v>
      </c>
      <c r="C1175" t="s">
        <v>54</v>
      </c>
      <c r="D1175">
        <v>2018</v>
      </c>
      <c r="E1175">
        <v>6</v>
      </c>
      <c r="F1175">
        <v>59</v>
      </c>
      <c r="G1175" t="s">
        <v>33</v>
      </c>
      <c r="H1175" t="s">
        <v>29</v>
      </c>
      <c r="I1175" s="1" t="s">
        <v>34</v>
      </c>
      <c r="J1175">
        <v>811.91</v>
      </c>
    </row>
    <row r="1176" spans="1:10" hidden="1" x14ac:dyDescent="0.35">
      <c r="A1176" t="str">
        <f t="shared" si="18"/>
        <v>Novo Oriente de Minas20184.2</v>
      </c>
      <c r="B1176">
        <v>3145356</v>
      </c>
      <c r="C1176" t="s">
        <v>54</v>
      </c>
      <c r="D1176">
        <v>2018</v>
      </c>
      <c r="E1176">
        <v>6</v>
      </c>
      <c r="F1176">
        <v>45</v>
      </c>
      <c r="G1176" t="s">
        <v>35</v>
      </c>
      <c r="H1176" t="s">
        <v>29</v>
      </c>
      <c r="I1176" s="1" t="s">
        <v>36</v>
      </c>
      <c r="J1176">
        <v>6021.51</v>
      </c>
    </row>
    <row r="1177" spans="1:10" hidden="1" x14ac:dyDescent="0.35">
      <c r="A1177" t="str">
        <f t="shared" si="18"/>
        <v>Novo Oriente de Minas20184.8</v>
      </c>
      <c r="B1177">
        <v>3145356</v>
      </c>
      <c r="C1177" t="s">
        <v>54</v>
      </c>
      <c r="D1177">
        <v>2018</v>
      </c>
      <c r="E1177">
        <v>6</v>
      </c>
      <c r="F1177">
        <v>56</v>
      </c>
      <c r="G1177" t="s">
        <v>37</v>
      </c>
      <c r="H1177" t="s">
        <v>29</v>
      </c>
      <c r="I1177" s="1" t="s">
        <v>38</v>
      </c>
      <c r="J1177">
        <v>4419.49</v>
      </c>
    </row>
    <row r="1178" spans="1:10" hidden="1" x14ac:dyDescent="0.35">
      <c r="A1178" t="str">
        <f t="shared" si="18"/>
        <v>Novo Oriente de Minas20184.9</v>
      </c>
      <c r="B1178">
        <v>3145356</v>
      </c>
      <c r="C1178" t="s">
        <v>54</v>
      </c>
      <c r="D1178">
        <v>2018</v>
      </c>
      <c r="E1178">
        <v>6</v>
      </c>
      <c r="F1178">
        <v>57</v>
      </c>
      <c r="G1178" t="s">
        <v>39</v>
      </c>
      <c r="H1178" t="s">
        <v>29</v>
      </c>
      <c r="I1178" s="1" t="s">
        <v>40</v>
      </c>
      <c r="J1178">
        <v>4289.57</v>
      </c>
    </row>
    <row r="1179" spans="1:10" hidden="1" x14ac:dyDescent="0.35">
      <c r="A1179" t="str">
        <f t="shared" si="18"/>
        <v>Ouro Verde de Minas20181.1</v>
      </c>
      <c r="B1179">
        <v>3146206</v>
      </c>
      <c r="C1179" t="s">
        <v>55</v>
      </c>
      <c r="D1179">
        <v>2018</v>
      </c>
      <c r="E1179">
        <v>6</v>
      </c>
      <c r="F1179">
        <v>24</v>
      </c>
      <c r="G1179" t="s">
        <v>10</v>
      </c>
      <c r="H1179" t="s">
        <v>11</v>
      </c>
      <c r="I1179" s="1" t="s">
        <v>12</v>
      </c>
      <c r="J1179">
        <v>0.2918</v>
      </c>
    </row>
    <row r="1180" spans="1:10" hidden="1" x14ac:dyDescent="0.35">
      <c r="A1180" t="str">
        <f t="shared" si="18"/>
        <v>Ouro Verde de Minas20181.2</v>
      </c>
      <c r="B1180">
        <v>3146206</v>
      </c>
      <c r="C1180" t="s">
        <v>55</v>
      </c>
      <c r="D1180">
        <v>2018</v>
      </c>
      <c r="E1180">
        <v>6</v>
      </c>
      <c r="F1180">
        <v>67</v>
      </c>
      <c r="G1180" t="s">
        <v>13</v>
      </c>
      <c r="H1180" t="s">
        <v>11</v>
      </c>
      <c r="I1180" s="1" t="s">
        <v>14</v>
      </c>
      <c r="J1180">
        <v>0.81369999999999998</v>
      </c>
    </row>
    <row r="1181" spans="1:10" hidden="1" x14ac:dyDescent="0.35">
      <c r="A1181" t="str">
        <f t="shared" si="18"/>
        <v>Ouro Verde de Minas20181.3</v>
      </c>
      <c r="B1181">
        <v>3146206</v>
      </c>
      <c r="C1181" t="s">
        <v>55</v>
      </c>
      <c r="D1181">
        <v>2018</v>
      </c>
      <c r="E1181">
        <v>6</v>
      </c>
      <c r="F1181">
        <v>68</v>
      </c>
      <c r="G1181" t="s">
        <v>15</v>
      </c>
      <c r="H1181" t="s">
        <v>11</v>
      </c>
      <c r="I1181" s="1" t="s">
        <v>16</v>
      </c>
      <c r="J1181">
        <v>0.18629999999999999</v>
      </c>
    </row>
    <row r="1182" spans="1:10" hidden="1" x14ac:dyDescent="0.35">
      <c r="A1182" t="str">
        <f t="shared" si="18"/>
        <v>Ouro Verde de Minas20182.1</v>
      </c>
      <c r="B1182">
        <v>3146206</v>
      </c>
      <c r="C1182" t="s">
        <v>55</v>
      </c>
      <c r="D1182">
        <v>2018</v>
      </c>
      <c r="E1182">
        <v>6</v>
      </c>
      <c r="F1182">
        <v>28</v>
      </c>
      <c r="G1182" t="s">
        <v>17</v>
      </c>
      <c r="H1182" t="s">
        <v>18</v>
      </c>
      <c r="I1182" s="1" t="s">
        <v>19</v>
      </c>
    </row>
    <row r="1183" spans="1:10" hidden="1" x14ac:dyDescent="0.35">
      <c r="A1183" t="str">
        <f t="shared" si="18"/>
        <v>Ouro Verde de Minas20182.2</v>
      </c>
      <c r="B1183">
        <v>3146206</v>
      </c>
      <c r="C1183" t="s">
        <v>55</v>
      </c>
      <c r="D1183">
        <v>2018</v>
      </c>
      <c r="E1183">
        <v>6</v>
      </c>
      <c r="F1183">
        <v>29</v>
      </c>
      <c r="G1183" t="s">
        <v>20</v>
      </c>
      <c r="H1183" t="s">
        <v>18</v>
      </c>
      <c r="I1183" s="1" t="s">
        <v>21</v>
      </c>
      <c r="J1183">
        <v>1.2716000000000001</v>
      </c>
    </row>
    <row r="1184" spans="1:10" hidden="1" x14ac:dyDescent="0.35">
      <c r="A1184" t="str">
        <f t="shared" si="18"/>
        <v>Ouro Verde de Minas20182.4</v>
      </c>
      <c r="B1184">
        <v>3146206</v>
      </c>
      <c r="C1184" t="s">
        <v>55</v>
      </c>
      <c r="D1184">
        <v>2018</v>
      </c>
      <c r="E1184">
        <v>6</v>
      </c>
      <c r="F1184">
        <v>31</v>
      </c>
      <c r="G1184" t="s">
        <v>22</v>
      </c>
      <c r="H1184" t="s">
        <v>18</v>
      </c>
      <c r="I1184" s="1" t="s">
        <v>23</v>
      </c>
      <c r="J1184">
        <v>0.14299999999999999</v>
      </c>
    </row>
    <row r="1185" spans="1:10" hidden="1" x14ac:dyDescent="0.35">
      <c r="A1185" t="str">
        <f t="shared" si="18"/>
        <v>Ouro Verde de Minas20182.5</v>
      </c>
      <c r="B1185">
        <v>3146206</v>
      </c>
      <c r="C1185" t="s">
        <v>55</v>
      </c>
      <c r="D1185">
        <v>2018</v>
      </c>
      <c r="E1185">
        <v>6</v>
      </c>
      <c r="F1185">
        <v>32</v>
      </c>
      <c r="G1185" t="s">
        <v>24</v>
      </c>
      <c r="H1185" t="s">
        <v>18</v>
      </c>
      <c r="I1185" s="1" t="s">
        <v>25</v>
      </c>
      <c r="J1185">
        <v>0.49540000000000001</v>
      </c>
    </row>
    <row r="1186" spans="1:10" hidden="1" x14ac:dyDescent="0.35">
      <c r="A1186" t="str">
        <f t="shared" si="18"/>
        <v>Ouro Verde de Minas20182.8</v>
      </c>
      <c r="B1186">
        <v>3146206</v>
      </c>
      <c r="C1186" t="s">
        <v>55</v>
      </c>
      <c r="D1186">
        <v>2018</v>
      </c>
      <c r="E1186">
        <v>6</v>
      </c>
      <c r="F1186">
        <v>35</v>
      </c>
      <c r="G1186" t="s">
        <v>26</v>
      </c>
      <c r="H1186" t="s">
        <v>18</v>
      </c>
      <c r="I1186" s="1" t="s">
        <v>27</v>
      </c>
      <c r="J1186">
        <v>0.3039</v>
      </c>
    </row>
    <row r="1187" spans="1:10" hidden="1" x14ac:dyDescent="0.35">
      <c r="A1187" t="str">
        <f t="shared" si="18"/>
        <v>Ouro Verde de Minas20184.1</v>
      </c>
      <c r="B1187">
        <v>3146206</v>
      </c>
      <c r="C1187" t="s">
        <v>55</v>
      </c>
      <c r="D1187">
        <v>2018</v>
      </c>
      <c r="E1187">
        <v>6</v>
      </c>
      <c r="F1187">
        <v>44</v>
      </c>
      <c r="G1187" t="s">
        <v>28</v>
      </c>
      <c r="H1187" t="s">
        <v>29</v>
      </c>
      <c r="I1187" s="1" t="s">
        <v>30</v>
      </c>
      <c r="J1187">
        <v>4818.62</v>
      </c>
    </row>
    <row r="1188" spans="1:10" hidden="1" x14ac:dyDescent="0.35">
      <c r="A1188" t="str">
        <f t="shared" si="18"/>
        <v>Ouro Verde de Minas20184.10</v>
      </c>
      <c r="B1188">
        <v>3146206</v>
      </c>
      <c r="C1188" t="s">
        <v>55</v>
      </c>
      <c r="D1188">
        <v>2018</v>
      </c>
      <c r="E1188">
        <v>6</v>
      </c>
      <c r="F1188">
        <v>58</v>
      </c>
      <c r="G1188" t="s">
        <v>31</v>
      </c>
      <c r="H1188" t="s">
        <v>29</v>
      </c>
      <c r="I1188" s="1" t="s">
        <v>32</v>
      </c>
      <c r="J1188">
        <v>4480.3900000000003</v>
      </c>
    </row>
    <row r="1189" spans="1:10" hidden="1" x14ac:dyDescent="0.35">
      <c r="A1189" t="str">
        <f t="shared" si="18"/>
        <v>Ouro Verde de Minas20184.11</v>
      </c>
      <c r="B1189">
        <v>3146206</v>
      </c>
      <c r="C1189" t="s">
        <v>55</v>
      </c>
      <c r="D1189">
        <v>2018</v>
      </c>
      <c r="E1189">
        <v>6</v>
      </c>
      <c r="F1189">
        <v>59</v>
      </c>
      <c r="G1189" t="s">
        <v>33</v>
      </c>
      <c r="H1189" t="s">
        <v>29</v>
      </c>
      <c r="I1189" s="1" t="s">
        <v>34</v>
      </c>
      <c r="J1189">
        <v>2174.25</v>
      </c>
    </row>
    <row r="1190" spans="1:10" hidden="1" x14ac:dyDescent="0.35">
      <c r="A1190" t="str">
        <f t="shared" si="18"/>
        <v>Ouro Verde de Minas20184.2</v>
      </c>
      <c r="B1190">
        <v>3146206</v>
      </c>
      <c r="C1190" t="s">
        <v>55</v>
      </c>
      <c r="D1190">
        <v>2018</v>
      </c>
      <c r="E1190">
        <v>6</v>
      </c>
      <c r="F1190">
        <v>45</v>
      </c>
      <c r="G1190" t="s">
        <v>35</v>
      </c>
      <c r="H1190" t="s">
        <v>29</v>
      </c>
      <c r="I1190" s="1" t="s">
        <v>36</v>
      </c>
      <c r="J1190">
        <v>7865.92</v>
      </c>
    </row>
    <row r="1191" spans="1:10" hidden="1" x14ac:dyDescent="0.35">
      <c r="A1191" t="str">
        <f t="shared" si="18"/>
        <v>Ouro Verde de Minas20184.8</v>
      </c>
      <c r="B1191">
        <v>3146206</v>
      </c>
      <c r="C1191" t="s">
        <v>55</v>
      </c>
      <c r="D1191">
        <v>2018</v>
      </c>
      <c r="E1191">
        <v>6</v>
      </c>
      <c r="F1191">
        <v>56</v>
      </c>
      <c r="G1191" t="s">
        <v>37</v>
      </c>
      <c r="H1191" t="s">
        <v>29</v>
      </c>
      <c r="I1191" s="1" t="s">
        <v>38</v>
      </c>
      <c r="J1191">
        <v>6890.07</v>
      </c>
    </row>
    <row r="1192" spans="1:10" hidden="1" x14ac:dyDescent="0.35">
      <c r="A1192" t="str">
        <f t="shared" si="18"/>
        <v>Ouro Verde de Minas20184.9</v>
      </c>
      <c r="B1192">
        <v>3146206</v>
      </c>
      <c r="C1192" t="s">
        <v>55</v>
      </c>
      <c r="D1192">
        <v>2018</v>
      </c>
      <c r="E1192">
        <v>6</v>
      </c>
      <c r="F1192">
        <v>57</v>
      </c>
      <c r="G1192" t="s">
        <v>39</v>
      </c>
      <c r="H1192" t="s">
        <v>29</v>
      </c>
      <c r="I1192" s="1" t="s">
        <v>40</v>
      </c>
      <c r="J1192">
        <v>6890.07</v>
      </c>
    </row>
    <row r="1193" spans="1:10" hidden="1" x14ac:dyDescent="0.35">
      <c r="A1193" t="str">
        <f t="shared" si="18"/>
        <v>Pavão20181.1</v>
      </c>
      <c r="B1193">
        <v>3148509</v>
      </c>
      <c r="C1193" t="s">
        <v>56</v>
      </c>
      <c r="D1193">
        <v>2018</v>
      </c>
      <c r="E1193">
        <v>6</v>
      </c>
      <c r="F1193">
        <v>24</v>
      </c>
      <c r="G1193" t="s">
        <v>10</v>
      </c>
      <c r="H1193" t="s">
        <v>11</v>
      </c>
      <c r="I1193" s="1" t="s">
        <v>12</v>
      </c>
      <c r="J1193">
        <v>0.28570000000000001</v>
      </c>
    </row>
    <row r="1194" spans="1:10" hidden="1" x14ac:dyDescent="0.35">
      <c r="A1194" t="str">
        <f t="shared" si="18"/>
        <v>Pavão20181.2</v>
      </c>
      <c r="B1194">
        <v>3148509</v>
      </c>
      <c r="C1194" t="s">
        <v>56</v>
      </c>
      <c r="D1194">
        <v>2018</v>
      </c>
      <c r="E1194">
        <v>6</v>
      </c>
      <c r="F1194">
        <v>67</v>
      </c>
      <c r="G1194" t="s">
        <v>13</v>
      </c>
      <c r="H1194" t="s">
        <v>11</v>
      </c>
      <c r="I1194" s="1" t="s">
        <v>14</v>
      </c>
      <c r="J1194">
        <v>0.82150000000000001</v>
      </c>
    </row>
    <row r="1195" spans="1:10" hidden="1" x14ac:dyDescent="0.35">
      <c r="A1195" t="str">
        <f t="shared" si="18"/>
        <v>Pavão20181.3</v>
      </c>
      <c r="B1195">
        <v>3148509</v>
      </c>
      <c r="C1195" t="s">
        <v>56</v>
      </c>
      <c r="D1195">
        <v>2018</v>
      </c>
      <c r="E1195">
        <v>6</v>
      </c>
      <c r="F1195">
        <v>68</v>
      </c>
      <c r="G1195" t="s">
        <v>15</v>
      </c>
      <c r="H1195" t="s">
        <v>11</v>
      </c>
      <c r="I1195" s="1" t="s">
        <v>16</v>
      </c>
      <c r="J1195">
        <v>0.17849999999999999</v>
      </c>
    </row>
    <row r="1196" spans="1:10" hidden="1" x14ac:dyDescent="0.35">
      <c r="A1196" t="str">
        <f t="shared" si="18"/>
        <v>Pavão20182.1</v>
      </c>
      <c r="B1196">
        <v>3148509</v>
      </c>
      <c r="C1196" t="s">
        <v>56</v>
      </c>
      <c r="D1196">
        <v>2018</v>
      </c>
      <c r="E1196">
        <v>6</v>
      </c>
      <c r="F1196">
        <v>28</v>
      </c>
      <c r="G1196" t="s">
        <v>17</v>
      </c>
      <c r="H1196" t="s">
        <v>18</v>
      </c>
      <c r="I1196" s="1" t="s">
        <v>19</v>
      </c>
    </row>
    <row r="1197" spans="1:10" hidden="1" x14ac:dyDescent="0.35">
      <c r="A1197" t="str">
        <f t="shared" si="18"/>
        <v>Pavão20182.2</v>
      </c>
      <c r="B1197">
        <v>3148509</v>
      </c>
      <c r="C1197" t="s">
        <v>56</v>
      </c>
      <c r="D1197">
        <v>2018</v>
      </c>
      <c r="E1197">
        <v>6</v>
      </c>
      <c r="F1197">
        <v>29</v>
      </c>
      <c r="G1197" t="s">
        <v>20</v>
      </c>
      <c r="H1197" t="s">
        <v>18</v>
      </c>
      <c r="I1197" s="1" t="s">
        <v>21</v>
      </c>
      <c r="J1197">
        <v>0.6532</v>
      </c>
    </row>
    <row r="1198" spans="1:10" hidden="1" x14ac:dyDescent="0.35">
      <c r="A1198" t="str">
        <f t="shared" si="18"/>
        <v>Pavão20182.4</v>
      </c>
      <c r="B1198">
        <v>3148509</v>
      </c>
      <c r="C1198" t="s">
        <v>56</v>
      </c>
      <c r="D1198">
        <v>2018</v>
      </c>
      <c r="E1198">
        <v>6</v>
      </c>
      <c r="F1198">
        <v>31</v>
      </c>
      <c r="G1198" t="s">
        <v>22</v>
      </c>
      <c r="H1198" t="s">
        <v>18</v>
      </c>
      <c r="I1198" s="1" t="s">
        <v>23</v>
      </c>
      <c r="J1198">
        <v>0.1211</v>
      </c>
    </row>
    <row r="1199" spans="1:10" hidden="1" x14ac:dyDescent="0.35">
      <c r="A1199" t="str">
        <f t="shared" si="18"/>
        <v>Pavão20182.5</v>
      </c>
      <c r="B1199">
        <v>3148509</v>
      </c>
      <c r="C1199" t="s">
        <v>56</v>
      </c>
      <c r="D1199">
        <v>2018</v>
      </c>
      <c r="E1199">
        <v>6</v>
      </c>
      <c r="F1199">
        <v>32</v>
      </c>
      <c r="G1199" t="s">
        <v>24</v>
      </c>
      <c r="H1199" t="s">
        <v>18</v>
      </c>
      <c r="I1199" s="1" t="s">
        <v>25</v>
      </c>
      <c r="J1199">
        <v>0.73540000000000005</v>
      </c>
    </row>
    <row r="1200" spans="1:10" hidden="1" x14ac:dyDescent="0.35">
      <c r="A1200" t="str">
        <f t="shared" si="18"/>
        <v>Pavão20182.8</v>
      </c>
      <c r="B1200">
        <v>3148509</v>
      </c>
      <c r="C1200" t="s">
        <v>56</v>
      </c>
      <c r="D1200">
        <v>2018</v>
      </c>
      <c r="E1200">
        <v>6</v>
      </c>
      <c r="F1200">
        <v>35</v>
      </c>
      <c r="G1200" t="s">
        <v>26</v>
      </c>
      <c r="H1200" t="s">
        <v>18</v>
      </c>
      <c r="I1200" s="1" t="s">
        <v>27</v>
      </c>
      <c r="J1200">
        <v>0.2074</v>
      </c>
    </row>
    <row r="1201" spans="1:10" hidden="1" x14ac:dyDescent="0.35">
      <c r="A1201" t="str">
        <f t="shared" si="18"/>
        <v>Pavão20184.1</v>
      </c>
      <c r="B1201">
        <v>3148509</v>
      </c>
      <c r="C1201" t="s">
        <v>56</v>
      </c>
      <c r="D1201">
        <v>2018</v>
      </c>
      <c r="E1201">
        <v>6</v>
      </c>
      <c r="F1201">
        <v>44</v>
      </c>
      <c r="G1201" t="s">
        <v>28</v>
      </c>
      <c r="H1201" t="s">
        <v>29</v>
      </c>
      <c r="I1201" s="1" t="s">
        <v>30</v>
      </c>
      <c r="J1201">
        <v>2034.06</v>
      </c>
    </row>
    <row r="1202" spans="1:10" hidden="1" x14ac:dyDescent="0.35">
      <c r="A1202" t="str">
        <f t="shared" si="18"/>
        <v>Pavão20184.10</v>
      </c>
      <c r="B1202">
        <v>3148509</v>
      </c>
      <c r="C1202" t="s">
        <v>56</v>
      </c>
      <c r="D1202">
        <v>2018</v>
      </c>
      <c r="E1202">
        <v>6</v>
      </c>
      <c r="F1202">
        <v>58</v>
      </c>
      <c r="G1202" t="s">
        <v>31</v>
      </c>
      <c r="H1202" t="s">
        <v>29</v>
      </c>
      <c r="I1202" s="1" t="s">
        <v>32</v>
      </c>
      <c r="J1202">
        <v>5364.91</v>
      </c>
    </row>
    <row r="1203" spans="1:10" hidden="1" x14ac:dyDescent="0.35">
      <c r="A1203" t="str">
        <f t="shared" si="18"/>
        <v>Pavão20184.11</v>
      </c>
      <c r="B1203">
        <v>3148509</v>
      </c>
      <c r="C1203" t="s">
        <v>56</v>
      </c>
      <c r="D1203">
        <v>2018</v>
      </c>
      <c r="E1203">
        <v>6</v>
      </c>
      <c r="F1203">
        <v>59</v>
      </c>
      <c r="G1203" t="s">
        <v>33</v>
      </c>
      <c r="H1203" t="s">
        <v>29</v>
      </c>
      <c r="I1203" s="1" t="s">
        <v>34</v>
      </c>
      <c r="J1203">
        <v>234.29</v>
      </c>
    </row>
    <row r="1204" spans="1:10" hidden="1" x14ac:dyDescent="0.35">
      <c r="A1204" t="str">
        <f t="shared" si="18"/>
        <v>Pavão20184.2</v>
      </c>
      <c r="B1204">
        <v>3148509</v>
      </c>
      <c r="C1204" t="s">
        <v>56</v>
      </c>
      <c r="D1204">
        <v>2018</v>
      </c>
      <c r="E1204">
        <v>6</v>
      </c>
      <c r="F1204">
        <v>45</v>
      </c>
      <c r="G1204" t="s">
        <v>35</v>
      </c>
      <c r="H1204" t="s">
        <v>29</v>
      </c>
      <c r="I1204" s="1" t="s">
        <v>36</v>
      </c>
      <c r="J1204">
        <v>8367.94</v>
      </c>
    </row>
    <row r="1205" spans="1:10" hidden="1" x14ac:dyDescent="0.35">
      <c r="A1205" t="str">
        <f t="shared" si="18"/>
        <v>Pavão20184.8</v>
      </c>
      <c r="B1205">
        <v>3148509</v>
      </c>
      <c r="C1205" t="s">
        <v>56</v>
      </c>
      <c r="D1205">
        <v>2018</v>
      </c>
      <c r="E1205">
        <v>6</v>
      </c>
      <c r="F1205">
        <v>56</v>
      </c>
      <c r="G1205" t="s">
        <v>37</v>
      </c>
      <c r="H1205" t="s">
        <v>29</v>
      </c>
      <c r="I1205" s="1" t="s">
        <v>38</v>
      </c>
      <c r="J1205">
        <v>5785.96</v>
      </c>
    </row>
    <row r="1206" spans="1:10" hidden="1" x14ac:dyDescent="0.35">
      <c r="A1206" t="str">
        <f t="shared" si="18"/>
        <v>Pavão20184.9</v>
      </c>
      <c r="B1206">
        <v>3148509</v>
      </c>
      <c r="C1206" t="s">
        <v>56</v>
      </c>
      <c r="D1206">
        <v>2018</v>
      </c>
      <c r="E1206">
        <v>6</v>
      </c>
      <c r="F1206">
        <v>57</v>
      </c>
      <c r="G1206" t="s">
        <v>39</v>
      </c>
      <c r="H1206" t="s">
        <v>29</v>
      </c>
      <c r="I1206" s="1" t="s">
        <v>40</v>
      </c>
      <c r="J1206">
        <v>5785.96</v>
      </c>
    </row>
    <row r="1207" spans="1:10" hidden="1" x14ac:dyDescent="0.35">
      <c r="A1207" t="str">
        <f t="shared" si="18"/>
        <v>Poté20181.1</v>
      </c>
      <c r="B1207">
        <v>3152402</v>
      </c>
      <c r="C1207" t="s">
        <v>57</v>
      </c>
      <c r="D1207">
        <v>2018</v>
      </c>
      <c r="E1207">
        <v>6</v>
      </c>
      <c r="F1207">
        <v>24</v>
      </c>
      <c r="G1207" t="s">
        <v>10</v>
      </c>
      <c r="H1207" t="s">
        <v>11</v>
      </c>
      <c r="I1207" s="1" t="s">
        <v>12</v>
      </c>
      <c r="J1207">
        <v>0.25080000000000002</v>
      </c>
    </row>
    <row r="1208" spans="1:10" hidden="1" x14ac:dyDescent="0.35">
      <c r="A1208" t="str">
        <f t="shared" si="18"/>
        <v>Poté20181.2</v>
      </c>
      <c r="B1208">
        <v>3152402</v>
      </c>
      <c r="C1208" t="s">
        <v>57</v>
      </c>
      <c r="D1208">
        <v>2018</v>
      </c>
      <c r="E1208">
        <v>6</v>
      </c>
      <c r="F1208">
        <v>67</v>
      </c>
      <c r="G1208" t="s">
        <v>13</v>
      </c>
      <c r="H1208" t="s">
        <v>11</v>
      </c>
      <c r="I1208" s="1" t="s">
        <v>14</v>
      </c>
      <c r="J1208">
        <v>0.60289999999999999</v>
      </c>
    </row>
    <row r="1209" spans="1:10" hidden="1" x14ac:dyDescent="0.35">
      <c r="A1209" t="str">
        <f t="shared" si="18"/>
        <v>Poté20181.3</v>
      </c>
      <c r="B1209">
        <v>3152402</v>
      </c>
      <c r="C1209" t="s">
        <v>57</v>
      </c>
      <c r="D1209">
        <v>2018</v>
      </c>
      <c r="E1209">
        <v>6</v>
      </c>
      <c r="F1209">
        <v>68</v>
      </c>
      <c r="G1209" t="s">
        <v>15</v>
      </c>
      <c r="H1209" t="s">
        <v>11</v>
      </c>
      <c r="I1209" s="1" t="s">
        <v>16</v>
      </c>
      <c r="J1209">
        <v>0.39710000000000001</v>
      </c>
    </row>
    <row r="1210" spans="1:10" hidden="1" x14ac:dyDescent="0.35">
      <c r="A1210" t="str">
        <f t="shared" si="18"/>
        <v>Poté20182.1</v>
      </c>
      <c r="B1210">
        <v>3152402</v>
      </c>
      <c r="C1210" t="s">
        <v>57</v>
      </c>
      <c r="D1210">
        <v>2018</v>
      </c>
      <c r="E1210">
        <v>6</v>
      </c>
      <c r="F1210">
        <v>28</v>
      </c>
      <c r="G1210" t="s">
        <v>17</v>
      </c>
      <c r="H1210" t="s">
        <v>18</v>
      </c>
      <c r="I1210" s="1" t="s">
        <v>19</v>
      </c>
    </row>
    <row r="1211" spans="1:10" hidden="1" x14ac:dyDescent="0.35">
      <c r="A1211" t="str">
        <f t="shared" si="18"/>
        <v>Poté20182.2</v>
      </c>
      <c r="B1211">
        <v>3152402</v>
      </c>
      <c r="C1211" t="s">
        <v>57</v>
      </c>
      <c r="D1211">
        <v>2018</v>
      </c>
      <c r="E1211">
        <v>6</v>
      </c>
      <c r="F1211">
        <v>29</v>
      </c>
      <c r="G1211" t="s">
        <v>20</v>
      </c>
      <c r="H1211" t="s">
        <v>18</v>
      </c>
      <c r="I1211" s="1" t="s">
        <v>21</v>
      </c>
      <c r="J1211">
        <v>1.0959000000000001</v>
      </c>
    </row>
    <row r="1212" spans="1:10" hidden="1" x14ac:dyDescent="0.35">
      <c r="A1212" t="str">
        <f t="shared" si="18"/>
        <v>Poté20182.4</v>
      </c>
      <c r="B1212">
        <v>3152402</v>
      </c>
      <c r="C1212" t="s">
        <v>57</v>
      </c>
      <c r="D1212">
        <v>2018</v>
      </c>
      <c r="E1212">
        <v>6</v>
      </c>
      <c r="F1212">
        <v>31</v>
      </c>
      <c r="G1212" t="s">
        <v>22</v>
      </c>
      <c r="H1212" t="s">
        <v>18</v>
      </c>
      <c r="I1212" s="1" t="s">
        <v>23</v>
      </c>
      <c r="J1212">
        <v>0.1201</v>
      </c>
    </row>
    <row r="1213" spans="1:10" hidden="1" x14ac:dyDescent="0.35">
      <c r="A1213" t="str">
        <f t="shared" si="18"/>
        <v>Poté20182.5</v>
      </c>
      <c r="B1213">
        <v>3152402</v>
      </c>
      <c r="C1213" t="s">
        <v>57</v>
      </c>
      <c r="D1213">
        <v>2018</v>
      </c>
      <c r="E1213">
        <v>6</v>
      </c>
      <c r="F1213">
        <v>32</v>
      </c>
      <c r="G1213" t="s">
        <v>24</v>
      </c>
      <c r="H1213" t="s">
        <v>18</v>
      </c>
      <c r="I1213" s="1" t="s">
        <v>25</v>
      </c>
      <c r="J1213">
        <v>0.63749999999999996</v>
      </c>
    </row>
    <row r="1214" spans="1:10" hidden="1" x14ac:dyDescent="0.35">
      <c r="A1214" t="str">
        <f t="shared" si="18"/>
        <v>Poté20182.8</v>
      </c>
      <c r="B1214">
        <v>3152402</v>
      </c>
      <c r="C1214" t="s">
        <v>57</v>
      </c>
      <c r="D1214">
        <v>2018</v>
      </c>
      <c r="E1214">
        <v>6</v>
      </c>
      <c r="F1214">
        <v>35</v>
      </c>
      <c r="G1214" t="s">
        <v>26</v>
      </c>
      <c r="H1214" t="s">
        <v>18</v>
      </c>
      <c r="I1214" s="1" t="s">
        <v>27</v>
      </c>
      <c r="J1214">
        <v>0.30459999999999998</v>
      </c>
    </row>
    <row r="1215" spans="1:10" hidden="1" x14ac:dyDescent="0.35">
      <c r="A1215" t="str">
        <f t="shared" si="18"/>
        <v>Poté20184.1</v>
      </c>
      <c r="B1215">
        <v>3152402</v>
      </c>
      <c r="C1215" t="s">
        <v>57</v>
      </c>
      <c r="D1215">
        <v>2018</v>
      </c>
      <c r="E1215">
        <v>6</v>
      </c>
      <c r="F1215">
        <v>44</v>
      </c>
      <c r="G1215" t="s">
        <v>28</v>
      </c>
      <c r="H1215" t="s">
        <v>29</v>
      </c>
      <c r="I1215" s="1" t="s">
        <v>30</v>
      </c>
      <c r="J1215">
        <v>2718.07</v>
      </c>
    </row>
    <row r="1216" spans="1:10" hidden="1" x14ac:dyDescent="0.35">
      <c r="A1216" t="str">
        <f t="shared" si="18"/>
        <v>Poté20184.10</v>
      </c>
      <c r="B1216">
        <v>3152402</v>
      </c>
      <c r="C1216" t="s">
        <v>57</v>
      </c>
      <c r="D1216">
        <v>2018</v>
      </c>
      <c r="E1216">
        <v>6</v>
      </c>
      <c r="F1216">
        <v>58</v>
      </c>
      <c r="G1216" t="s">
        <v>31</v>
      </c>
      <c r="H1216" t="s">
        <v>29</v>
      </c>
      <c r="I1216" s="1" t="s">
        <v>32</v>
      </c>
      <c r="J1216">
        <v>2414</v>
      </c>
    </row>
    <row r="1217" spans="1:10" hidden="1" x14ac:dyDescent="0.35">
      <c r="A1217" t="str">
        <f t="shared" si="18"/>
        <v>Poté20184.11</v>
      </c>
      <c r="B1217">
        <v>3152402</v>
      </c>
      <c r="C1217" t="s">
        <v>57</v>
      </c>
      <c r="D1217">
        <v>2018</v>
      </c>
      <c r="E1217">
        <v>6</v>
      </c>
      <c r="F1217">
        <v>59</v>
      </c>
      <c r="G1217" t="s">
        <v>33</v>
      </c>
      <c r="H1217" t="s">
        <v>29</v>
      </c>
      <c r="I1217" s="1" t="s">
        <v>34</v>
      </c>
      <c r="J1217">
        <v>2143.69</v>
      </c>
    </row>
    <row r="1218" spans="1:10" hidden="1" x14ac:dyDescent="0.35">
      <c r="A1218" t="str">
        <f t="shared" si="18"/>
        <v>Poté20184.2</v>
      </c>
      <c r="B1218">
        <v>3152402</v>
      </c>
      <c r="C1218" t="s">
        <v>57</v>
      </c>
      <c r="D1218">
        <v>2018</v>
      </c>
      <c r="E1218">
        <v>6</v>
      </c>
      <c r="F1218">
        <v>45</v>
      </c>
      <c r="G1218" t="s">
        <v>35</v>
      </c>
      <c r="H1218" t="s">
        <v>29</v>
      </c>
      <c r="I1218" s="1" t="s">
        <v>36</v>
      </c>
      <c r="J1218">
        <v>5571.96</v>
      </c>
    </row>
    <row r="1219" spans="1:10" hidden="1" x14ac:dyDescent="0.35">
      <c r="A1219" t="str">
        <f t="shared" si="18"/>
        <v>Poté20184.8</v>
      </c>
      <c r="B1219">
        <v>3152402</v>
      </c>
      <c r="C1219" t="s">
        <v>57</v>
      </c>
      <c r="D1219">
        <v>2018</v>
      </c>
      <c r="E1219">
        <v>6</v>
      </c>
      <c r="F1219">
        <v>56</v>
      </c>
      <c r="G1219" t="s">
        <v>37</v>
      </c>
      <c r="H1219" t="s">
        <v>29</v>
      </c>
      <c r="I1219" s="1" t="s">
        <v>38</v>
      </c>
      <c r="J1219">
        <v>4842.66</v>
      </c>
    </row>
    <row r="1220" spans="1:10" hidden="1" x14ac:dyDescent="0.35">
      <c r="A1220" t="str">
        <f t="shared" ref="A1220:A1283" si="19">C1220&amp;D1220&amp;G1220</f>
        <v>Poté20184.9</v>
      </c>
      <c r="B1220">
        <v>3152402</v>
      </c>
      <c r="C1220" t="s">
        <v>57</v>
      </c>
      <c r="D1220">
        <v>2018</v>
      </c>
      <c r="E1220">
        <v>6</v>
      </c>
      <c r="F1220">
        <v>57</v>
      </c>
      <c r="G1220" t="s">
        <v>39</v>
      </c>
      <c r="H1220" t="s">
        <v>29</v>
      </c>
      <c r="I1220" s="1" t="s">
        <v>40</v>
      </c>
      <c r="J1220">
        <v>4842.66</v>
      </c>
    </row>
    <row r="1221" spans="1:10" hidden="1" x14ac:dyDescent="0.35">
      <c r="A1221" t="str">
        <f t="shared" si="19"/>
        <v>Santa Helena de Minas20181.1</v>
      </c>
      <c r="B1221">
        <v>3157658</v>
      </c>
      <c r="C1221" t="s">
        <v>58</v>
      </c>
      <c r="D1221">
        <v>2018</v>
      </c>
      <c r="E1221">
        <v>6</v>
      </c>
      <c r="F1221">
        <v>24</v>
      </c>
      <c r="G1221" t="s">
        <v>10</v>
      </c>
      <c r="H1221" t="s">
        <v>11</v>
      </c>
      <c r="I1221" s="1" t="s">
        <v>12</v>
      </c>
      <c r="J1221">
        <v>0.26019999999999999</v>
      </c>
    </row>
    <row r="1222" spans="1:10" hidden="1" x14ac:dyDescent="0.35">
      <c r="A1222" t="str">
        <f t="shared" si="19"/>
        <v>Santa Helena de Minas20181.2</v>
      </c>
      <c r="B1222">
        <v>3157658</v>
      </c>
      <c r="C1222" t="s">
        <v>58</v>
      </c>
      <c r="D1222">
        <v>2018</v>
      </c>
      <c r="E1222">
        <v>6</v>
      </c>
      <c r="F1222">
        <v>67</v>
      </c>
      <c r="G1222" t="s">
        <v>13</v>
      </c>
      <c r="H1222" t="s">
        <v>11</v>
      </c>
      <c r="I1222" s="1" t="s">
        <v>14</v>
      </c>
      <c r="J1222">
        <v>1</v>
      </c>
    </row>
    <row r="1223" spans="1:10" hidden="1" x14ac:dyDescent="0.35">
      <c r="A1223" t="str">
        <f t="shared" si="19"/>
        <v>Santa Helena de Minas20181.3</v>
      </c>
      <c r="B1223">
        <v>3157658</v>
      </c>
      <c r="C1223" t="s">
        <v>58</v>
      </c>
      <c r="D1223">
        <v>2018</v>
      </c>
      <c r="E1223">
        <v>6</v>
      </c>
      <c r="F1223">
        <v>68</v>
      </c>
      <c r="G1223" t="s">
        <v>15</v>
      </c>
      <c r="H1223" t="s">
        <v>11</v>
      </c>
      <c r="I1223" s="1" t="s">
        <v>16</v>
      </c>
    </row>
    <row r="1224" spans="1:10" hidden="1" x14ac:dyDescent="0.35">
      <c r="A1224" t="str">
        <f t="shared" si="19"/>
        <v>Santa Helena de Minas20182.1</v>
      </c>
      <c r="B1224">
        <v>3157658</v>
      </c>
      <c r="C1224" t="s">
        <v>58</v>
      </c>
      <c r="D1224">
        <v>2018</v>
      </c>
      <c r="E1224">
        <v>6</v>
      </c>
      <c r="F1224">
        <v>28</v>
      </c>
      <c r="G1224" t="s">
        <v>17</v>
      </c>
      <c r="H1224" t="s">
        <v>18</v>
      </c>
      <c r="I1224" s="1" t="s">
        <v>19</v>
      </c>
    </row>
    <row r="1225" spans="1:10" hidden="1" x14ac:dyDescent="0.35">
      <c r="A1225" t="str">
        <f t="shared" si="19"/>
        <v>Santa Helena de Minas20182.2</v>
      </c>
      <c r="B1225">
        <v>3157658</v>
      </c>
      <c r="C1225" t="s">
        <v>58</v>
      </c>
      <c r="D1225">
        <v>2018</v>
      </c>
      <c r="E1225">
        <v>6</v>
      </c>
      <c r="F1225">
        <v>29</v>
      </c>
      <c r="G1225" t="s">
        <v>20</v>
      </c>
      <c r="H1225" t="s">
        <v>18</v>
      </c>
      <c r="I1225" s="1" t="s">
        <v>21</v>
      </c>
      <c r="J1225">
        <v>0.7419</v>
      </c>
    </row>
    <row r="1226" spans="1:10" hidden="1" x14ac:dyDescent="0.35">
      <c r="A1226" t="str">
        <f t="shared" si="19"/>
        <v>Santa Helena de Minas20182.4</v>
      </c>
      <c r="B1226">
        <v>3157658</v>
      </c>
      <c r="C1226" t="s">
        <v>58</v>
      </c>
      <c r="D1226">
        <v>2018</v>
      </c>
      <c r="E1226">
        <v>6</v>
      </c>
      <c r="F1226">
        <v>31</v>
      </c>
      <c r="G1226" t="s">
        <v>22</v>
      </c>
      <c r="H1226" t="s">
        <v>18</v>
      </c>
      <c r="I1226" s="1" t="s">
        <v>23</v>
      </c>
      <c r="J1226">
        <v>0.11219999999999999</v>
      </c>
    </row>
    <row r="1227" spans="1:10" hidden="1" x14ac:dyDescent="0.35">
      <c r="A1227" t="str">
        <f t="shared" si="19"/>
        <v>Santa Helena de Minas20182.5</v>
      </c>
      <c r="B1227">
        <v>3157658</v>
      </c>
      <c r="C1227" t="s">
        <v>58</v>
      </c>
      <c r="D1227">
        <v>2018</v>
      </c>
      <c r="E1227">
        <v>6</v>
      </c>
      <c r="F1227">
        <v>32</v>
      </c>
      <c r="G1227" t="s">
        <v>24</v>
      </c>
      <c r="H1227" t="s">
        <v>18</v>
      </c>
      <c r="I1227" s="1" t="s">
        <v>25</v>
      </c>
      <c r="J1227">
        <v>0.80189999999999995</v>
      </c>
    </row>
    <row r="1228" spans="1:10" hidden="1" x14ac:dyDescent="0.35">
      <c r="A1228" t="str">
        <f t="shared" si="19"/>
        <v>Santa Helena de Minas20182.8</v>
      </c>
      <c r="B1228">
        <v>3157658</v>
      </c>
      <c r="C1228" t="s">
        <v>58</v>
      </c>
      <c r="D1228">
        <v>2018</v>
      </c>
      <c r="E1228">
        <v>6</v>
      </c>
      <c r="F1228">
        <v>35</v>
      </c>
      <c r="G1228" t="s">
        <v>26</v>
      </c>
      <c r="H1228" t="s">
        <v>18</v>
      </c>
      <c r="I1228" s="1" t="s">
        <v>27</v>
      </c>
      <c r="J1228">
        <v>0.20519999999999999</v>
      </c>
    </row>
    <row r="1229" spans="1:10" hidden="1" x14ac:dyDescent="0.35">
      <c r="A1229" t="str">
        <f t="shared" si="19"/>
        <v>Santa Helena de Minas20184.1</v>
      </c>
      <c r="B1229">
        <v>3157658</v>
      </c>
      <c r="C1229" t="s">
        <v>58</v>
      </c>
      <c r="D1229">
        <v>2018</v>
      </c>
      <c r="E1229">
        <v>6</v>
      </c>
      <c r="F1229">
        <v>44</v>
      </c>
      <c r="G1229" t="s">
        <v>28</v>
      </c>
      <c r="H1229" t="s">
        <v>29</v>
      </c>
      <c r="I1229" s="1" t="s">
        <v>30</v>
      </c>
      <c r="J1229">
        <v>2329.6999999999998</v>
      </c>
    </row>
    <row r="1230" spans="1:10" hidden="1" x14ac:dyDescent="0.35">
      <c r="A1230" t="str">
        <f t="shared" si="19"/>
        <v>Santa Helena de Minas20184.10</v>
      </c>
      <c r="B1230">
        <v>3157658</v>
      </c>
      <c r="C1230" t="s">
        <v>58</v>
      </c>
      <c r="D1230">
        <v>2018</v>
      </c>
      <c r="E1230">
        <v>6</v>
      </c>
      <c r="F1230">
        <v>58</v>
      </c>
      <c r="G1230" t="s">
        <v>31</v>
      </c>
      <c r="H1230" t="s">
        <v>29</v>
      </c>
      <c r="I1230" s="1" t="s">
        <v>32</v>
      </c>
      <c r="J1230">
        <v>5503.51</v>
      </c>
    </row>
    <row r="1231" spans="1:10" hidden="1" x14ac:dyDescent="0.35">
      <c r="A1231" t="str">
        <f t="shared" si="19"/>
        <v>Santa Helena de Minas20184.11</v>
      </c>
      <c r="B1231">
        <v>3157658</v>
      </c>
      <c r="C1231" t="s">
        <v>58</v>
      </c>
      <c r="D1231">
        <v>2018</v>
      </c>
      <c r="E1231">
        <v>6</v>
      </c>
      <c r="F1231">
        <v>59</v>
      </c>
      <c r="G1231" t="s">
        <v>33</v>
      </c>
      <c r="H1231" t="s">
        <v>29</v>
      </c>
      <c r="I1231" s="1" t="s">
        <v>34</v>
      </c>
    </row>
    <row r="1232" spans="1:10" hidden="1" x14ac:dyDescent="0.35">
      <c r="A1232" t="str">
        <f t="shared" si="19"/>
        <v>Santa Helena de Minas20184.2</v>
      </c>
      <c r="B1232">
        <v>3157658</v>
      </c>
      <c r="C1232" t="s">
        <v>58</v>
      </c>
      <c r="D1232">
        <v>2018</v>
      </c>
      <c r="E1232">
        <v>6</v>
      </c>
      <c r="F1232">
        <v>45</v>
      </c>
      <c r="G1232" t="s">
        <v>35</v>
      </c>
      <c r="H1232" t="s">
        <v>29</v>
      </c>
      <c r="I1232" s="1" t="s">
        <v>36</v>
      </c>
      <c r="J1232">
        <v>6789.51</v>
      </c>
    </row>
    <row r="1233" spans="1:10" hidden="1" x14ac:dyDescent="0.35">
      <c r="A1233" t="str">
        <f t="shared" si="19"/>
        <v>Santa Helena de Minas20184.8</v>
      </c>
      <c r="B1233">
        <v>3157658</v>
      </c>
      <c r="C1233" t="s">
        <v>58</v>
      </c>
      <c r="D1233">
        <v>2018</v>
      </c>
      <c r="E1233">
        <v>6</v>
      </c>
      <c r="F1233">
        <v>56</v>
      </c>
      <c r="G1233" t="s">
        <v>37</v>
      </c>
      <c r="H1233" t="s">
        <v>29</v>
      </c>
      <c r="I1233" s="1" t="s">
        <v>38</v>
      </c>
      <c r="J1233">
        <v>5503.51</v>
      </c>
    </row>
    <row r="1234" spans="1:10" hidden="1" x14ac:dyDescent="0.35">
      <c r="A1234" t="str">
        <f t="shared" si="19"/>
        <v>Santa Helena de Minas20184.9</v>
      </c>
      <c r="B1234">
        <v>3157658</v>
      </c>
      <c r="C1234" t="s">
        <v>58</v>
      </c>
      <c r="D1234">
        <v>2018</v>
      </c>
      <c r="E1234">
        <v>6</v>
      </c>
      <c r="F1234">
        <v>57</v>
      </c>
      <c r="G1234" t="s">
        <v>39</v>
      </c>
      <c r="H1234" t="s">
        <v>29</v>
      </c>
      <c r="I1234" s="1" t="s">
        <v>40</v>
      </c>
      <c r="J1234">
        <v>5503.51</v>
      </c>
    </row>
    <row r="1235" spans="1:10" hidden="1" x14ac:dyDescent="0.35">
      <c r="A1235" t="str">
        <f t="shared" si="19"/>
        <v>Serra dos Aimorés20181.1</v>
      </c>
      <c r="B1235">
        <v>3166709</v>
      </c>
      <c r="C1235" t="s">
        <v>59</v>
      </c>
      <c r="D1235">
        <v>2018</v>
      </c>
      <c r="E1235">
        <v>6</v>
      </c>
      <c r="F1235">
        <v>24</v>
      </c>
      <c r="G1235" t="s">
        <v>10</v>
      </c>
      <c r="H1235" t="s">
        <v>11</v>
      </c>
      <c r="I1235" s="1" t="s">
        <v>12</v>
      </c>
      <c r="J1235">
        <v>0.27800000000000002</v>
      </c>
    </row>
    <row r="1236" spans="1:10" hidden="1" x14ac:dyDescent="0.35">
      <c r="A1236" t="str">
        <f t="shared" si="19"/>
        <v>Serra dos Aimorés20181.2</v>
      </c>
      <c r="B1236">
        <v>3166709</v>
      </c>
      <c r="C1236" t="s">
        <v>59</v>
      </c>
      <c r="D1236">
        <v>2018</v>
      </c>
      <c r="E1236">
        <v>6</v>
      </c>
      <c r="F1236">
        <v>67</v>
      </c>
      <c r="G1236" t="s">
        <v>13</v>
      </c>
      <c r="H1236" t="s">
        <v>11</v>
      </c>
      <c r="I1236" s="1" t="s">
        <v>14</v>
      </c>
      <c r="J1236">
        <v>0.81659999999999999</v>
      </c>
    </row>
    <row r="1237" spans="1:10" hidden="1" x14ac:dyDescent="0.35">
      <c r="A1237" t="str">
        <f t="shared" si="19"/>
        <v>Serra dos Aimorés20181.3</v>
      </c>
      <c r="B1237">
        <v>3166709</v>
      </c>
      <c r="C1237" t="s">
        <v>59</v>
      </c>
      <c r="D1237">
        <v>2018</v>
      </c>
      <c r="E1237">
        <v>6</v>
      </c>
      <c r="F1237">
        <v>68</v>
      </c>
      <c r="G1237" t="s">
        <v>15</v>
      </c>
      <c r="H1237" t="s">
        <v>11</v>
      </c>
      <c r="I1237" s="1" t="s">
        <v>16</v>
      </c>
      <c r="J1237">
        <v>0.18340000000000001</v>
      </c>
    </row>
    <row r="1238" spans="1:10" hidden="1" x14ac:dyDescent="0.35">
      <c r="A1238" t="str">
        <f t="shared" si="19"/>
        <v>Serra dos Aimorés20182.1</v>
      </c>
      <c r="B1238">
        <v>3166709</v>
      </c>
      <c r="C1238" t="s">
        <v>59</v>
      </c>
      <c r="D1238">
        <v>2018</v>
      </c>
      <c r="E1238">
        <v>6</v>
      </c>
      <c r="F1238">
        <v>28</v>
      </c>
      <c r="G1238" t="s">
        <v>17</v>
      </c>
      <c r="H1238" t="s">
        <v>18</v>
      </c>
      <c r="I1238" s="1" t="s">
        <v>19</v>
      </c>
    </row>
    <row r="1239" spans="1:10" hidden="1" x14ac:dyDescent="0.35">
      <c r="A1239" t="str">
        <f t="shared" si="19"/>
        <v>Serra dos Aimorés20182.2</v>
      </c>
      <c r="B1239">
        <v>3166709</v>
      </c>
      <c r="C1239" t="s">
        <v>59</v>
      </c>
      <c r="D1239">
        <v>2018</v>
      </c>
      <c r="E1239">
        <v>6</v>
      </c>
      <c r="F1239">
        <v>29</v>
      </c>
      <c r="G1239" t="s">
        <v>20</v>
      </c>
      <c r="H1239" t="s">
        <v>18</v>
      </c>
      <c r="I1239" s="1" t="s">
        <v>21</v>
      </c>
      <c r="J1239">
        <v>0.89680000000000004</v>
      </c>
    </row>
    <row r="1240" spans="1:10" hidden="1" x14ac:dyDescent="0.35">
      <c r="A1240" t="str">
        <f t="shared" si="19"/>
        <v>Serra dos Aimorés20182.4</v>
      </c>
      <c r="B1240">
        <v>3166709</v>
      </c>
      <c r="C1240" t="s">
        <v>59</v>
      </c>
      <c r="D1240">
        <v>2018</v>
      </c>
      <c r="E1240">
        <v>6</v>
      </c>
      <c r="F1240">
        <v>31</v>
      </c>
      <c r="G1240" t="s">
        <v>22</v>
      </c>
      <c r="H1240" t="s">
        <v>18</v>
      </c>
      <c r="I1240" s="1" t="s">
        <v>23</v>
      </c>
      <c r="J1240">
        <v>0.2384</v>
      </c>
    </row>
    <row r="1241" spans="1:10" hidden="1" x14ac:dyDescent="0.35">
      <c r="A1241" t="str">
        <f t="shared" si="19"/>
        <v>Serra dos Aimorés20182.5</v>
      </c>
      <c r="B1241">
        <v>3166709</v>
      </c>
      <c r="C1241" t="s">
        <v>59</v>
      </c>
      <c r="D1241">
        <v>2018</v>
      </c>
      <c r="E1241">
        <v>6</v>
      </c>
      <c r="F1241">
        <v>32</v>
      </c>
      <c r="G1241" t="s">
        <v>24</v>
      </c>
      <c r="H1241" t="s">
        <v>18</v>
      </c>
      <c r="I1241" s="1" t="s">
        <v>25</v>
      </c>
      <c r="J1241">
        <v>0.62339999999999995</v>
      </c>
    </row>
    <row r="1242" spans="1:10" hidden="1" x14ac:dyDescent="0.35">
      <c r="A1242" t="str">
        <f t="shared" si="19"/>
        <v>Serra dos Aimorés20182.8</v>
      </c>
      <c r="B1242">
        <v>3166709</v>
      </c>
      <c r="C1242" t="s">
        <v>59</v>
      </c>
      <c r="D1242">
        <v>2018</v>
      </c>
      <c r="E1242">
        <v>6</v>
      </c>
      <c r="F1242">
        <v>35</v>
      </c>
      <c r="G1242" t="s">
        <v>26</v>
      </c>
      <c r="H1242" t="s">
        <v>18</v>
      </c>
      <c r="I1242" s="1" t="s">
        <v>27</v>
      </c>
      <c r="J1242">
        <v>0.23930000000000001</v>
      </c>
    </row>
    <row r="1243" spans="1:10" hidden="1" x14ac:dyDescent="0.35">
      <c r="A1243" t="str">
        <f t="shared" si="19"/>
        <v>Serra dos Aimorés20184.1</v>
      </c>
      <c r="B1243">
        <v>3166709</v>
      </c>
      <c r="C1243" t="s">
        <v>59</v>
      </c>
      <c r="D1243">
        <v>2018</v>
      </c>
      <c r="E1243">
        <v>6</v>
      </c>
      <c r="F1243">
        <v>44</v>
      </c>
      <c r="G1243" t="s">
        <v>28</v>
      </c>
      <c r="H1243" t="s">
        <v>29</v>
      </c>
      <c r="I1243" s="1" t="s">
        <v>30</v>
      </c>
      <c r="J1243">
        <v>3877.8</v>
      </c>
    </row>
    <row r="1244" spans="1:10" hidden="1" x14ac:dyDescent="0.35">
      <c r="A1244" t="str">
        <f t="shared" si="19"/>
        <v>Serra dos Aimorés20184.10</v>
      </c>
      <c r="B1244">
        <v>3166709</v>
      </c>
      <c r="C1244" t="s">
        <v>59</v>
      </c>
      <c r="D1244">
        <v>2018</v>
      </c>
      <c r="E1244">
        <v>6</v>
      </c>
      <c r="F1244">
        <v>58</v>
      </c>
      <c r="G1244" t="s">
        <v>31</v>
      </c>
      <c r="H1244" t="s">
        <v>29</v>
      </c>
      <c r="I1244" s="1" t="s">
        <v>32</v>
      </c>
      <c r="J1244">
        <v>3429.69</v>
      </c>
    </row>
    <row r="1245" spans="1:10" hidden="1" x14ac:dyDescent="0.35">
      <c r="A1245" t="str">
        <f t="shared" si="19"/>
        <v>Serra dos Aimorés20184.11</v>
      </c>
      <c r="B1245">
        <v>3166709</v>
      </c>
      <c r="C1245" t="s">
        <v>59</v>
      </c>
      <c r="D1245">
        <v>2018</v>
      </c>
      <c r="E1245">
        <v>6</v>
      </c>
      <c r="F1245">
        <v>59</v>
      </c>
      <c r="G1245" t="s">
        <v>33</v>
      </c>
      <c r="H1245" t="s">
        <v>29</v>
      </c>
      <c r="I1245" s="1" t="s">
        <v>34</v>
      </c>
      <c r="J1245">
        <v>1431.95</v>
      </c>
    </row>
    <row r="1246" spans="1:10" hidden="1" x14ac:dyDescent="0.35">
      <c r="A1246" t="str">
        <f t="shared" si="19"/>
        <v>Serra dos Aimorés20184.2</v>
      </c>
      <c r="B1246">
        <v>3166709</v>
      </c>
      <c r="C1246" t="s">
        <v>59</v>
      </c>
      <c r="D1246">
        <v>2018</v>
      </c>
      <c r="E1246">
        <v>6</v>
      </c>
      <c r="F1246">
        <v>45</v>
      </c>
      <c r="G1246" t="s">
        <v>35</v>
      </c>
      <c r="H1246" t="s">
        <v>29</v>
      </c>
      <c r="I1246" s="1" t="s">
        <v>36</v>
      </c>
      <c r="J1246">
        <v>5909.28</v>
      </c>
    </row>
    <row r="1247" spans="1:10" hidden="1" x14ac:dyDescent="0.35">
      <c r="A1247" t="str">
        <f t="shared" si="19"/>
        <v>Serra dos Aimorés20184.8</v>
      </c>
      <c r="B1247">
        <v>3166709</v>
      </c>
      <c r="C1247" t="s">
        <v>59</v>
      </c>
      <c r="D1247">
        <v>2018</v>
      </c>
      <c r="E1247">
        <v>6</v>
      </c>
      <c r="F1247">
        <v>56</v>
      </c>
      <c r="G1247" t="s">
        <v>37</v>
      </c>
      <c r="H1247" t="s">
        <v>29</v>
      </c>
      <c r="I1247" s="1" t="s">
        <v>38</v>
      </c>
      <c r="J1247">
        <v>5266.53</v>
      </c>
    </row>
    <row r="1248" spans="1:10" hidden="1" x14ac:dyDescent="0.35">
      <c r="A1248" t="str">
        <f t="shared" si="19"/>
        <v>Serra dos Aimorés20184.9</v>
      </c>
      <c r="B1248">
        <v>3166709</v>
      </c>
      <c r="C1248" t="s">
        <v>59</v>
      </c>
      <c r="D1248">
        <v>2018</v>
      </c>
      <c r="E1248">
        <v>6</v>
      </c>
      <c r="F1248">
        <v>57</v>
      </c>
      <c r="G1248" t="s">
        <v>39</v>
      </c>
      <c r="H1248" t="s">
        <v>29</v>
      </c>
      <c r="I1248" s="1" t="s">
        <v>40</v>
      </c>
      <c r="J1248">
        <v>5266.53</v>
      </c>
    </row>
    <row r="1249" spans="1:10" hidden="1" x14ac:dyDescent="0.35">
      <c r="A1249" t="str">
        <f t="shared" si="19"/>
        <v>Setubinha20181.1</v>
      </c>
      <c r="B1249">
        <v>3165552</v>
      </c>
      <c r="C1249" t="s">
        <v>60</v>
      </c>
      <c r="D1249">
        <v>2018</v>
      </c>
      <c r="E1249">
        <v>6</v>
      </c>
      <c r="F1249">
        <v>24</v>
      </c>
      <c r="G1249" t="s">
        <v>10</v>
      </c>
      <c r="H1249" t="s">
        <v>11</v>
      </c>
      <c r="I1249" s="1" t="s">
        <v>12</v>
      </c>
      <c r="J1249">
        <v>0.26619999999999999</v>
      </c>
    </row>
    <row r="1250" spans="1:10" hidden="1" x14ac:dyDescent="0.35">
      <c r="A1250" t="str">
        <f t="shared" si="19"/>
        <v>Setubinha20181.2</v>
      </c>
      <c r="B1250">
        <v>3165552</v>
      </c>
      <c r="C1250" t="s">
        <v>60</v>
      </c>
      <c r="D1250">
        <v>2018</v>
      </c>
      <c r="E1250">
        <v>6</v>
      </c>
      <c r="F1250">
        <v>67</v>
      </c>
      <c r="G1250" t="s">
        <v>13</v>
      </c>
      <c r="H1250" t="s">
        <v>11</v>
      </c>
      <c r="I1250" s="1" t="s">
        <v>14</v>
      </c>
      <c r="J1250">
        <v>0.71409999999999996</v>
      </c>
    </row>
    <row r="1251" spans="1:10" hidden="1" x14ac:dyDescent="0.35">
      <c r="A1251" t="str">
        <f t="shared" si="19"/>
        <v>Setubinha20181.3</v>
      </c>
      <c r="B1251">
        <v>3165552</v>
      </c>
      <c r="C1251" t="s">
        <v>60</v>
      </c>
      <c r="D1251">
        <v>2018</v>
      </c>
      <c r="E1251">
        <v>6</v>
      </c>
      <c r="F1251">
        <v>68</v>
      </c>
      <c r="G1251" t="s">
        <v>15</v>
      </c>
      <c r="H1251" t="s">
        <v>11</v>
      </c>
      <c r="I1251" s="1" t="s">
        <v>16</v>
      </c>
      <c r="J1251">
        <v>0.28589999999999999</v>
      </c>
    </row>
    <row r="1252" spans="1:10" hidden="1" x14ac:dyDescent="0.35">
      <c r="A1252" t="str">
        <f t="shared" si="19"/>
        <v>Setubinha20182.1</v>
      </c>
      <c r="B1252">
        <v>3165552</v>
      </c>
      <c r="C1252" t="s">
        <v>60</v>
      </c>
      <c r="D1252">
        <v>2018</v>
      </c>
      <c r="E1252">
        <v>6</v>
      </c>
      <c r="F1252">
        <v>28</v>
      </c>
      <c r="G1252" t="s">
        <v>17</v>
      </c>
      <c r="H1252" t="s">
        <v>18</v>
      </c>
      <c r="I1252" s="1" t="s">
        <v>19</v>
      </c>
    </row>
    <row r="1253" spans="1:10" hidden="1" x14ac:dyDescent="0.35">
      <c r="A1253" t="str">
        <f t="shared" si="19"/>
        <v>Setubinha20182.2</v>
      </c>
      <c r="B1253">
        <v>3165552</v>
      </c>
      <c r="C1253" t="s">
        <v>60</v>
      </c>
      <c r="D1253">
        <v>2018</v>
      </c>
      <c r="E1253">
        <v>6</v>
      </c>
      <c r="F1253">
        <v>29</v>
      </c>
      <c r="G1253" t="s">
        <v>20</v>
      </c>
      <c r="H1253" t="s">
        <v>18</v>
      </c>
      <c r="I1253" s="1" t="s">
        <v>21</v>
      </c>
      <c r="J1253">
        <v>0.94920000000000004</v>
      </c>
    </row>
    <row r="1254" spans="1:10" hidden="1" x14ac:dyDescent="0.35">
      <c r="A1254" t="str">
        <f t="shared" si="19"/>
        <v>Setubinha20182.4</v>
      </c>
      <c r="B1254">
        <v>3165552</v>
      </c>
      <c r="C1254" t="s">
        <v>60</v>
      </c>
      <c r="D1254">
        <v>2018</v>
      </c>
      <c r="E1254">
        <v>6</v>
      </c>
      <c r="F1254">
        <v>31</v>
      </c>
      <c r="G1254" t="s">
        <v>22</v>
      </c>
      <c r="H1254" t="s">
        <v>18</v>
      </c>
      <c r="I1254" s="1" t="s">
        <v>23</v>
      </c>
      <c r="J1254">
        <v>8.7999999999999995E-2</v>
      </c>
    </row>
    <row r="1255" spans="1:10" hidden="1" x14ac:dyDescent="0.35">
      <c r="A1255" t="str">
        <f t="shared" si="19"/>
        <v>Setubinha20182.5</v>
      </c>
      <c r="B1255">
        <v>3165552</v>
      </c>
      <c r="C1255" t="s">
        <v>60</v>
      </c>
      <c r="D1255">
        <v>2018</v>
      </c>
      <c r="E1255">
        <v>6</v>
      </c>
      <c r="F1255">
        <v>32</v>
      </c>
      <c r="G1255" t="s">
        <v>24</v>
      </c>
      <c r="H1255" t="s">
        <v>18</v>
      </c>
      <c r="I1255" s="1" t="s">
        <v>25</v>
      </c>
      <c r="J1255">
        <v>0.38940000000000002</v>
      </c>
    </row>
    <row r="1256" spans="1:10" hidden="1" x14ac:dyDescent="0.35">
      <c r="A1256" t="str">
        <f t="shared" si="19"/>
        <v>Setubinha20182.8</v>
      </c>
      <c r="B1256">
        <v>3165552</v>
      </c>
      <c r="C1256" t="s">
        <v>60</v>
      </c>
      <c r="D1256">
        <v>2018</v>
      </c>
      <c r="E1256">
        <v>6</v>
      </c>
      <c r="F1256">
        <v>35</v>
      </c>
      <c r="G1256" t="s">
        <v>26</v>
      </c>
      <c r="H1256" t="s">
        <v>18</v>
      </c>
      <c r="I1256" s="1" t="s">
        <v>27</v>
      </c>
      <c r="J1256">
        <v>0.34360000000000002</v>
      </c>
    </row>
    <row r="1257" spans="1:10" hidden="1" x14ac:dyDescent="0.35">
      <c r="A1257" t="str">
        <f t="shared" si="19"/>
        <v>Setubinha20184.1</v>
      </c>
      <c r="B1257">
        <v>3165552</v>
      </c>
      <c r="C1257" t="s">
        <v>60</v>
      </c>
      <c r="D1257">
        <v>2018</v>
      </c>
      <c r="E1257">
        <v>6</v>
      </c>
      <c r="F1257">
        <v>44</v>
      </c>
      <c r="G1257" t="s">
        <v>28</v>
      </c>
      <c r="H1257" t="s">
        <v>29</v>
      </c>
      <c r="I1257" s="1" t="s">
        <v>30</v>
      </c>
      <c r="J1257">
        <v>2081.4</v>
      </c>
    </row>
    <row r="1258" spans="1:10" hidden="1" x14ac:dyDescent="0.35">
      <c r="A1258" t="str">
        <f t="shared" si="19"/>
        <v>Setubinha20184.10</v>
      </c>
      <c r="B1258">
        <v>3165552</v>
      </c>
      <c r="C1258" t="s">
        <v>60</v>
      </c>
      <c r="D1258">
        <v>2018</v>
      </c>
      <c r="E1258">
        <v>6</v>
      </c>
      <c r="F1258">
        <v>58</v>
      </c>
      <c r="G1258" t="s">
        <v>31</v>
      </c>
      <c r="H1258" t="s">
        <v>29</v>
      </c>
      <c r="I1258" s="1" t="s">
        <v>32</v>
      </c>
      <c r="J1258">
        <v>2056.17</v>
      </c>
    </row>
    <row r="1259" spans="1:10" hidden="1" x14ac:dyDescent="0.35">
      <c r="A1259" t="str">
        <f t="shared" si="19"/>
        <v>Setubinha20184.11</v>
      </c>
      <c r="B1259">
        <v>3165552</v>
      </c>
      <c r="C1259" t="s">
        <v>60</v>
      </c>
      <c r="D1259">
        <v>2018</v>
      </c>
      <c r="E1259">
        <v>6</v>
      </c>
      <c r="F1259">
        <v>59</v>
      </c>
      <c r="G1259" t="s">
        <v>33</v>
      </c>
      <c r="H1259" t="s">
        <v>29</v>
      </c>
      <c r="I1259" s="1" t="s">
        <v>34</v>
      </c>
      <c r="J1259">
        <v>2263.42</v>
      </c>
    </row>
    <row r="1260" spans="1:10" hidden="1" x14ac:dyDescent="0.35">
      <c r="A1260" t="str">
        <f t="shared" si="19"/>
        <v>Setubinha20184.2</v>
      </c>
      <c r="B1260">
        <v>3165552</v>
      </c>
      <c r="C1260" t="s">
        <v>60</v>
      </c>
      <c r="D1260">
        <v>2018</v>
      </c>
      <c r="E1260">
        <v>6</v>
      </c>
      <c r="F1260">
        <v>45</v>
      </c>
      <c r="G1260" t="s">
        <v>35</v>
      </c>
      <c r="H1260" t="s">
        <v>29</v>
      </c>
      <c r="I1260" s="1" t="s">
        <v>36</v>
      </c>
      <c r="J1260">
        <v>7781</v>
      </c>
    </row>
    <row r="1261" spans="1:10" hidden="1" x14ac:dyDescent="0.35">
      <c r="A1261" t="str">
        <f t="shared" si="19"/>
        <v>Setubinha20184.8</v>
      </c>
      <c r="B1261">
        <v>3165552</v>
      </c>
      <c r="C1261" t="s">
        <v>60</v>
      </c>
      <c r="D1261">
        <v>2018</v>
      </c>
      <c r="E1261">
        <v>6</v>
      </c>
      <c r="F1261">
        <v>56</v>
      </c>
      <c r="G1261" t="s">
        <v>37</v>
      </c>
      <c r="H1261" t="s">
        <v>29</v>
      </c>
      <c r="I1261" s="1" t="s">
        <v>38</v>
      </c>
      <c r="J1261">
        <v>4990.74</v>
      </c>
    </row>
    <row r="1262" spans="1:10" hidden="1" x14ac:dyDescent="0.35">
      <c r="A1262" t="str">
        <f t="shared" si="19"/>
        <v>Setubinha20184.9</v>
      </c>
      <c r="B1262">
        <v>3165552</v>
      </c>
      <c r="C1262" t="s">
        <v>60</v>
      </c>
      <c r="D1262">
        <v>2018</v>
      </c>
      <c r="E1262">
        <v>6</v>
      </c>
      <c r="F1262">
        <v>57</v>
      </c>
      <c r="G1262" t="s">
        <v>39</v>
      </c>
      <c r="H1262" t="s">
        <v>29</v>
      </c>
      <c r="I1262" s="1" t="s">
        <v>40</v>
      </c>
      <c r="J1262">
        <v>4990.74</v>
      </c>
    </row>
    <row r="1263" spans="1:10" hidden="1" x14ac:dyDescent="0.35">
      <c r="A1263" t="str">
        <f t="shared" si="19"/>
        <v>Teófilo Otoni20181.1</v>
      </c>
      <c r="B1263">
        <v>3168606</v>
      </c>
      <c r="C1263" t="s">
        <v>61</v>
      </c>
      <c r="D1263">
        <v>2018</v>
      </c>
      <c r="E1263">
        <v>6</v>
      </c>
      <c r="F1263">
        <v>24</v>
      </c>
      <c r="G1263" t="s">
        <v>10</v>
      </c>
      <c r="H1263" t="s">
        <v>11</v>
      </c>
      <c r="I1263" s="1" t="s">
        <v>12</v>
      </c>
      <c r="J1263">
        <v>0.28770000000000001</v>
      </c>
    </row>
    <row r="1264" spans="1:10" hidden="1" x14ac:dyDescent="0.35">
      <c r="A1264" t="str">
        <f t="shared" si="19"/>
        <v>Teófilo Otoni20181.2</v>
      </c>
      <c r="B1264">
        <v>3168606</v>
      </c>
      <c r="C1264" t="s">
        <v>61</v>
      </c>
      <c r="D1264">
        <v>2018</v>
      </c>
      <c r="E1264">
        <v>6</v>
      </c>
      <c r="F1264">
        <v>67</v>
      </c>
      <c r="G1264" t="s">
        <v>13</v>
      </c>
      <c r="H1264" t="s">
        <v>11</v>
      </c>
      <c r="I1264" s="1" t="s">
        <v>14</v>
      </c>
      <c r="J1264">
        <v>0.77990000000000004</v>
      </c>
    </row>
    <row r="1265" spans="1:10" hidden="1" x14ac:dyDescent="0.35">
      <c r="A1265" t="str">
        <f t="shared" si="19"/>
        <v>Teófilo Otoni20181.3</v>
      </c>
      <c r="B1265">
        <v>3168606</v>
      </c>
      <c r="C1265" t="s">
        <v>61</v>
      </c>
      <c r="D1265">
        <v>2018</v>
      </c>
      <c r="E1265">
        <v>6</v>
      </c>
      <c r="F1265">
        <v>68</v>
      </c>
      <c r="G1265" t="s">
        <v>15</v>
      </c>
      <c r="H1265" t="s">
        <v>11</v>
      </c>
      <c r="I1265" s="1" t="s">
        <v>16</v>
      </c>
      <c r="J1265">
        <v>0.22009999999999999</v>
      </c>
    </row>
    <row r="1266" spans="1:10" hidden="1" x14ac:dyDescent="0.35">
      <c r="A1266" t="str">
        <f t="shared" si="19"/>
        <v>Teófilo Otoni20182.1</v>
      </c>
      <c r="B1266">
        <v>3168606</v>
      </c>
      <c r="C1266" t="s">
        <v>61</v>
      </c>
      <c r="D1266">
        <v>2018</v>
      </c>
      <c r="E1266">
        <v>6</v>
      </c>
      <c r="F1266">
        <v>28</v>
      </c>
      <c r="G1266" t="s">
        <v>17</v>
      </c>
      <c r="H1266" t="s">
        <v>18</v>
      </c>
      <c r="I1266" s="1" t="s">
        <v>19</v>
      </c>
    </row>
    <row r="1267" spans="1:10" hidden="1" x14ac:dyDescent="0.35">
      <c r="A1267" t="str">
        <f t="shared" si="19"/>
        <v>Teófilo Otoni20182.2</v>
      </c>
      <c r="B1267">
        <v>3168606</v>
      </c>
      <c r="C1267" t="s">
        <v>61</v>
      </c>
      <c r="D1267">
        <v>2018</v>
      </c>
      <c r="E1267">
        <v>6</v>
      </c>
      <c r="F1267">
        <v>29</v>
      </c>
      <c r="G1267" t="s">
        <v>20</v>
      </c>
      <c r="H1267" t="s">
        <v>18</v>
      </c>
      <c r="I1267" s="1" t="s">
        <v>21</v>
      </c>
      <c r="J1267">
        <v>0.67869999999999997</v>
      </c>
    </row>
    <row r="1268" spans="1:10" hidden="1" x14ac:dyDescent="0.35">
      <c r="A1268" t="str">
        <f t="shared" si="19"/>
        <v>Teófilo Otoni20182.4</v>
      </c>
      <c r="B1268">
        <v>3168606</v>
      </c>
      <c r="C1268" t="s">
        <v>61</v>
      </c>
      <c r="D1268">
        <v>2018</v>
      </c>
      <c r="E1268">
        <v>6</v>
      </c>
      <c r="F1268">
        <v>31</v>
      </c>
      <c r="G1268" t="s">
        <v>22</v>
      </c>
      <c r="H1268" t="s">
        <v>18</v>
      </c>
      <c r="I1268" s="1" t="s">
        <v>23</v>
      </c>
      <c r="J1268">
        <v>0.17299999999999999</v>
      </c>
    </row>
    <row r="1269" spans="1:10" hidden="1" x14ac:dyDescent="0.35">
      <c r="A1269" t="str">
        <f t="shared" si="19"/>
        <v>Teófilo Otoni20182.5</v>
      </c>
      <c r="B1269">
        <v>3168606</v>
      </c>
      <c r="C1269" t="s">
        <v>61</v>
      </c>
      <c r="D1269">
        <v>2018</v>
      </c>
      <c r="E1269">
        <v>6</v>
      </c>
      <c r="F1269">
        <v>32</v>
      </c>
      <c r="G1269" t="s">
        <v>24</v>
      </c>
      <c r="H1269" t="s">
        <v>18</v>
      </c>
      <c r="I1269" s="1" t="s">
        <v>25</v>
      </c>
      <c r="J1269">
        <v>0.49540000000000001</v>
      </c>
    </row>
    <row r="1270" spans="1:10" hidden="1" x14ac:dyDescent="0.35">
      <c r="A1270" t="str">
        <f t="shared" si="19"/>
        <v>Teófilo Otoni20182.8</v>
      </c>
      <c r="B1270">
        <v>3168606</v>
      </c>
      <c r="C1270" t="s">
        <v>61</v>
      </c>
      <c r="D1270">
        <v>2018</v>
      </c>
      <c r="E1270">
        <v>6</v>
      </c>
      <c r="F1270">
        <v>35</v>
      </c>
      <c r="G1270" t="s">
        <v>26</v>
      </c>
      <c r="H1270" t="s">
        <v>18</v>
      </c>
      <c r="I1270" s="1" t="s">
        <v>27</v>
      </c>
      <c r="J1270">
        <v>0.1883</v>
      </c>
    </row>
    <row r="1271" spans="1:10" hidden="1" x14ac:dyDescent="0.35">
      <c r="A1271" t="str">
        <f t="shared" si="19"/>
        <v>Teófilo Otoni20184.1</v>
      </c>
      <c r="B1271">
        <v>3168606</v>
      </c>
      <c r="C1271" t="s">
        <v>61</v>
      </c>
      <c r="D1271">
        <v>2018</v>
      </c>
      <c r="E1271">
        <v>6</v>
      </c>
      <c r="F1271">
        <v>44</v>
      </c>
      <c r="G1271" t="s">
        <v>28</v>
      </c>
      <c r="H1271" t="s">
        <v>29</v>
      </c>
      <c r="I1271" s="1" t="s">
        <v>30</v>
      </c>
      <c r="J1271">
        <v>2758.76</v>
      </c>
    </row>
    <row r="1272" spans="1:10" hidden="1" x14ac:dyDescent="0.35">
      <c r="A1272" t="str">
        <f t="shared" si="19"/>
        <v>Teófilo Otoni20184.10</v>
      </c>
      <c r="B1272">
        <v>3168606</v>
      </c>
      <c r="C1272" t="s">
        <v>61</v>
      </c>
      <c r="D1272">
        <v>2018</v>
      </c>
      <c r="E1272">
        <v>6</v>
      </c>
      <c r="F1272">
        <v>58</v>
      </c>
      <c r="G1272" t="s">
        <v>31</v>
      </c>
      <c r="H1272" t="s">
        <v>29</v>
      </c>
      <c r="I1272" s="1" t="s">
        <v>32</v>
      </c>
      <c r="J1272">
        <v>2739.84</v>
      </c>
    </row>
    <row r="1273" spans="1:10" hidden="1" x14ac:dyDescent="0.35">
      <c r="A1273" t="str">
        <f t="shared" si="19"/>
        <v>Teófilo Otoni20184.11</v>
      </c>
      <c r="B1273">
        <v>3168606</v>
      </c>
      <c r="C1273" t="s">
        <v>61</v>
      </c>
      <c r="D1273">
        <v>2018</v>
      </c>
      <c r="E1273">
        <v>6</v>
      </c>
      <c r="F1273">
        <v>59</v>
      </c>
      <c r="G1273" t="s">
        <v>33</v>
      </c>
      <c r="H1273" t="s">
        <v>29</v>
      </c>
      <c r="I1273" s="1" t="s">
        <v>34</v>
      </c>
      <c r="J1273">
        <v>491.26</v>
      </c>
    </row>
    <row r="1274" spans="1:10" hidden="1" x14ac:dyDescent="0.35">
      <c r="A1274" t="str">
        <f t="shared" si="19"/>
        <v>Teófilo Otoni20184.2</v>
      </c>
      <c r="B1274">
        <v>3168606</v>
      </c>
      <c r="C1274" t="s">
        <v>61</v>
      </c>
      <c r="D1274">
        <v>2018</v>
      </c>
      <c r="E1274">
        <v>6</v>
      </c>
      <c r="F1274">
        <v>45</v>
      </c>
      <c r="G1274" t="s">
        <v>35</v>
      </c>
      <c r="H1274" t="s">
        <v>29</v>
      </c>
      <c r="I1274" s="1" t="s">
        <v>36</v>
      </c>
      <c r="J1274">
        <v>5355.2</v>
      </c>
    </row>
    <row r="1275" spans="1:10" hidden="1" x14ac:dyDescent="0.35">
      <c r="A1275" t="str">
        <f t="shared" si="19"/>
        <v>Teófilo Otoni20184.8</v>
      </c>
      <c r="B1275">
        <v>3168606</v>
      </c>
      <c r="C1275" t="s">
        <v>61</v>
      </c>
      <c r="D1275">
        <v>2018</v>
      </c>
      <c r="E1275">
        <v>6</v>
      </c>
      <c r="F1275">
        <v>56</v>
      </c>
      <c r="G1275" t="s">
        <v>37</v>
      </c>
      <c r="H1275" t="s">
        <v>29</v>
      </c>
      <c r="I1275" s="1" t="s">
        <v>38</v>
      </c>
      <c r="J1275">
        <v>4150</v>
      </c>
    </row>
    <row r="1276" spans="1:10" hidden="1" x14ac:dyDescent="0.35">
      <c r="A1276" t="str">
        <f t="shared" si="19"/>
        <v>Teófilo Otoni20184.9</v>
      </c>
      <c r="B1276">
        <v>3168606</v>
      </c>
      <c r="C1276" t="s">
        <v>61</v>
      </c>
      <c r="D1276">
        <v>2018</v>
      </c>
      <c r="E1276">
        <v>6</v>
      </c>
      <c r="F1276">
        <v>57</v>
      </c>
      <c r="G1276" t="s">
        <v>39</v>
      </c>
      <c r="H1276" t="s">
        <v>29</v>
      </c>
      <c r="I1276" s="1" t="s">
        <v>40</v>
      </c>
      <c r="J1276">
        <v>4150</v>
      </c>
    </row>
    <row r="1277" spans="1:10" hidden="1" x14ac:dyDescent="0.35">
      <c r="A1277" t="str">
        <f t="shared" si="19"/>
        <v>Umburatiba20181.1</v>
      </c>
      <c r="B1277">
        <v>3170305</v>
      </c>
      <c r="C1277" t="s">
        <v>62</v>
      </c>
      <c r="D1277">
        <v>2018</v>
      </c>
      <c r="E1277">
        <v>6</v>
      </c>
      <c r="F1277">
        <v>24</v>
      </c>
      <c r="G1277" t="s">
        <v>10</v>
      </c>
      <c r="H1277" t="s">
        <v>11</v>
      </c>
      <c r="I1277" s="1" t="s">
        <v>12</v>
      </c>
      <c r="J1277">
        <v>0.27439999999999998</v>
      </c>
    </row>
    <row r="1278" spans="1:10" hidden="1" x14ac:dyDescent="0.35">
      <c r="A1278" t="str">
        <f t="shared" si="19"/>
        <v>Umburatiba20181.2</v>
      </c>
      <c r="B1278">
        <v>3170305</v>
      </c>
      <c r="C1278" t="s">
        <v>62</v>
      </c>
      <c r="D1278">
        <v>2018</v>
      </c>
      <c r="E1278">
        <v>6</v>
      </c>
      <c r="F1278">
        <v>67</v>
      </c>
      <c r="G1278" t="s">
        <v>13</v>
      </c>
      <c r="H1278" t="s">
        <v>11</v>
      </c>
      <c r="I1278" s="1" t="s">
        <v>14</v>
      </c>
      <c r="J1278">
        <v>0.77629999999999999</v>
      </c>
    </row>
    <row r="1279" spans="1:10" hidden="1" x14ac:dyDescent="0.35">
      <c r="A1279" t="str">
        <f t="shared" si="19"/>
        <v>Umburatiba20181.3</v>
      </c>
      <c r="B1279">
        <v>3170305</v>
      </c>
      <c r="C1279" t="s">
        <v>62</v>
      </c>
      <c r="D1279">
        <v>2018</v>
      </c>
      <c r="E1279">
        <v>6</v>
      </c>
      <c r="F1279">
        <v>68</v>
      </c>
      <c r="G1279" t="s">
        <v>15</v>
      </c>
      <c r="H1279" t="s">
        <v>11</v>
      </c>
      <c r="I1279" s="1" t="s">
        <v>16</v>
      </c>
      <c r="J1279">
        <v>0.22370000000000001</v>
      </c>
    </row>
    <row r="1280" spans="1:10" hidden="1" x14ac:dyDescent="0.35">
      <c r="A1280" t="str">
        <f t="shared" si="19"/>
        <v>Umburatiba20182.1</v>
      </c>
      <c r="B1280">
        <v>3170305</v>
      </c>
      <c r="C1280" t="s">
        <v>62</v>
      </c>
      <c r="D1280">
        <v>2018</v>
      </c>
      <c r="E1280">
        <v>6</v>
      </c>
      <c r="F1280">
        <v>28</v>
      </c>
      <c r="G1280" t="s">
        <v>17</v>
      </c>
      <c r="H1280" t="s">
        <v>18</v>
      </c>
      <c r="I1280" s="1" t="s">
        <v>19</v>
      </c>
    </row>
    <row r="1281" spans="1:10" hidden="1" x14ac:dyDescent="0.35">
      <c r="A1281" t="str">
        <f t="shared" si="19"/>
        <v>Umburatiba20182.2</v>
      </c>
      <c r="B1281">
        <v>3170305</v>
      </c>
      <c r="C1281" t="s">
        <v>62</v>
      </c>
      <c r="D1281">
        <v>2018</v>
      </c>
      <c r="E1281">
        <v>6</v>
      </c>
      <c r="F1281">
        <v>29</v>
      </c>
      <c r="G1281" t="s">
        <v>20</v>
      </c>
      <c r="H1281" t="s">
        <v>18</v>
      </c>
      <c r="I1281" s="1" t="s">
        <v>21</v>
      </c>
      <c r="J1281">
        <v>1</v>
      </c>
    </row>
    <row r="1282" spans="1:10" hidden="1" x14ac:dyDescent="0.35">
      <c r="A1282" t="str">
        <f t="shared" si="19"/>
        <v>Umburatiba20182.4</v>
      </c>
      <c r="B1282">
        <v>3170305</v>
      </c>
      <c r="C1282" t="s">
        <v>62</v>
      </c>
      <c r="D1282">
        <v>2018</v>
      </c>
      <c r="E1282">
        <v>6</v>
      </c>
      <c r="F1282">
        <v>31</v>
      </c>
      <c r="G1282" t="s">
        <v>22</v>
      </c>
      <c r="H1282" t="s">
        <v>18</v>
      </c>
      <c r="I1282" s="1" t="s">
        <v>23</v>
      </c>
      <c r="J1282">
        <v>6.0100000000000001E-2</v>
      </c>
    </row>
    <row r="1283" spans="1:10" hidden="1" x14ac:dyDescent="0.35">
      <c r="A1283" t="str">
        <f t="shared" si="19"/>
        <v>Umburatiba20182.5</v>
      </c>
      <c r="B1283">
        <v>3170305</v>
      </c>
      <c r="C1283" t="s">
        <v>62</v>
      </c>
      <c r="D1283">
        <v>2018</v>
      </c>
      <c r="E1283">
        <v>6</v>
      </c>
      <c r="F1283">
        <v>32</v>
      </c>
      <c r="G1283" t="s">
        <v>24</v>
      </c>
      <c r="H1283" t="s">
        <v>18</v>
      </c>
      <c r="I1283" s="1" t="s">
        <v>25</v>
      </c>
      <c r="J1283">
        <v>0.89029999999999998</v>
      </c>
    </row>
    <row r="1284" spans="1:10" hidden="1" x14ac:dyDescent="0.35">
      <c r="A1284" t="str">
        <f t="shared" ref="A1284:A1347" si="20">C1284&amp;D1284&amp;G1284</f>
        <v>Umburatiba20182.8</v>
      </c>
      <c r="B1284">
        <v>3170305</v>
      </c>
      <c r="C1284" t="s">
        <v>62</v>
      </c>
      <c r="D1284">
        <v>2018</v>
      </c>
      <c r="E1284">
        <v>6</v>
      </c>
      <c r="F1284">
        <v>35</v>
      </c>
      <c r="G1284" t="s">
        <v>26</v>
      </c>
      <c r="H1284" t="s">
        <v>18</v>
      </c>
      <c r="I1284" s="1" t="s">
        <v>27</v>
      </c>
      <c r="J1284">
        <v>0.29499999999999998</v>
      </c>
    </row>
    <row r="1285" spans="1:10" hidden="1" x14ac:dyDescent="0.35">
      <c r="A1285" t="str">
        <f t="shared" si="20"/>
        <v>Umburatiba20184.1</v>
      </c>
      <c r="B1285">
        <v>3170305</v>
      </c>
      <c r="C1285" t="s">
        <v>62</v>
      </c>
      <c r="D1285">
        <v>2018</v>
      </c>
      <c r="E1285">
        <v>6</v>
      </c>
      <c r="F1285">
        <v>44</v>
      </c>
      <c r="G1285" t="s">
        <v>28</v>
      </c>
      <c r="H1285" t="s">
        <v>29</v>
      </c>
      <c r="I1285" s="1" t="s">
        <v>30</v>
      </c>
      <c r="J1285">
        <v>2297.3000000000002</v>
      </c>
    </row>
    <row r="1286" spans="1:10" hidden="1" x14ac:dyDescent="0.35">
      <c r="A1286" t="str">
        <f t="shared" si="20"/>
        <v>Umburatiba20184.10</v>
      </c>
      <c r="B1286">
        <v>3170305</v>
      </c>
      <c r="C1286" t="s">
        <v>62</v>
      </c>
      <c r="D1286">
        <v>2018</v>
      </c>
      <c r="E1286">
        <v>6</v>
      </c>
      <c r="F1286">
        <v>58</v>
      </c>
      <c r="G1286" t="s">
        <v>31</v>
      </c>
      <c r="H1286" t="s">
        <v>29</v>
      </c>
      <c r="I1286" s="1" t="s">
        <v>32</v>
      </c>
      <c r="J1286">
        <v>6261.03</v>
      </c>
    </row>
    <row r="1287" spans="1:10" hidden="1" x14ac:dyDescent="0.35">
      <c r="A1287" t="str">
        <f t="shared" si="20"/>
        <v>Umburatiba20184.11</v>
      </c>
      <c r="B1287">
        <v>3170305</v>
      </c>
      <c r="C1287" t="s">
        <v>62</v>
      </c>
      <c r="D1287">
        <v>2018</v>
      </c>
      <c r="E1287">
        <v>6</v>
      </c>
      <c r="F1287">
        <v>59</v>
      </c>
      <c r="G1287" t="s">
        <v>33</v>
      </c>
      <c r="H1287" t="s">
        <v>29</v>
      </c>
      <c r="I1287" s="1" t="s">
        <v>34</v>
      </c>
      <c r="J1287">
        <v>831.05</v>
      </c>
    </row>
    <row r="1288" spans="1:10" hidden="1" x14ac:dyDescent="0.35">
      <c r="A1288" t="str">
        <f t="shared" si="20"/>
        <v>Umburatiba20184.2</v>
      </c>
      <c r="B1288">
        <v>3170305</v>
      </c>
      <c r="C1288" t="s">
        <v>62</v>
      </c>
      <c r="D1288">
        <v>2018</v>
      </c>
      <c r="E1288">
        <v>6</v>
      </c>
      <c r="F1288">
        <v>45</v>
      </c>
      <c r="G1288" t="s">
        <v>35</v>
      </c>
      <c r="H1288" t="s">
        <v>29</v>
      </c>
      <c r="I1288" s="1" t="s">
        <v>36</v>
      </c>
      <c r="J1288">
        <v>8215.68</v>
      </c>
    </row>
    <row r="1289" spans="1:10" hidden="1" x14ac:dyDescent="0.35">
      <c r="A1289" t="str">
        <f t="shared" si="20"/>
        <v>Umburatiba20184.8</v>
      </c>
      <c r="B1289">
        <v>3170305</v>
      </c>
      <c r="C1289" t="s">
        <v>62</v>
      </c>
      <c r="D1289">
        <v>2018</v>
      </c>
      <c r="E1289">
        <v>6</v>
      </c>
      <c r="F1289">
        <v>56</v>
      </c>
      <c r="G1289" t="s">
        <v>37</v>
      </c>
      <c r="H1289" t="s">
        <v>29</v>
      </c>
      <c r="I1289" s="1" t="s">
        <v>38</v>
      </c>
      <c r="J1289">
        <v>7092.08</v>
      </c>
    </row>
    <row r="1290" spans="1:10" hidden="1" x14ac:dyDescent="0.35">
      <c r="A1290" t="str">
        <f t="shared" si="20"/>
        <v>Umburatiba20184.9</v>
      </c>
      <c r="B1290">
        <v>3170305</v>
      </c>
      <c r="C1290" t="s">
        <v>62</v>
      </c>
      <c r="D1290">
        <v>2018</v>
      </c>
      <c r="E1290">
        <v>6</v>
      </c>
      <c r="F1290">
        <v>57</v>
      </c>
      <c r="G1290" t="s">
        <v>39</v>
      </c>
      <c r="H1290" t="s">
        <v>29</v>
      </c>
      <c r="I1290" s="1" t="s">
        <v>40</v>
      </c>
      <c r="J1290">
        <v>7092.08</v>
      </c>
    </row>
    <row r="1291" spans="1:10" hidden="1" x14ac:dyDescent="0.35">
      <c r="A1291" t="str">
        <f t="shared" si="20"/>
        <v>Águas Formosas20191.1</v>
      </c>
      <c r="B1291">
        <v>3100906</v>
      </c>
      <c r="C1291" t="s">
        <v>9</v>
      </c>
      <c r="D1291">
        <v>2019</v>
      </c>
      <c r="E1291">
        <v>6</v>
      </c>
      <c r="F1291">
        <v>24</v>
      </c>
      <c r="G1291" t="s">
        <v>10</v>
      </c>
      <c r="H1291" t="s">
        <v>11</v>
      </c>
      <c r="I1291" s="1" t="s">
        <v>12</v>
      </c>
      <c r="J1291">
        <v>0.28770000000000001</v>
      </c>
    </row>
    <row r="1292" spans="1:10" hidden="1" x14ac:dyDescent="0.35">
      <c r="A1292" t="str">
        <f t="shared" si="20"/>
        <v>Águas Formosas20191.2</v>
      </c>
      <c r="B1292">
        <v>3100906</v>
      </c>
      <c r="C1292" t="s">
        <v>9</v>
      </c>
      <c r="D1292">
        <v>2019</v>
      </c>
      <c r="E1292">
        <v>6</v>
      </c>
      <c r="F1292">
        <v>67</v>
      </c>
      <c r="G1292" t="s">
        <v>13</v>
      </c>
      <c r="H1292" t="s">
        <v>11</v>
      </c>
      <c r="I1292" s="1" t="s">
        <v>14</v>
      </c>
      <c r="J1292">
        <v>0.74160000000000004</v>
      </c>
    </row>
    <row r="1293" spans="1:10" hidden="1" x14ac:dyDescent="0.35">
      <c r="A1293" t="str">
        <f t="shared" si="20"/>
        <v>Águas Formosas20191.3</v>
      </c>
      <c r="B1293">
        <v>3100906</v>
      </c>
      <c r="C1293" t="s">
        <v>9</v>
      </c>
      <c r="D1293">
        <v>2019</v>
      </c>
      <c r="E1293">
        <v>6</v>
      </c>
      <c r="F1293">
        <v>68</v>
      </c>
      <c r="G1293" t="s">
        <v>15</v>
      </c>
      <c r="H1293" t="s">
        <v>11</v>
      </c>
      <c r="I1293" s="1" t="s">
        <v>16</v>
      </c>
      <c r="J1293">
        <v>0.25840000000000002</v>
      </c>
    </row>
    <row r="1294" spans="1:10" hidden="1" x14ac:dyDescent="0.35">
      <c r="A1294" t="str">
        <f t="shared" si="20"/>
        <v>Águas Formosas20192.1</v>
      </c>
      <c r="B1294">
        <v>3100906</v>
      </c>
      <c r="C1294" t="s">
        <v>9</v>
      </c>
      <c r="D1294">
        <v>2019</v>
      </c>
      <c r="E1294">
        <v>6</v>
      </c>
      <c r="F1294">
        <v>28</v>
      </c>
      <c r="G1294" t="s">
        <v>17</v>
      </c>
      <c r="H1294" t="s">
        <v>18</v>
      </c>
      <c r="I1294" s="1" t="s">
        <v>19</v>
      </c>
    </row>
    <row r="1295" spans="1:10" hidden="1" x14ac:dyDescent="0.35">
      <c r="A1295" t="str">
        <f t="shared" si="20"/>
        <v>Águas Formosas20192.2</v>
      </c>
      <c r="B1295">
        <v>3100906</v>
      </c>
      <c r="C1295" t="s">
        <v>9</v>
      </c>
      <c r="D1295">
        <v>2019</v>
      </c>
      <c r="E1295">
        <v>6</v>
      </c>
      <c r="F1295">
        <v>29</v>
      </c>
      <c r="G1295" t="s">
        <v>20</v>
      </c>
      <c r="H1295" t="s">
        <v>18</v>
      </c>
      <c r="I1295" s="1" t="s">
        <v>21</v>
      </c>
      <c r="J1295">
        <v>0.57399999999999995</v>
      </c>
    </row>
    <row r="1296" spans="1:10" hidden="1" x14ac:dyDescent="0.35">
      <c r="A1296" t="str">
        <f t="shared" si="20"/>
        <v>Águas Formosas20192.4</v>
      </c>
      <c r="B1296">
        <v>3100906</v>
      </c>
      <c r="C1296" t="s">
        <v>9</v>
      </c>
      <c r="D1296">
        <v>2019</v>
      </c>
      <c r="E1296">
        <v>6</v>
      </c>
      <c r="F1296">
        <v>31</v>
      </c>
      <c r="G1296" t="s">
        <v>22</v>
      </c>
      <c r="H1296" t="s">
        <v>18</v>
      </c>
      <c r="I1296" s="1" t="s">
        <v>23</v>
      </c>
      <c r="J1296">
        <v>0.33029999999999998</v>
      </c>
    </row>
    <row r="1297" spans="1:10" hidden="1" x14ac:dyDescent="0.35">
      <c r="A1297" t="str">
        <f t="shared" si="20"/>
        <v>Águas Formosas20192.5</v>
      </c>
      <c r="B1297">
        <v>3100906</v>
      </c>
      <c r="C1297" t="s">
        <v>9</v>
      </c>
      <c r="D1297">
        <v>2019</v>
      </c>
      <c r="E1297">
        <v>6</v>
      </c>
      <c r="F1297">
        <v>32</v>
      </c>
      <c r="G1297" t="s">
        <v>24</v>
      </c>
      <c r="H1297" t="s">
        <v>18</v>
      </c>
      <c r="I1297" s="1" t="s">
        <v>25</v>
      </c>
      <c r="J1297">
        <v>0.47470000000000001</v>
      </c>
    </row>
    <row r="1298" spans="1:10" hidden="1" x14ac:dyDescent="0.35">
      <c r="A1298" t="str">
        <f t="shared" si="20"/>
        <v>Águas Formosas20192.8</v>
      </c>
      <c r="B1298">
        <v>3100906</v>
      </c>
      <c r="C1298" t="s">
        <v>9</v>
      </c>
      <c r="D1298">
        <v>2019</v>
      </c>
      <c r="E1298">
        <v>6</v>
      </c>
      <c r="F1298">
        <v>35</v>
      </c>
      <c r="G1298" t="s">
        <v>26</v>
      </c>
      <c r="H1298" t="s">
        <v>18</v>
      </c>
      <c r="I1298" s="1" t="s">
        <v>27</v>
      </c>
      <c r="J1298">
        <v>0.25390000000000001</v>
      </c>
    </row>
    <row r="1299" spans="1:10" hidden="1" x14ac:dyDescent="0.35">
      <c r="A1299" t="str">
        <f t="shared" si="20"/>
        <v>Águas Formosas20194.1</v>
      </c>
      <c r="B1299">
        <v>3100906</v>
      </c>
      <c r="C1299" t="s">
        <v>9</v>
      </c>
      <c r="D1299">
        <v>2019</v>
      </c>
      <c r="E1299">
        <v>6</v>
      </c>
      <c r="F1299">
        <v>44</v>
      </c>
      <c r="G1299" t="s">
        <v>28</v>
      </c>
      <c r="H1299" t="s">
        <v>29</v>
      </c>
      <c r="I1299" s="1" t="s">
        <v>30</v>
      </c>
      <c r="J1299">
        <v>4647.1400000000003</v>
      </c>
    </row>
    <row r="1300" spans="1:10" hidden="1" x14ac:dyDescent="0.35">
      <c r="A1300" t="str">
        <f t="shared" si="20"/>
        <v>Águas Formosas20194.10</v>
      </c>
      <c r="B1300">
        <v>3100906</v>
      </c>
      <c r="C1300" t="s">
        <v>9</v>
      </c>
      <c r="D1300">
        <v>2019</v>
      </c>
      <c r="E1300">
        <v>6</v>
      </c>
      <c r="F1300">
        <v>58</v>
      </c>
      <c r="G1300" t="s">
        <v>31</v>
      </c>
      <c r="H1300" t="s">
        <v>29</v>
      </c>
      <c r="I1300" s="1" t="s">
        <v>32</v>
      </c>
      <c r="J1300">
        <v>4284</v>
      </c>
    </row>
    <row r="1301" spans="1:10" hidden="1" x14ac:dyDescent="0.35">
      <c r="A1301" t="str">
        <f t="shared" si="20"/>
        <v>Águas Formosas20194.11</v>
      </c>
      <c r="B1301">
        <v>3100906</v>
      </c>
      <c r="C1301" t="s">
        <v>9</v>
      </c>
      <c r="D1301">
        <v>2019</v>
      </c>
      <c r="E1301">
        <v>6</v>
      </c>
      <c r="F1301">
        <v>59</v>
      </c>
      <c r="G1301" t="s">
        <v>33</v>
      </c>
      <c r="H1301" t="s">
        <v>29</v>
      </c>
      <c r="I1301" s="1" t="s">
        <v>34</v>
      </c>
      <c r="J1301">
        <v>1656.2</v>
      </c>
    </row>
    <row r="1302" spans="1:10" hidden="1" x14ac:dyDescent="0.35">
      <c r="A1302" t="str">
        <f t="shared" si="20"/>
        <v>Águas Formosas20194.2</v>
      </c>
      <c r="B1302">
        <v>3100906</v>
      </c>
      <c r="C1302" t="s">
        <v>9</v>
      </c>
      <c r="D1302">
        <v>2019</v>
      </c>
      <c r="E1302">
        <v>6</v>
      </c>
      <c r="F1302">
        <v>45</v>
      </c>
      <c r="G1302" t="s">
        <v>35</v>
      </c>
      <c r="H1302" t="s">
        <v>29</v>
      </c>
      <c r="I1302" s="1" t="s">
        <v>36</v>
      </c>
      <c r="J1302">
        <v>11934.34</v>
      </c>
    </row>
    <row r="1303" spans="1:10" hidden="1" x14ac:dyDescent="0.35">
      <c r="A1303" t="str">
        <f t="shared" si="20"/>
        <v>Águas Formosas20194.8</v>
      </c>
      <c r="B1303">
        <v>3100906</v>
      </c>
      <c r="C1303" t="s">
        <v>9</v>
      </c>
      <c r="D1303">
        <v>2019</v>
      </c>
      <c r="E1303">
        <v>6</v>
      </c>
      <c r="F1303">
        <v>56</v>
      </c>
      <c r="G1303" t="s">
        <v>37</v>
      </c>
      <c r="H1303" t="s">
        <v>29</v>
      </c>
      <c r="I1303" s="1" t="s">
        <v>38</v>
      </c>
      <c r="J1303">
        <v>7074.29</v>
      </c>
    </row>
    <row r="1304" spans="1:10" hidden="1" x14ac:dyDescent="0.35">
      <c r="A1304" t="str">
        <f t="shared" si="20"/>
        <v>Águas Formosas20194.9</v>
      </c>
      <c r="B1304">
        <v>3100906</v>
      </c>
      <c r="C1304" t="s">
        <v>9</v>
      </c>
      <c r="D1304">
        <v>2019</v>
      </c>
      <c r="E1304">
        <v>6</v>
      </c>
      <c r="F1304">
        <v>57</v>
      </c>
      <c r="G1304" t="s">
        <v>39</v>
      </c>
      <c r="H1304" t="s">
        <v>29</v>
      </c>
      <c r="I1304" s="1" t="s">
        <v>40</v>
      </c>
      <c r="J1304">
        <v>7074.29</v>
      </c>
    </row>
    <row r="1305" spans="1:10" hidden="1" x14ac:dyDescent="0.35">
      <c r="A1305" t="str">
        <f t="shared" si="20"/>
        <v>Ataléia20191.1</v>
      </c>
      <c r="B1305">
        <v>3104700</v>
      </c>
      <c r="C1305" t="s">
        <v>41</v>
      </c>
      <c r="D1305">
        <v>2019</v>
      </c>
      <c r="E1305">
        <v>6</v>
      </c>
      <c r="F1305">
        <v>24</v>
      </c>
      <c r="G1305" t="s">
        <v>10</v>
      </c>
      <c r="H1305" t="s">
        <v>11</v>
      </c>
      <c r="I1305" s="1" t="s">
        <v>12</v>
      </c>
      <c r="J1305">
        <v>0.28920000000000001</v>
      </c>
    </row>
    <row r="1306" spans="1:10" hidden="1" x14ac:dyDescent="0.35">
      <c r="A1306" t="str">
        <f t="shared" si="20"/>
        <v>Ataléia20191.2</v>
      </c>
      <c r="B1306">
        <v>3104700</v>
      </c>
      <c r="C1306" t="s">
        <v>41</v>
      </c>
      <c r="D1306">
        <v>2019</v>
      </c>
      <c r="E1306">
        <v>6</v>
      </c>
      <c r="F1306">
        <v>67</v>
      </c>
      <c r="G1306" t="s">
        <v>13</v>
      </c>
      <c r="H1306" t="s">
        <v>11</v>
      </c>
      <c r="I1306" s="1" t="s">
        <v>14</v>
      </c>
      <c r="J1306">
        <v>1</v>
      </c>
    </row>
    <row r="1307" spans="1:10" hidden="1" x14ac:dyDescent="0.35">
      <c r="A1307" t="str">
        <f t="shared" si="20"/>
        <v>Ataléia20191.3</v>
      </c>
      <c r="B1307">
        <v>3104700</v>
      </c>
      <c r="C1307" t="s">
        <v>41</v>
      </c>
      <c r="D1307">
        <v>2019</v>
      </c>
      <c r="E1307">
        <v>6</v>
      </c>
      <c r="F1307">
        <v>68</v>
      </c>
      <c r="G1307" t="s">
        <v>15</v>
      </c>
      <c r="H1307" t="s">
        <v>11</v>
      </c>
      <c r="I1307" s="1" t="s">
        <v>16</v>
      </c>
    </row>
    <row r="1308" spans="1:10" hidden="1" x14ac:dyDescent="0.35">
      <c r="A1308" t="str">
        <f t="shared" si="20"/>
        <v>Ataléia20192.1</v>
      </c>
      <c r="B1308">
        <v>3104700</v>
      </c>
      <c r="C1308" t="s">
        <v>41</v>
      </c>
      <c r="D1308">
        <v>2019</v>
      </c>
      <c r="E1308">
        <v>6</v>
      </c>
      <c r="F1308">
        <v>28</v>
      </c>
      <c r="G1308" t="s">
        <v>17</v>
      </c>
      <c r="H1308" t="s">
        <v>18</v>
      </c>
      <c r="I1308" s="1" t="s">
        <v>19</v>
      </c>
    </row>
    <row r="1309" spans="1:10" hidden="1" x14ac:dyDescent="0.35">
      <c r="A1309" t="str">
        <f t="shared" si="20"/>
        <v>Ataléia20192.2</v>
      </c>
      <c r="B1309">
        <v>3104700</v>
      </c>
      <c r="C1309" t="s">
        <v>41</v>
      </c>
      <c r="D1309">
        <v>2019</v>
      </c>
      <c r="E1309">
        <v>6</v>
      </c>
      <c r="F1309">
        <v>29</v>
      </c>
      <c r="G1309" t="s">
        <v>20</v>
      </c>
      <c r="H1309" t="s">
        <v>18</v>
      </c>
      <c r="I1309" s="1" t="s">
        <v>21</v>
      </c>
      <c r="J1309">
        <v>0.84230000000000005</v>
      </c>
    </row>
    <row r="1310" spans="1:10" hidden="1" x14ac:dyDescent="0.35">
      <c r="A1310" t="str">
        <f t="shared" si="20"/>
        <v>Ataléia20192.4</v>
      </c>
      <c r="B1310">
        <v>3104700</v>
      </c>
      <c r="C1310" t="s">
        <v>41</v>
      </c>
      <c r="D1310">
        <v>2019</v>
      </c>
      <c r="E1310">
        <v>6</v>
      </c>
      <c r="F1310">
        <v>31</v>
      </c>
      <c r="G1310" t="s">
        <v>22</v>
      </c>
      <c r="H1310" t="s">
        <v>18</v>
      </c>
      <c r="I1310" s="1" t="s">
        <v>23</v>
      </c>
      <c r="J1310">
        <v>9.7000000000000003E-2</v>
      </c>
    </row>
    <row r="1311" spans="1:10" hidden="1" x14ac:dyDescent="0.35">
      <c r="A1311" t="str">
        <f t="shared" si="20"/>
        <v>Ataléia20192.5</v>
      </c>
      <c r="B1311">
        <v>3104700</v>
      </c>
      <c r="C1311" t="s">
        <v>41</v>
      </c>
      <c r="D1311">
        <v>2019</v>
      </c>
      <c r="E1311">
        <v>6</v>
      </c>
      <c r="F1311">
        <v>32</v>
      </c>
      <c r="G1311" t="s">
        <v>24</v>
      </c>
      <c r="H1311" t="s">
        <v>18</v>
      </c>
      <c r="I1311" s="1" t="s">
        <v>25</v>
      </c>
      <c r="J1311">
        <v>0.81989999999999996</v>
      </c>
    </row>
    <row r="1312" spans="1:10" hidden="1" x14ac:dyDescent="0.35">
      <c r="A1312" t="str">
        <f t="shared" si="20"/>
        <v>Ataléia20192.8</v>
      </c>
      <c r="B1312">
        <v>3104700</v>
      </c>
      <c r="C1312" t="s">
        <v>41</v>
      </c>
      <c r="D1312">
        <v>2019</v>
      </c>
      <c r="E1312">
        <v>6</v>
      </c>
      <c r="F1312">
        <v>35</v>
      </c>
      <c r="G1312" t="s">
        <v>26</v>
      </c>
      <c r="H1312" t="s">
        <v>18</v>
      </c>
      <c r="I1312" s="1" t="s">
        <v>27</v>
      </c>
      <c r="J1312">
        <v>0.32450000000000001</v>
      </c>
    </row>
    <row r="1313" spans="1:10" hidden="1" x14ac:dyDescent="0.35">
      <c r="A1313" t="str">
        <f t="shared" si="20"/>
        <v>Ataléia20194.1</v>
      </c>
      <c r="B1313">
        <v>3104700</v>
      </c>
      <c r="C1313" t="s">
        <v>41</v>
      </c>
      <c r="D1313">
        <v>2019</v>
      </c>
      <c r="E1313">
        <v>6</v>
      </c>
      <c r="F1313">
        <v>44</v>
      </c>
      <c r="G1313" t="s">
        <v>28</v>
      </c>
      <c r="H1313" t="s">
        <v>29</v>
      </c>
      <c r="I1313" s="1" t="s">
        <v>30</v>
      </c>
      <c r="J1313">
        <v>2021.47</v>
      </c>
    </row>
    <row r="1314" spans="1:10" hidden="1" x14ac:dyDescent="0.35">
      <c r="A1314" t="str">
        <f t="shared" si="20"/>
        <v>Ataléia20194.10</v>
      </c>
      <c r="B1314">
        <v>3104700</v>
      </c>
      <c r="C1314" t="s">
        <v>41</v>
      </c>
      <c r="D1314">
        <v>2019</v>
      </c>
      <c r="E1314">
        <v>6</v>
      </c>
      <c r="F1314">
        <v>58</v>
      </c>
      <c r="G1314" t="s">
        <v>31</v>
      </c>
      <c r="H1314" t="s">
        <v>29</v>
      </c>
      <c r="I1314" s="1" t="s">
        <v>32</v>
      </c>
      <c r="J1314">
        <v>6996.67</v>
      </c>
    </row>
    <row r="1315" spans="1:10" hidden="1" x14ac:dyDescent="0.35">
      <c r="A1315" t="str">
        <f t="shared" si="20"/>
        <v>Ataléia20194.11</v>
      </c>
      <c r="B1315">
        <v>3104700</v>
      </c>
      <c r="C1315" t="s">
        <v>41</v>
      </c>
      <c r="D1315">
        <v>2019</v>
      </c>
      <c r="E1315">
        <v>6</v>
      </c>
      <c r="F1315">
        <v>59</v>
      </c>
      <c r="G1315" t="s">
        <v>33</v>
      </c>
      <c r="H1315" t="s">
        <v>29</v>
      </c>
      <c r="I1315" s="1" t="s">
        <v>34</v>
      </c>
    </row>
    <row r="1316" spans="1:10" hidden="1" x14ac:dyDescent="0.35">
      <c r="A1316" t="str">
        <f t="shared" si="20"/>
        <v>Ataléia20194.2</v>
      </c>
      <c r="B1316">
        <v>3104700</v>
      </c>
      <c r="C1316" t="s">
        <v>41</v>
      </c>
      <c r="D1316">
        <v>2019</v>
      </c>
      <c r="E1316">
        <v>6</v>
      </c>
      <c r="F1316">
        <v>45</v>
      </c>
      <c r="G1316" t="s">
        <v>35</v>
      </c>
      <c r="H1316" t="s">
        <v>29</v>
      </c>
      <c r="I1316" s="1" t="s">
        <v>36</v>
      </c>
      <c r="J1316">
        <v>10714.64</v>
      </c>
    </row>
    <row r="1317" spans="1:10" hidden="1" x14ac:dyDescent="0.35">
      <c r="A1317" t="str">
        <f t="shared" si="20"/>
        <v>Ataléia20194.8</v>
      </c>
      <c r="B1317">
        <v>3104700</v>
      </c>
      <c r="C1317" t="s">
        <v>41</v>
      </c>
      <c r="D1317">
        <v>2019</v>
      </c>
      <c r="E1317">
        <v>6</v>
      </c>
      <c r="F1317">
        <v>56</v>
      </c>
      <c r="G1317" t="s">
        <v>37</v>
      </c>
      <c r="H1317" t="s">
        <v>29</v>
      </c>
      <c r="I1317" s="1" t="s">
        <v>38</v>
      </c>
      <c r="J1317">
        <v>6996.67</v>
      </c>
    </row>
    <row r="1318" spans="1:10" hidden="1" x14ac:dyDescent="0.35">
      <c r="A1318" t="str">
        <f t="shared" si="20"/>
        <v>Ataléia20194.9</v>
      </c>
      <c r="B1318">
        <v>3104700</v>
      </c>
      <c r="C1318" t="s">
        <v>41</v>
      </c>
      <c r="D1318">
        <v>2019</v>
      </c>
      <c r="E1318">
        <v>6</v>
      </c>
      <c r="F1318">
        <v>57</v>
      </c>
      <c r="G1318" t="s">
        <v>39</v>
      </c>
      <c r="H1318" t="s">
        <v>29</v>
      </c>
      <c r="I1318" s="1" t="s">
        <v>40</v>
      </c>
      <c r="J1318">
        <v>6996.67</v>
      </c>
    </row>
    <row r="1319" spans="1:10" hidden="1" x14ac:dyDescent="0.35">
      <c r="A1319" t="str">
        <f t="shared" si="20"/>
        <v>Bertópolis20191.1</v>
      </c>
      <c r="B1319">
        <v>3106606</v>
      </c>
      <c r="C1319" t="s">
        <v>42</v>
      </c>
      <c r="D1319">
        <v>2019</v>
      </c>
      <c r="E1319">
        <v>6</v>
      </c>
      <c r="F1319">
        <v>24</v>
      </c>
      <c r="G1319" t="s">
        <v>10</v>
      </c>
      <c r="H1319" t="s">
        <v>11</v>
      </c>
      <c r="I1319" s="1" t="s">
        <v>12</v>
      </c>
      <c r="J1319">
        <v>0.27010000000000001</v>
      </c>
    </row>
    <row r="1320" spans="1:10" hidden="1" x14ac:dyDescent="0.35">
      <c r="A1320" t="str">
        <f t="shared" si="20"/>
        <v>Bertópolis20191.2</v>
      </c>
      <c r="B1320">
        <v>3106606</v>
      </c>
      <c r="C1320" t="s">
        <v>42</v>
      </c>
      <c r="D1320">
        <v>2019</v>
      </c>
      <c r="E1320">
        <v>6</v>
      </c>
      <c r="F1320">
        <v>67</v>
      </c>
      <c r="G1320" t="s">
        <v>13</v>
      </c>
      <c r="H1320" t="s">
        <v>11</v>
      </c>
      <c r="I1320" s="1" t="s">
        <v>14</v>
      </c>
      <c r="J1320">
        <v>0.60289999999999999</v>
      </c>
    </row>
    <row r="1321" spans="1:10" hidden="1" x14ac:dyDescent="0.35">
      <c r="A1321" t="str">
        <f t="shared" si="20"/>
        <v>Bertópolis20191.3</v>
      </c>
      <c r="B1321">
        <v>3106606</v>
      </c>
      <c r="C1321" t="s">
        <v>42</v>
      </c>
      <c r="D1321">
        <v>2019</v>
      </c>
      <c r="E1321">
        <v>6</v>
      </c>
      <c r="F1321">
        <v>68</v>
      </c>
      <c r="G1321" t="s">
        <v>15</v>
      </c>
      <c r="H1321" t="s">
        <v>11</v>
      </c>
      <c r="I1321" s="1" t="s">
        <v>16</v>
      </c>
      <c r="J1321">
        <v>0.39710000000000001</v>
      </c>
    </row>
    <row r="1322" spans="1:10" hidden="1" x14ac:dyDescent="0.35">
      <c r="A1322" t="str">
        <f t="shared" si="20"/>
        <v>Bertópolis20192.1</v>
      </c>
      <c r="B1322">
        <v>3106606</v>
      </c>
      <c r="C1322" t="s">
        <v>42</v>
      </c>
      <c r="D1322">
        <v>2019</v>
      </c>
      <c r="E1322">
        <v>6</v>
      </c>
      <c r="F1322">
        <v>28</v>
      </c>
      <c r="G1322" t="s">
        <v>17</v>
      </c>
      <c r="H1322" t="s">
        <v>18</v>
      </c>
      <c r="I1322" s="1" t="s">
        <v>19</v>
      </c>
    </row>
    <row r="1323" spans="1:10" hidden="1" x14ac:dyDescent="0.35">
      <c r="A1323" t="str">
        <f t="shared" si="20"/>
        <v>Bertópolis20192.2</v>
      </c>
      <c r="B1323">
        <v>3106606</v>
      </c>
      <c r="C1323" t="s">
        <v>42</v>
      </c>
      <c r="D1323">
        <v>2019</v>
      </c>
      <c r="E1323">
        <v>6</v>
      </c>
      <c r="F1323">
        <v>29</v>
      </c>
      <c r="G1323" t="s">
        <v>20</v>
      </c>
      <c r="H1323" t="s">
        <v>18</v>
      </c>
      <c r="I1323" s="1" t="s">
        <v>21</v>
      </c>
      <c r="J1323">
        <v>0.88049999999999995</v>
      </c>
    </row>
    <row r="1324" spans="1:10" hidden="1" x14ac:dyDescent="0.35">
      <c r="A1324" t="str">
        <f t="shared" si="20"/>
        <v>Bertópolis20192.4</v>
      </c>
      <c r="B1324">
        <v>3106606</v>
      </c>
      <c r="C1324" t="s">
        <v>42</v>
      </c>
      <c r="D1324">
        <v>2019</v>
      </c>
      <c r="E1324">
        <v>6</v>
      </c>
      <c r="F1324">
        <v>31</v>
      </c>
      <c r="G1324" t="s">
        <v>22</v>
      </c>
      <c r="H1324" t="s">
        <v>18</v>
      </c>
      <c r="I1324" s="1" t="s">
        <v>23</v>
      </c>
      <c r="J1324">
        <v>0.1013</v>
      </c>
    </row>
    <row r="1325" spans="1:10" hidden="1" x14ac:dyDescent="0.35">
      <c r="A1325" t="str">
        <f t="shared" si="20"/>
        <v>Bertópolis20192.5</v>
      </c>
      <c r="B1325">
        <v>3106606</v>
      </c>
      <c r="C1325" t="s">
        <v>42</v>
      </c>
      <c r="D1325">
        <v>2019</v>
      </c>
      <c r="E1325">
        <v>6</v>
      </c>
      <c r="F1325">
        <v>32</v>
      </c>
      <c r="G1325" t="s">
        <v>24</v>
      </c>
      <c r="H1325" t="s">
        <v>18</v>
      </c>
      <c r="I1325" s="1" t="s">
        <v>25</v>
      </c>
      <c r="J1325">
        <v>0.84370000000000001</v>
      </c>
    </row>
    <row r="1326" spans="1:10" hidden="1" x14ac:dyDescent="0.35">
      <c r="A1326" t="str">
        <f t="shared" si="20"/>
        <v>Bertópolis20192.8</v>
      </c>
      <c r="B1326">
        <v>3106606</v>
      </c>
      <c r="C1326" t="s">
        <v>42</v>
      </c>
      <c r="D1326">
        <v>2019</v>
      </c>
      <c r="E1326">
        <v>6</v>
      </c>
      <c r="F1326">
        <v>35</v>
      </c>
      <c r="G1326" t="s">
        <v>26</v>
      </c>
      <c r="H1326" t="s">
        <v>18</v>
      </c>
      <c r="I1326" s="1" t="s">
        <v>27</v>
      </c>
      <c r="J1326">
        <v>0.23230000000000001</v>
      </c>
    </row>
    <row r="1327" spans="1:10" hidden="1" x14ac:dyDescent="0.35">
      <c r="A1327" t="str">
        <f t="shared" si="20"/>
        <v>Bertópolis20194.1</v>
      </c>
      <c r="B1327">
        <v>3106606</v>
      </c>
      <c r="C1327" t="s">
        <v>42</v>
      </c>
      <c r="D1327">
        <v>2019</v>
      </c>
      <c r="E1327">
        <v>6</v>
      </c>
      <c r="F1327">
        <v>44</v>
      </c>
      <c r="G1327" t="s">
        <v>28</v>
      </c>
      <c r="H1327" t="s">
        <v>29</v>
      </c>
      <c r="I1327" s="1" t="s">
        <v>30</v>
      </c>
      <c r="J1327">
        <v>2023.83</v>
      </c>
    </row>
    <row r="1328" spans="1:10" hidden="1" x14ac:dyDescent="0.35">
      <c r="A1328" t="str">
        <f t="shared" si="20"/>
        <v>Bertópolis20194.10</v>
      </c>
      <c r="B1328">
        <v>3106606</v>
      </c>
      <c r="C1328" t="s">
        <v>42</v>
      </c>
      <c r="D1328">
        <v>2019</v>
      </c>
      <c r="E1328">
        <v>6</v>
      </c>
      <c r="F1328">
        <v>58</v>
      </c>
      <c r="G1328" t="s">
        <v>31</v>
      </c>
      <c r="H1328" t="s">
        <v>29</v>
      </c>
      <c r="I1328" s="1" t="s">
        <v>32</v>
      </c>
      <c r="J1328">
        <v>6449.38</v>
      </c>
    </row>
    <row r="1329" spans="1:10" hidden="1" x14ac:dyDescent="0.35">
      <c r="A1329" t="str">
        <f t="shared" si="20"/>
        <v>Bertópolis20194.11</v>
      </c>
      <c r="B1329">
        <v>3106606</v>
      </c>
      <c r="C1329" t="s">
        <v>42</v>
      </c>
      <c r="D1329">
        <v>2019</v>
      </c>
      <c r="E1329">
        <v>6</v>
      </c>
      <c r="F1329">
        <v>59</v>
      </c>
      <c r="G1329" t="s">
        <v>33</v>
      </c>
      <c r="H1329" t="s">
        <v>29</v>
      </c>
      <c r="I1329" s="1" t="s">
        <v>34</v>
      </c>
      <c r="J1329">
        <v>1485.9</v>
      </c>
    </row>
    <row r="1330" spans="1:10" hidden="1" x14ac:dyDescent="0.35">
      <c r="A1330" t="str">
        <f t="shared" si="20"/>
        <v>Bertópolis20194.2</v>
      </c>
      <c r="B1330">
        <v>3106606</v>
      </c>
      <c r="C1330" t="s">
        <v>42</v>
      </c>
      <c r="D1330">
        <v>2019</v>
      </c>
      <c r="E1330">
        <v>6</v>
      </c>
      <c r="F1330">
        <v>45</v>
      </c>
      <c r="G1330" t="s">
        <v>35</v>
      </c>
      <c r="H1330" t="s">
        <v>29</v>
      </c>
      <c r="I1330" s="1" t="s">
        <v>36</v>
      </c>
      <c r="J1330">
        <v>13768.02</v>
      </c>
    </row>
    <row r="1331" spans="1:10" hidden="1" x14ac:dyDescent="0.35">
      <c r="A1331" t="str">
        <f t="shared" si="20"/>
        <v>Bertópolis20194.8</v>
      </c>
      <c r="B1331">
        <v>3106606</v>
      </c>
      <c r="C1331" t="s">
        <v>42</v>
      </c>
      <c r="D1331">
        <v>2019</v>
      </c>
      <c r="E1331">
        <v>6</v>
      </c>
      <c r="F1331">
        <v>56</v>
      </c>
      <c r="G1331" t="s">
        <v>37</v>
      </c>
      <c r="H1331" t="s">
        <v>29</v>
      </c>
      <c r="I1331" s="1" t="s">
        <v>38</v>
      </c>
      <c r="J1331">
        <v>7935.28</v>
      </c>
    </row>
    <row r="1332" spans="1:10" hidden="1" x14ac:dyDescent="0.35">
      <c r="A1332" t="str">
        <f t="shared" si="20"/>
        <v>Bertópolis20194.9</v>
      </c>
      <c r="B1332">
        <v>3106606</v>
      </c>
      <c r="C1332" t="s">
        <v>42</v>
      </c>
      <c r="D1332">
        <v>2019</v>
      </c>
      <c r="E1332">
        <v>6</v>
      </c>
      <c r="F1332">
        <v>57</v>
      </c>
      <c r="G1332" t="s">
        <v>39</v>
      </c>
      <c r="H1332" t="s">
        <v>29</v>
      </c>
      <c r="I1332" s="1" t="s">
        <v>40</v>
      </c>
      <c r="J1332">
        <v>7935.28</v>
      </c>
    </row>
    <row r="1333" spans="1:10" hidden="1" x14ac:dyDescent="0.35">
      <c r="A1333" t="str">
        <f t="shared" si="20"/>
        <v>Carlos Chagas20191.1</v>
      </c>
      <c r="B1333">
        <v>3113701</v>
      </c>
      <c r="C1333" t="s">
        <v>43</v>
      </c>
      <c r="D1333">
        <v>2019</v>
      </c>
      <c r="E1333">
        <v>6</v>
      </c>
      <c r="F1333">
        <v>24</v>
      </c>
      <c r="G1333" t="s">
        <v>10</v>
      </c>
      <c r="H1333" t="s">
        <v>11</v>
      </c>
      <c r="I1333" s="1" t="s">
        <v>12</v>
      </c>
      <c r="J1333">
        <v>0.25800000000000001</v>
      </c>
    </row>
    <row r="1334" spans="1:10" hidden="1" x14ac:dyDescent="0.35">
      <c r="A1334" t="str">
        <f t="shared" si="20"/>
        <v>Carlos Chagas20191.2</v>
      </c>
      <c r="B1334">
        <v>3113701</v>
      </c>
      <c r="C1334" t="s">
        <v>43</v>
      </c>
      <c r="D1334">
        <v>2019</v>
      </c>
      <c r="E1334">
        <v>6</v>
      </c>
      <c r="F1334">
        <v>67</v>
      </c>
      <c r="G1334" t="s">
        <v>13</v>
      </c>
      <c r="H1334" t="s">
        <v>11</v>
      </c>
      <c r="I1334" s="1" t="s">
        <v>14</v>
      </c>
      <c r="J1334">
        <v>0.63439999999999996</v>
      </c>
    </row>
    <row r="1335" spans="1:10" hidden="1" x14ac:dyDescent="0.35">
      <c r="A1335" t="str">
        <f t="shared" si="20"/>
        <v>Carlos Chagas20191.3</v>
      </c>
      <c r="B1335">
        <v>3113701</v>
      </c>
      <c r="C1335" t="s">
        <v>43</v>
      </c>
      <c r="D1335">
        <v>2019</v>
      </c>
      <c r="E1335">
        <v>6</v>
      </c>
      <c r="F1335">
        <v>68</v>
      </c>
      <c r="G1335" t="s">
        <v>15</v>
      </c>
      <c r="H1335" t="s">
        <v>11</v>
      </c>
      <c r="I1335" s="1" t="s">
        <v>16</v>
      </c>
      <c r="J1335">
        <v>0.3553</v>
      </c>
    </row>
    <row r="1336" spans="1:10" hidden="1" x14ac:dyDescent="0.35">
      <c r="A1336" t="str">
        <f t="shared" si="20"/>
        <v>Carlos Chagas20192.1</v>
      </c>
      <c r="B1336">
        <v>3113701</v>
      </c>
      <c r="C1336" t="s">
        <v>43</v>
      </c>
      <c r="D1336">
        <v>2019</v>
      </c>
      <c r="E1336">
        <v>6</v>
      </c>
      <c r="F1336">
        <v>28</v>
      </c>
      <c r="G1336" t="s">
        <v>17</v>
      </c>
      <c r="H1336" t="s">
        <v>18</v>
      </c>
      <c r="I1336" s="1" t="s">
        <v>19</v>
      </c>
    </row>
    <row r="1337" spans="1:10" hidden="1" x14ac:dyDescent="0.35">
      <c r="A1337" t="str">
        <f t="shared" si="20"/>
        <v>Carlos Chagas20192.2</v>
      </c>
      <c r="B1337">
        <v>3113701</v>
      </c>
      <c r="C1337" t="s">
        <v>43</v>
      </c>
      <c r="D1337">
        <v>2019</v>
      </c>
      <c r="E1337">
        <v>6</v>
      </c>
      <c r="F1337">
        <v>29</v>
      </c>
      <c r="G1337" t="s">
        <v>20</v>
      </c>
      <c r="H1337" t="s">
        <v>18</v>
      </c>
      <c r="I1337" s="1" t="s">
        <v>21</v>
      </c>
      <c r="J1337">
        <v>0.87670000000000003</v>
      </c>
    </row>
    <row r="1338" spans="1:10" hidden="1" x14ac:dyDescent="0.35">
      <c r="A1338" t="str">
        <f t="shared" si="20"/>
        <v>Carlos Chagas20192.4</v>
      </c>
      <c r="B1338">
        <v>3113701</v>
      </c>
      <c r="C1338" t="s">
        <v>43</v>
      </c>
      <c r="D1338">
        <v>2019</v>
      </c>
      <c r="E1338">
        <v>6</v>
      </c>
      <c r="F1338">
        <v>31</v>
      </c>
      <c r="G1338" t="s">
        <v>22</v>
      </c>
      <c r="H1338" t="s">
        <v>18</v>
      </c>
      <c r="I1338" s="1" t="s">
        <v>23</v>
      </c>
      <c r="J1338">
        <v>8.2299999999999998E-2</v>
      </c>
    </row>
    <row r="1339" spans="1:10" hidden="1" x14ac:dyDescent="0.35">
      <c r="A1339" t="str">
        <f t="shared" si="20"/>
        <v>Carlos Chagas20192.5</v>
      </c>
      <c r="B1339">
        <v>3113701</v>
      </c>
      <c r="C1339" t="s">
        <v>43</v>
      </c>
      <c r="D1339">
        <v>2019</v>
      </c>
      <c r="E1339">
        <v>6</v>
      </c>
      <c r="F1339">
        <v>32</v>
      </c>
      <c r="G1339" t="s">
        <v>24</v>
      </c>
      <c r="H1339" t="s">
        <v>18</v>
      </c>
      <c r="I1339" s="1" t="s">
        <v>25</v>
      </c>
      <c r="J1339">
        <v>0.75</v>
      </c>
    </row>
    <row r="1340" spans="1:10" hidden="1" x14ac:dyDescent="0.35">
      <c r="A1340" t="str">
        <f t="shared" si="20"/>
        <v>Carlos Chagas20192.8</v>
      </c>
      <c r="B1340">
        <v>3113701</v>
      </c>
      <c r="C1340" t="s">
        <v>43</v>
      </c>
      <c r="D1340">
        <v>2019</v>
      </c>
      <c r="E1340">
        <v>6</v>
      </c>
      <c r="F1340">
        <v>35</v>
      </c>
      <c r="G1340" t="s">
        <v>26</v>
      </c>
      <c r="H1340" t="s">
        <v>18</v>
      </c>
      <c r="I1340" s="1" t="s">
        <v>27</v>
      </c>
      <c r="J1340">
        <v>0.25650000000000001</v>
      </c>
    </row>
    <row r="1341" spans="1:10" hidden="1" x14ac:dyDescent="0.35">
      <c r="A1341" t="str">
        <f t="shared" si="20"/>
        <v>Carlos Chagas20194.1</v>
      </c>
      <c r="B1341">
        <v>3113701</v>
      </c>
      <c r="C1341" t="s">
        <v>43</v>
      </c>
      <c r="D1341">
        <v>2019</v>
      </c>
      <c r="E1341">
        <v>6</v>
      </c>
      <c r="F1341">
        <v>44</v>
      </c>
      <c r="G1341" t="s">
        <v>28</v>
      </c>
      <c r="H1341" t="s">
        <v>29</v>
      </c>
      <c r="I1341" s="1" t="s">
        <v>30</v>
      </c>
      <c r="J1341">
        <v>2387.1799999999998</v>
      </c>
    </row>
    <row r="1342" spans="1:10" hidden="1" x14ac:dyDescent="0.35">
      <c r="A1342" t="str">
        <f t="shared" si="20"/>
        <v>Carlos Chagas20194.10</v>
      </c>
      <c r="B1342">
        <v>3113701</v>
      </c>
      <c r="C1342" t="s">
        <v>43</v>
      </c>
      <c r="D1342">
        <v>2019</v>
      </c>
      <c r="E1342">
        <v>6</v>
      </c>
      <c r="F1342">
        <v>58</v>
      </c>
      <c r="G1342" t="s">
        <v>31</v>
      </c>
      <c r="H1342" t="s">
        <v>29</v>
      </c>
      <c r="I1342" s="1" t="s">
        <v>32</v>
      </c>
      <c r="J1342">
        <v>2522.09</v>
      </c>
    </row>
    <row r="1343" spans="1:10" hidden="1" x14ac:dyDescent="0.35">
      <c r="A1343" t="str">
        <f t="shared" si="20"/>
        <v>Carlos Chagas20194.11</v>
      </c>
      <c r="B1343">
        <v>3113701</v>
      </c>
      <c r="C1343" t="s">
        <v>43</v>
      </c>
      <c r="D1343">
        <v>2019</v>
      </c>
      <c r="E1343">
        <v>6</v>
      </c>
      <c r="F1343">
        <v>59</v>
      </c>
      <c r="G1343" t="s">
        <v>33</v>
      </c>
      <c r="H1343" t="s">
        <v>29</v>
      </c>
      <c r="I1343" s="1" t="s">
        <v>34</v>
      </c>
      <c r="J1343">
        <v>1179.31</v>
      </c>
    </row>
    <row r="1344" spans="1:10" hidden="1" x14ac:dyDescent="0.35">
      <c r="A1344" t="str">
        <f t="shared" si="20"/>
        <v>Carlos Chagas20194.2</v>
      </c>
      <c r="B1344">
        <v>3113701</v>
      </c>
      <c r="C1344" t="s">
        <v>43</v>
      </c>
      <c r="D1344">
        <v>2019</v>
      </c>
      <c r="E1344">
        <v>6</v>
      </c>
      <c r="F1344">
        <v>45</v>
      </c>
      <c r="G1344" t="s">
        <v>35</v>
      </c>
      <c r="H1344" t="s">
        <v>29</v>
      </c>
      <c r="I1344" s="1" t="s">
        <v>36</v>
      </c>
      <c r="J1344">
        <v>6557.72</v>
      </c>
    </row>
    <row r="1345" spans="1:10" hidden="1" x14ac:dyDescent="0.35">
      <c r="A1345" t="str">
        <f t="shared" si="20"/>
        <v>Carlos Chagas20194.8</v>
      </c>
      <c r="B1345">
        <v>3113701</v>
      </c>
      <c r="C1345" t="s">
        <v>43</v>
      </c>
      <c r="D1345">
        <v>2019</v>
      </c>
      <c r="E1345">
        <v>6</v>
      </c>
      <c r="F1345">
        <v>56</v>
      </c>
      <c r="G1345" t="s">
        <v>37</v>
      </c>
      <c r="H1345" t="s">
        <v>29</v>
      </c>
      <c r="I1345" s="1" t="s">
        <v>38</v>
      </c>
      <c r="J1345">
        <v>5351.61</v>
      </c>
    </row>
    <row r="1346" spans="1:10" hidden="1" x14ac:dyDescent="0.35">
      <c r="A1346" t="str">
        <f t="shared" si="20"/>
        <v>Carlos Chagas20194.9</v>
      </c>
      <c r="B1346">
        <v>3113701</v>
      </c>
      <c r="C1346" t="s">
        <v>43</v>
      </c>
      <c r="D1346">
        <v>2019</v>
      </c>
      <c r="E1346">
        <v>6</v>
      </c>
      <c r="F1346">
        <v>57</v>
      </c>
      <c r="G1346" t="s">
        <v>39</v>
      </c>
      <c r="H1346" t="s">
        <v>29</v>
      </c>
      <c r="I1346" s="1" t="s">
        <v>40</v>
      </c>
      <c r="J1346">
        <v>5351.61</v>
      </c>
    </row>
    <row r="1347" spans="1:10" hidden="1" x14ac:dyDescent="0.35">
      <c r="A1347" t="str">
        <f t="shared" si="20"/>
        <v>Catuji20191.1</v>
      </c>
      <c r="B1347">
        <v>3115458</v>
      </c>
      <c r="C1347" t="s">
        <v>44</v>
      </c>
      <c r="D1347">
        <v>2019</v>
      </c>
      <c r="E1347">
        <v>6</v>
      </c>
      <c r="F1347">
        <v>24</v>
      </c>
      <c r="G1347" t="s">
        <v>10</v>
      </c>
      <c r="H1347" t="s">
        <v>11</v>
      </c>
      <c r="I1347" s="1" t="s">
        <v>12</v>
      </c>
      <c r="J1347">
        <v>0.35439999999999999</v>
      </c>
    </row>
    <row r="1348" spans="1:10" hidden="1" x14ac:dyDescent="0.35">
      <c r="A1348" t="str">
        <f t="shared" ref="A1348:A1411" si="21">C1348&amp;D1348&amp;G1348</f>
        <v>Catuji20191.2</v>
      </c>
      <c r="B1348">
        <v>3115458</v>
      </c>
      <c r="C1348" t="s">
        <v>44</v>
      </c>
      <c r="D1348">
        <v>2019</v>
      </c>
      <c r="E1348">
        <v>6</v>
      </c>
      <c r="F1348">
        <v>67</v>
      </c>
      <c r="G1348" t="s">
        <v>13</v>
      </c>
      <c r="H1348" t="s">
        <v>11</v>
      </c>
      <c r="I1348" s="1" t="s">
        <v>14</v>
      </c>
      <c r="J1348">
        <v>0.63919999999999999</v>
      </c>
    </row>
    <row r="1349" spans="1:10" hidden="1" x14ac:dyDescent="0.35">
      <c r="A1349" t="str">
        <f t="shared" si="21"/>
        <v>Catuji20191.3</v>
      </c>
      <c r="B1349">
        <v>3115458</v>
      </c>
      <c r="C1349" t="s">
        <v>44</v>
      </c>
      <c r="D1349">
        <v>2019</v>
      </c>
      <c r="E1349">
        <v>6</v>
      </c>
      <c r="F1349">
        <v>68</v>
      </c>
      <c r="G1349" t="s">
        <v>15</v>
      </c>
      <c r="H1349" t="s">
        <v>11</v>
      </c>
      <c r="I1349" s="1" t="s">
        <v>16</v>
      </c>
      <c r="J1349">
        <v>0.36080000000000001</v>
      </c>
    </row>
    <row r="1350" spans="1:10" hidden="1" x14ac:dyDescent="0.35">
      <c r="A1350" t="str">
        <f t="shared" si="21"/>
        <v>Catuji20192.1</v>
      </c>
      <c r="B1350">
        <v>3115458</v>
      </c>
      <c r="C1350" t="s">
        <v>44</v>
      </c>
      <c r="D1350">
        <v>2019</v>
      </c>
      <c r="E1350">
        <v>6</v>
      </c>
      <c r="F1350">
        <v>28</v>
      </c>
      <c r="G1350" t="s">
        <v>17</v>
      </c>
      <c r="H1350" t="s">
        <v>18</v>
      </c>
      <c r="I1350" s="1" t="s">
        <v>19</v>
      </c>
    </row>
    <row r="1351" spans="1:10" hidden="1" x14ac:dyDescent="0.35">
      <c r="A1351" t="str">
        <f t="shared" si="21"/>
        <v>Catuji20192.2</v>
      </c>
      <c r="B1351">
        <v>3115458</v>
      </c>
      <c r="C1351" t="s">
        <v>44</v>
      </c>
      <c r="D1351">
        <v>2019</v>
      </c>
      <c r="E1351">
        <v>6</v>
      </c>
      <c r="F1351">
        <v>29</v>
      </c>
      <c r="G1351" t="s">
        <v>20</v>
      </c>
      <c r="H1351" t="s">
        <v>18</v>
      </c>
      <c r="I1351" s="1" t="s">
        <v>21</v>
      </c>
      <c r="J1351">
        <v>0.83430000000000004</v>
      </c>
    </row>
    <row r="1352" spans="1:10" hidden="1" x14ac:dyDescent="0.35">
      <c r="A1352" t="str">
        <f t="shared" si="21"/>
        <v>Catuji20192.4</v>
      </c>
      <c r="B1352">
        <v>3115458</v>
      </c>
      <c r="C1352" t="s">
        <v>44</v>
      </c>
      <c r="D1352">
        <v>2019</v>
      </c>
      <c r="E1352">
        <v>6</v>
      </c>
      <c r="F1352">
        <v>31</v>
      </c>
      <c r="G1352" t="s">
        <v>22</v>
      </c>
      <c r="H1352" t="s">
        <v>18</v>
      </c>
      <c r="I1352" s="1" t="s">
        <v>23</v>
      </c>
      <c r="J1352">
        <v>7.9799999999999996E-2</v>
      </c>
    </row>
    <row r="1353" spans="1:10" hidden="1" x14ac:dyDescent="0.35">
      <c r="A1353" t="str">
        <f t="shared" si="21"/>
        <v>Catuji20192.5</v>
      </c>
      <c r="B1353">
        <v>3115458</v>
      </c>
      <c r="C1353" t="s">
        <v>44</v>
      </c>
      <c r="D1353">
        <v>2019</v>
      </c>
      <c r="E1353">
        <v>6</v>
      </c>
      <c r="F1353">
        <v>32</v>
      </c>
      <c r="G1353" t="s">
        <v>24</v>
      </c>
      <c r="H1353" t="s">
        <v>18</v>
      </c>
      <c r="I1353" s="1" t="s">
        <v>25</v>
      </c>
      <c r="J1353">
        <v>0.81720000000000004</v>
      </c>
    </row>
    <row r="1354" spans="1:10" hidden="1" x14ac:dyDescent="0.35">
      <c r="A1354" t="str">
        <f t="shared" si="21"/>
        <v>Catuji20192.8</v>
      </c>
      <c r="B1354">
        <v>3115458</v>
      </c>
      <c r="C1354" t="s">
        <v>44</v>
      </c>
      <c r="D1354">
        <v>2019</v>
      </c>
      <c r="E1354">
        <v>6</v>
      </c>
      <c r="F1354">
        <v>35</v>
      </c>
      <c r="G1354" t="s">
        <v>26</v>
      </c>
      <c r="H1354" t="s">
        <v>18</v>
      </c>
      <c r="I1354" s="1" t="s">
        <v>27</v>
      </c>
      <c r="J1354">
        <v>0.34329999999999999</v>
      </c>
    </row>
    <row r="1355" spans="1:10" hidden="1" x14ac:dyDescent="0.35">
      <c r="A1355" t="str">
        <f t="shared" si="21"/>
        <v>Catuji20194.1</v>
      </c>
      <c r="B1355">
        <v>3115458</v>
      </c>
      <c r="C1355" t="s">
        <v>44</v>
      </c>
      <c r="D1355">
        <v>2019</v>
      </c>
      <c r="E1355">
        <v>6</v>
      </c>
      <c r="F1355">
        <v>44</v>
      </c>
      <c r="G1355" t="s">
        <v>28</v>
      </c>
      <c r="H1355" t="s">
        <v>29</v>
      </c>
      <c r="I1355" s="1" t="s">
        <v>30</v>
      </c>
      <c r="J1355">
        <v>1914.19</v>
      </c>
    </row>
    <row r="1356" spans="1:10" hidden="1" x14ac:dyDescent="0.35">
      <c r="A1356" t="str">
        <f t="shared" si="21"/>
        <v>Catuji20194.10</v>
      </c>
      <c r="B1356">
        <v>3115458</v>
      </c>
      <c r="C1356" t="s">
        <v>44</v>
      </c>
      <c r="D1356">
        <v>2019</v>
      </c>
      <c r="E1356">
        <v>6</v>
      </c>
      <c r="F1356">
        <v>58</v>
      </c>
      <c r="G1356" t="s">
        <v>31</v>
      </c>
      <c r="H1356" t="s">
        <v>29</v>
      </c>
      <c r="I1356" s="1" t="s">
        <v>32</v>
      </c>
      <c r="J1356">
        <v>4402.43</v>
      </c>
    </row>
    <row r="1357" spans="1:10" hidden="1" x14ac:dyDescent="0.35">
      <c r="A1357" t="str">
        <f t="shared" si="21"/>
        <v>Catuji20194.11</v>
      </c>
      <c r="B1357">
        <v>3115458</v>
      </c>
      <c r="C1357" t="s">
        <v>44</v>
      </c>
      <c r="D1357">
        <v>2019</v>
      </c>
      <c r="E1357">
        <v>6</v>
      </c>
      <c r="F1357">
        <v>59</v>
      </c>
      <c r="G1357" t="s">
        <v>33</v>
      </c>
      <c r="H1357" t="s">
        <v>29</v>
      </c>
      <c r="I1357" s="1" t="s">
        <v>34</v>
      </c>
      <c r="J1357">
        <v>2095.6799999999998</v>
      </c>
    </row>
    <row r="1358" spans="1:10" hidden="1" x14ac:dyDescent="0.35">
      <c r="A1358" t="str">
        <f t="shared" si="21"/>
        <v>Catuji20194.2</v>
      </c>
      <c r="B1358">
        <v>3115458</v>
      </c>
      <c r="C1358" t="s">
        <v>44</v>
      </c>
      <c r="D1358">
        <v>2019</v>
      </c>
      <c r="E1358">
        <v>6</v>
      </c>
      <c r="F1358">
        <v>45</v>
      </c>
      <c r="G1358" t="s">
        <v>35</v>
      </c>
      <c r="H1358" t="s">
        <v>29</v>
      </c>
      <c r="I1358" s="1" t="s">
        <v>36</v>
      </c>
      <c r="J1358">
        <v>10240.49</v>
      </c>
    </row>
    <row r="1359" spans="1:10" hidden="1" x14ac:dyDescent="0.35">
      <c r="A1359" t="str">
        <f t="shared" si="21"/>
        <v>Catuji20194.8</v>
      </c>
      <c r="B1359">
        <v>3115458</v>
      </c>
      <c r="C1359" t="s">
        <v>44</v>
      </c>
      <c r="D1359">
        <v>2019</v>
      </c>
      <c r="E1359">
        <v>6</v>
      </c>
      <c r="F1359">
        <v>56</v>
      </c>
      <c r="G1359" t="s">
        <v>37</v>
      </c>
      <c r="H1359" t="s">
        <v>29</v>
      </c>
      <c r="I1359" s="1" t="s">
        <v>38</v>
      </c>
      <c r="J1359">
        <v>7107.22</v>
      </c>
    </row>
    <row r="1360" spans="1:10" hidden="1" x14ac:dyDescent="0.35">
      <c r="A1360" t="str">
        <f t="shared" si="21"/>
        <v>Catuji20194.9</v>
      </c>
      <c r="B1360">
        <v>3115458</v>
      </c>
      <c r="C1360" t="s">
        <v>44</v>
      </c>
      <c r="D1360">
        <v>2019</v>
      </c>
      <c r="E1360">
        <v>6</v>
      </c>
      <c r="F1360">
        <v>57</v>
      </c>
      <c r="G1360" t="s">
        <v>39</v>
      </c>
      <c r="H1360" t="s">
        <v>29</v>
      </c>
      <c r="I1360" s="1" t="s">
        <v>40</v>
      </c>
      <c r="J1360">
        <v>7107.22</v>
      </c>
    </row>
    <row r="1361" spans="1:10" hidden="1" x14ac:dyDescent="0.35">
      <c r="A1361" t="str">
        <f t="shared" si="21"/>
        <v>Crisólita20191.1</v>
      </c>
      <c r="B1361">
        <v>3120151</v>
      </c>
      <c r="C1361" t="s">
        <v>45</v>
      </c>
      <c r="D1361">
        <v>2019</v>
      </c>
      <c r="E1361">
        <v>6</v>
      </c>
      <c r="F1361">
        <v>24</v>
      </c>
      <c r="G1361" t="s">
        <v>10</v>
      </c>
      <c r="H1361" t="s">
        <v>11</v>
      </c>
      <c r="I1361" s="1" t="s">
        <v>12</v>
      </c>
      <c r="J1361">
        <v>0.25740000000000002</v>
      </c>
    </row>
    <row r="1362" spans="1:10" hidden="1" x14ac:dyDescent="0.35">
      <c r="A1362" t="str">
        <f t="shared" si="21"/>
        <v>Crisólita20191.2</v>
      </c>
      <c r="B1362">
        <v>3120151</v>
      </c>
      <c r="C1362" t="s">
        <v>45</v>
      </c>
      <c r="D1362">
        <v>2019</v>
      </c>
      <c r="E1362">
        <v>6</v>
      </c>
      <c r="F1362">
        <v>67</v>
      </c>
      <c r="G1362" t="s">
        <v>13</v>
      </c>
      <c r="H1362" t="s">
        <v>11</v>
      </c>
      <c r="I1362" s="1" t="s">
        <v>14</v>
      </c>
      <c r="J1362">
        <v>0.64119999999999999</v>
      </c>
    </row>
    <row r="1363" spans="1:10" hidden="1" x14ac:dyDescent="0.35">
      <c r="A1363" t="str">
        <f t="shared" si="21"/>
        <v>Crisólita20191.3</v>
      </c>
      <c r="B1363">
        <v>3120151</v>
      </c>
      <c r="C1363" t="s">
        <v>45</v>
      </c>
      <c r="D1363">
        <v>2019</v>
      </c>
      <c r="E1363">
        <v>6</v>
      </c>
      <c r="F1363">
        <v>68</v>
      </c>
      <c r="G1363" t="s">
        <v>15</v>
      </c>
      <c r="H1363" t="s">
        <v>11</v>
      </c>
      <c r="I1363" s="1" t="s">
        <v>16</v>
      </c>
      <c r="J1363">
        <v>0.3574</v>
      </c>
    </row>
    <row r="1364" spans="1:10" hidden="1" x14ac:dyDescent="0.35">
      <c r="A1364" t="str">
        <f t="shared" si="21"/>
        <v>Crisólita20192.1</v>
      </c>
      <c r="B1364">
        <v>3120151</v>
      </c>
      <c r="C1364" t="s">
        <v>45</v>
      </c>
      <c r="D1364">
        <v>2019</v>
      </c>
      <c r="E1364">
        <v>6</v>
      </c>
      <c r="F1364">
        <v>28</v>
      </c>
      <c r="G1364" t="s">
        <v>17</v>
      </c>
      <c r="H1364" t="s">
        <v>18</v>
      </c>
      <c r="I1364" s="1" t="s">
        <v>19</v>
      </c>
    </row>
    <row r="1365" spans="1:10" hidden="1" x14ac:dyDescent="0.35">
      <c r="A1365" t="str">
        <f t="shared" si="21"/>
        <v>Crisólita20192.2</v>
      </c>
      <c r="B1365">
        <v>3120151</v>
      </c>
      <c r="C1365" t="s">
        <v>45</v>
      </c>
      <c r="D1365">
        <v>2019</v>
      </c>
      <c r="E1365">
        <v>6</v>
      </c>
      <c r="F1365">
        <v>29</v>
      </c>
      <c r="G1365" t="s">
        <v>20</v>
      </c>
      <c r="H1365" t="s">
        <v>18</v>
      </c>
      <c r="I1365" s="1" t="s">
        <v>21</v>
      </c>
      <c r="J1365">
        <v>0.96699999999999997</v>
      </c>
    </row>
    <row r="1366" spans="1:10" hidden="1" x14ac:dyDescent="0.35">
      <c r="A1366" t="str">
        <f t="shared" si="21"/>
        <v>Crisólita20192.4</v>
      </c>
      <c r="B1366">
        <v>3120151</v>
      </c>
      <c r="C1366" t="s">
        <v>45</v>
      </c>
      <c r="D1366">
        <v>2019</v>
      </c>
      <c r="E1366">
        <v>6</v>
      </c>
      <c r="F1366">
        <v>31</v>
      </c>
      <c r="G1366" t="s">
        <v>22</v>
      </c>
      <c r="H1366" t="s">
        <v>18</v>
      </c>
      <c r="I1366" s="1" t="s">
        <v>23</v>
      </c>
      <c r="J1366">
        <v>0.12479999999999999</v>
      </c>
    </row>
    <row r="1367" spans="1:10" hidden="1" x14ac:dyDescent="0.35">
      <c r="A1367" t="str">
        <f t="shared" si="21"/>
        <v>Crisólita20192.5</v>
      </c>
      <c r="B1367">
        <v>3120151</v>
      </c>
      <c r="C1367" t="s">
        <v>45</v>
      </c>
      <c r="D1367">
        <v>2019</v>
      </c>
      <c r="E1367">
        <v>6</v>
      </c>
      <c r="F1367">
        <v>32</v>
      </c>
      <c r="G1367" t="s">
        <v>24</v>
      </c>
      <c r="H1367" t="s">
        <v>18</v>
      </c>
      <c r="I1367" s="1" t="s">
        <v>25</v>
      </c>
      <c r="J1367">
        <v>0.74280000000000002</v>
      </c>
    </row>
    <row r="1368" spans="1:10" hidden="1" x14ac:dyDescent="0.35">
      <c r="A1368" t="str">
        <f t="shared" si="21"/>
        <v>Crisólita20192.8</v>
      </c>
      <c r="B1368">
        <v>3120151</v>
      </c>
      <c r="C1368" t="s">
        <v>45</v>
      </c>
      <c r="D1368">
        <v>2019</v>
      </c>
      <c r="E1368">
        <v>6</v>
      </c>
      <c r="F1368">
        <v>35</v>
      </c>
      <c r="G1368" t="s">
        <v>26</v>
      </c>
      <c r="H1368" t="s">
        <v>18</v>
      </c>
      <c r="I1368" s="1" t="s">
        <v>27</v>
      </c>
      <c r="J1368">
        <v>0.31080000000000002</v>
      </c>
    </row>
    <row r="1369" spans="1:10" hidden="1" x14ac:dyDescent="0.35">
      <c r="A1369" t="str">
        <f t="shared" si="21"/>
        <v>Crisólita20194.1</v>
      </c>
      <c r="B1369">
        <v>3120151</v>
      </c>
      <c r="C1369" t="s">
        <v>45</v>
      </c>
      <c r="D1369">
        <v>2019</v>
      </c>
      <c r="E1369">
        <v>6</v>
      </c>
      <c r="F1369">
        <v>44</v>
      </c>
      <c r="G1369" t="s">
        <v>28</v>
      </c>
      <c r="H1369" t="s">
        <v>29</v>
      </c>
      <c r="I1369" s="1" t="s">
        <v>30</v>
      </c>
      <c r="J1369">
        <v>2718.44</v>
      </c>
    </row>
    <row r="1370" spans="1:10" hidden="1" x14ac:dyDescent="0.35">
      <c r="A1370" t="str">
        <f t="shared" si="21"/>
        <v>Crisólita20194.10</v>
      </c>
      <c r="B1370">
        <v>3120151</v>
      </c>
      <c r="C1370" t="s">
        <v>45</v>
      </c>
      <c r="D1370">
        <v>2019</v>
      </c>
      <c r="E1370">
        <v>6</v>
      </c>
      <c r="F1370">
        <v>58</v>
      </c>
      <c r="G1370" t="s">
        <v>31</v>
      </c>
      <c r="H1370" t="s">
        <v>29</v>
      </c>
      <c r="I1370" s="1" t="s">
        <v>32</v>
      </c>
      <c r="J1370">
        <v>2618.4699999999998</v>
      </c>
    </row>
    <row r="1371" spans="1:10" hidden="1" x14ac:dyDescent="0.35">
      <c r="A1371" t="str">
        <f t="shared" si="21"/>
        <v>Crisólita20194.11</v>
      </c>
      <c r="B1371">
        <v>3120151</v>
      </c>
      <c r="C1371" t="s">
        <v>45</v>
      </c>
      <c r="D1371">
        <v>2019</v>
      </c>
      <c r="E1371">
        <v>6</v>
      </c>
      <c r="F1371">
        <v>59</v>
      </c>
      <c r="G1371" t="s">
        <v>33</v>
      </c>
      <c r="H1371" t="s">
        <v>29</v>
      </c>
      <c r="I1371" s="1" t="s">
        <v>34</v>
      </c>
      <c r="J1371">
        <v>1275.06</v>
      </c>
    </row>
    <row r="1372" spans="1:10" hidden="1" x14ac:dyDescent="0.35">
      <c r="A1372" t="str">
        <f t="shared" si="21"/>
        <v>Crisólita20194.2</v>
      </c>
      <c r="B1372">
        <v>3120151</v>
      </c>
      <c r="C1372" t="s">
        <v>45</v>
      </c>
      <c r="D1372">
        <v>2019</v>
      </c>
      <c r="E1372">
        <v>6</v>
      </c>
      <c r="F1372">
        <v>45</v>
      </c>
      <c r="G1372" t="s">
        <v>35</v>
      </c>
      <c r="H1372" t="s">
        <v>29</v>
      </c>
      <c r="I1372" s="1" t="s">
        <v>36</v>
      </c>
      <c r="J1372">
        <v>6163.81</v>
      </c>
    </row>
    <row r="1373" spans="1:10" hidden="1" x14ac:dyDescent="0.35">
      <c r="A1373" t="str">
        <f t="shared" si="21"/>
        <v>Crisólita20194.8</v>
      </c>
      <c r="B1373">
        <v>3120151</v>
      </c>
      <c r="C1373" t="s">
        <v>45</v>
      </c>
      <c r="D1373">
        <v>2019</v>
      </c>
      <c r="E1373">
        <v>6</v>
      </c>
      <c r="F1373">
        <v>56</v>
      </c>
      <c r="G1373" t="s">
        <v>37</v>
      </c>
      <c r="H1373" t="s">
        <v>29</v>
      </c>
      <c r="I1373" s="1" t="s">
        <v>38</v>
      </c>
      <c r="J1373">
        <v>5099.79</v>
      </c>
    </row>
    <row r="1374" spans="1:10" hidden="1" x14ac:dyDescent="0.35">
      <c r="A1374" t="str">
        <f t="shared" si="21"/>
        <v>Crisólita20194.9</v>
      </c>
      <c r="B1374">
        <v>3120151</v>
      </c>
      <c r="C1374" t="s">
        <v>45</v>
      </c>
      <c r="D1374">
        <v>2019</v>
      </c>
      <c r="E1374">
        <v>6</v>
      </c>
      <c r="F1374">
        <v>57</v>
      </c>
      <c r="G1374" t="s">
        <v>39</v>
      </c>
      <c r="H1374" t="s">
        <v>29</v>
      </c>
      <c r="I1374" s="1" t="s">
        <v>40</v>
      </c>
      <c r="J1374">
        <v>5099.79</v>
      </c>
    </row>
    <row r="1375" spans="1:10" hidden="1" x14ac:dyDescent="0.35">
      <c r="A1375" t="str">
        <f t="shared" si="21"/>
        <v>Franciscópolis20191.1</v>
      </c>
      <c r="B1375">
        <v>3126752</v>
      </c>
      <c r="C1375" t="s">
        <v>46</v>
      </c>
      <c r="D1375">
        <v>2019</v>
      </c>
      <c r="E1375">
        <v>6</v>
      </c>
      <c r="F1375">
        <v>24</v>
      </c>
      <c r="G1375" t="s">
        <v>10</v>
      </c>
      <c r="H1375" t="s">
        <v>11</v>
      </c>
      <c r="I1375" s="1" t="s">
        <v>12</v>
      </c>
      <c r="J1375">
        <v>0.32879999999999998</v>
      </c>
    </row>
    <row r="1376" spans="1:10" hidden="1" x14ac:dyDescent="0.35">
      <c r="A1376" t="str">
        <f t="shared" si="21"/>
        <v>Franciscópolis20191.2</v>
      </c>
      <c r="B1376">
        <v>3126752</v>
      </c>
      <c r="C1376" t="s">
        <v>46</v>
      </c>
      <c r="D1376">
        <v>2019</v>
      </c>
      <c r="E1376">
        <v>6</v>
      </c>
      <c r="F1376">
        <v>67</v>
      </c>
      <c r="G1376" t="s">
        <v>13</v>
      </c>
      <c r="H1376" t="s">
        <v>11</v>
      </c>
      <c r="I1376" s="1" t="s">
        <v>14</v>
      </c>
      <c r="J1376">
        <v>0.8931</v>
      </c>
    </row>
    <row r="1377" spans="1:10" hidden="1" x14ac:dyDescent="0.35">
      <c r="A1377" t="str">
        <f t="shared" si="21"/>
        <v>Franciscópolis20191.3</v>
      </c>
      <c r="B1377">
        <v>3126752</v>
      </c>
      <c r="C1377" t="s">
        <v>46</v>
      </c>
      <c r="D1377">
        <v>2019</v>
      </c>
      <c r="E1377">
        <v>6</v>
      </c>
      <c r="F1377">
        <v>68</v>
      </c>
      <c r="G1377" t="s">
        <v>15</v>
      </c>
      <c r="H1377" t="s">
        <v>11</v>
      </c>
      <c r="I1377" s="1" t="s">
        <v>16</v>
      </c>
      <c r="J1377">
        <v>0.1069</v>
      </c>
    </row>
    <row r="1378" spans="1:10" hidden="1" x14ac:dyDescent="0.35">
      <c r="A1378" t="str">
        <f t="shared" si="21"/>
        <v>Franciscópolis20192.1</v>
      </c>
      <c r="B1378">
        <v>3126752</v>
      </c>
      <c r="C1378" t="s">
        <v>46</v>
      </c>
      <c r="D1378">
        <v>2019</v>
      </c>
      <c r="E1378">
        <v>6</v>
      </c>
      <c r="F1378">
        <v>28</v>
      </c>
      <c r="G1378" t="s">
        <v>17</v>
      </c>
      <c r="H1378" t="s">
        <v>18</v>
      </c>
      <c r="I1378" s="1" t="s">
        <v>19</v>
      </c>
    </row>
    <row r="1379" spans="1:10" hidden="1" x14ac:dyDescent="0.35">
      <c r="A1379" t="str">
        <f t="shared" si="21"/>
        <v>Franciscópolis20192.2</v>
      </c>
      <c r="B1379">
        <v>3126752</v>
      </c>
      <c r="C1379" t="s">
        <v>46</v>
      </c>
      <c r="D1379">
        <v>2019</v>
      </c>
      <c r="E1379">
        <v>6</v>
      </c>
      <c r="F1379">
        <v>29</v>
      </c>
      <c r="G1379" t="s">
        <v>20</v>
      </c>
      <c r="H1379" t="s">
        <v>18</v>
      </c>
      <c r="I1379" s="1" t="s">
        <v>21</v>
      </c>
      <c r="J1379">
        <v>0.76959999999999995</v>
      </c>
    </row>
    <row r="1380" spans="1:10" hidden="1" x14ac:dyDescent="0.35">
      <c r="A1380" t="str">
        <f t="shared" si="21"/>
        <v>Franciscópolis20192.4</v>
      </c>
      <c r="B1380">
        <v>3126752</v>
      </c>
      <c r="C1380" t="s">
        <v>46</v>
      </c>
      <c r="D1380">
        <v>2019</v>
      </c>
      <c r="E1380">
        <v>6</v>
      </c>
      <c r="F1380">
        <v>31</v>
      </c>
      <c r="G1380" t="s">
        <v>22</v>
      </c>
      <c r="H1380" t="s">
        <v>18</v>
      </c>
      <c r="I1380" s="1" t="s">
        <v>23</v>
      </c>
      <c r="J1380">
        <v>0.1963</v>
      </c>
    </row>
    <row r="1381" spans="1:10" hidden="1" x14ac:dyDescent="0.35">
      <c r="A1381" t="str">
        <f t="shared" si="21"/>
        <v>Franciscópolis20192.5</v>
      </c>
      <c r="B1381">
        <v>3126752</v>
      </c>
      <c r="C1381" t="s">
        <v>46</v>
      </c>
      <c r="D1381">
        <v>2019</v>
      </c>
      <c r="E1381">
        <v>6</v>
      </c>
      <c r="F1381">
        <v>32</v>
      </c>
      <c r="G1381" t="s">
        <v>24</v>
      </c>
      <c r="H1381" t="s">
        <v>18</v>
      </c>
      <c r="I1381" s="1" t="s">
        <v>25</v>
      </c>
      <c r="J1381">
        <v>0.6159</v>
      </c>
    </row>
    <row r="1382" spans="1:10" hidden="1" x14ac:dyDescent="0.35">
      <c r="A1382" t="str">
        <f t="shared" si="21"/>
        <v>Franciscópolis20192.8</v>
      </c>
      <c r="B1382">
        <v>3126752</v>
      </c>
      <c r="C1382" t="s">
        <v>46</v>
      </c>
      <c r="D1382">
        <v>2019</v>
      </c>
      <c r="E1382">
        <v>6</v>
      </c>
      <c r="F1382">
        <v>35</v>
      </c>
      <c r="G1382" t="s">
        <v>26</v>
      </c>
      <c r="H1382" t="s">
        <v>18</v>
      </c>
      <c r="I1382" s="1" t="s">
        <v>27</v>
      </c>
      <c r="J1382">
        <v>0.26939999999999997</v>
      </c>
    </row>
    <row r="1383" spans="1:10" hidden="1" x14ac:dyDescent="0.35">
      <c r="A1383" t="str">
        <f t="shared" si="21"/>
        <v>Franciscópolis20194.1</v>
      </c>
      <c r="B1383">
        <v>3126752</v>
      </c>
      <c r="C1383" t="s">
        <v>46</v>
      </c>
      <c r="D1383">
        <v>2019</v>
      </c>
      <c r="E1383">
        <v>6</v>
      </c>
      <c r="F1383">
        <v>44</v>
      </c>
      <c r="G1383" t="s">
        <v>28</v>
      </c>
      <c r="H1383" t="s">
        <v>29</v>
      </c>
      <c r="I1383" s="1" t="s">
        <v>30</v>
      </c>
      <c r="J1383">
        <v>5829.55</v>
      </c>
    </row>
    <row r="1384" spans="1:10" hidden="1" x14ac:dyDescent="0.35">
      <c r="A1384" t="str">
        <f t="shared" si="21"/>
        <v>Franciscópolis20194.10</v>
      </c>
      <c r="B1384">
        <v>3126752</v>
      </c>
      <c r="C1384" t="s">
        <v>46</v>
      </c>
      <c r="D1384">
        <v>2019</v>
      </c>
      <c r="E1384">
        <v>6</v>
      </c>
      <c r="F1384">
        <v>58</v>
      </c>
      <c r="G1384" t="s">
        <v>31</v>
      </c>
      <c r="H1384" t="s">
        <v>29</v>
      </c>
      <c r="I1384" s="1" t="s">
        <v>32</v>
      </c>
      <c r="J1384">
        <v>4645.92</v>
      </c>
    </row>
    <row r="1385" spans="1:10" hidden="1" x14ac:dyDescent="0.35">
      <c r="A1385" t="str">
        <f t="shared" si="21"/>
        <v>Franciscópolis20194.11</v>
      </c>
      <c r="B1385">
        <v>3126752</v>
      </c>
      <c r="C1385" t="s">
        <v>46</v>
      </c>
      <c r="D1385">
        <v>2019</v>
      </c>
      <c r="E1385">
        <v>6</v>
      </c>
      <c r="F1385">
        <v>59</v>
      </c>
      <c r="G1385" t="s">
        <v>33</v>
      </c>
      <c r="H1385" t="s">
        <v>29</v>
      </c>
      <c r="I1385" s="1" t="s">
        <v>34</v>
      </c>
      <c r="J1385">
        <v>1803.63</v>
      </c>
    </row>
    <row r="1386" spans="1:10" hidden="1" x14ac:dyDescent="0.35">
      <c r="A1386" t="str">
        <f t="shared" si="21"/>
        <v>Franciscópolis20194.2</v>
      </c>
      <c r="B1386">
        <v>3126752</v>
      </c>
      <c r="C1386" t="s">
        <v>46</v>
      </c>
      <c r="D1386">
        <v>2019</v>
      </c>
      <c r="E1386">
        <v>6</v>
      </c>
      <c r="F1386">
        <v>45</v>
      </c>
      <c r="G1386" t="s">
        <v>35</v>
      </c>
      <c r="H1386" t="s">
        <v>29</v>
      </c>
      <c r="I1386" s="1" t="s">
        <v>36</v>
      </c>
      <c r="J1386">
        <v>9244.99</v>
      </c>
    </row>
    <row r="1387" spans="1:10" hidden="1" x14ac:dyDescent="0.35">
      <c r="A1387" t="str">
        <f t="shared" si="21"/>
        <v>Franciscópolis20194.8</v>
      </c>
      <c r="B1387">
        <v>3126752</v>
      </c>
      <c r="C1387" t="s">
        <v>46</v>
      </c>
      <c r="D1387">
        <v>2019</v>
      </c>
      <c r="E1387">
        <v>6</v>
      </c>
      <c r="F1387">
        <v>56</v>
      </c>
      <c r="G1387" t="s">
        <v>37</v>
      </c>
      <c r="H1387" t="s">
        <v>29</v>
      </c>
      <c r="I1387" s="1" t="s">
        <v>38</v>
      </c>
      <c r="J1387">
        <v>8191.54</v>
      </c>
    </row>
    <row r="1388" spans="1:10" hidden="1" x14ac:dyDescent="0.35">
      <c r="A1388" t="str">
        <f t="shared" si="21"/>
        <v>Franciscópolis20194.9</v>
      </c>
      <c r="B1388">
        <v>3126752</v>
      </c>
      <c r="C1388" t="s">
        <v>46</v>
      </c>
      <c r="D1388">
        <v>2019</v>
      </c>
      <c r="E1388">
        <v>6</v>
      </c>
      <c r="F1388">
        <v>57</v>
      </c>
      <c r="G1388" t="s">
        <v>39</v>
      </c>
      <c r="H1388" t="s">
        <v>29</v>
      </c>
      <c r="I1388" s="1" t="s">
        <v>40</v>
      </c>
      <c r="J1388">
        <v>8191.54</v>
      </c>
    </row>
    <row r="1389" spans="1:10" hidden="1" x14ac:dyDescent="0.35">
      <c r="A1389" t="str">
        <f t="shared" si="21"/>
        <v>Frei Gaspar20191.1</v>
      </c>
      <c r="B1389">
        <v>3126802</v>
      </c>
      <c r="C1389" t="s">
        <v>47</v>
      </c>
      <c r="D1389">
        <v>2019</v>
      </c>
      <c r="E1389">
        <v>6</v>
      </c>
      <c r="F1389">
        <v>24</v>
      </c>
      <c r="G1389" t="s">
        <v>10</v>
      </c>
      <c r="H1389" t="s">
        <v>11</v>
      </c>
      <c r="I1389" s="1" t="s">
        <v>12</v>
      </c>
      <c r="J1389">
        <v>0.33489999999999998</v>
      </c>
    </row>
    <row r="1390" spans="1:10" hidden="1" x14ac:dyDescent="0.35">
      <c r="A1390" t="str">
        <f t="shared" si="21"/>
        <v>Frei Gaspar20191.2</v>
      </c>
      <c r="B1390">
        <v>3126802</v>
      </c>
      <c r="C1390" t="s">
        <v>47</v>
      </c>
      <c r="D1390">
        <v>2019</v>
      </c>
      <c r="E1390">
        <v>6</v>
      </c>
      <c r="F1390">
        <v>67</v>
      </c>
      <c r="G1390" t="s">
        <v>13</v>
      </c>
      <c r="H1390" t="s">
        <v>11</v>
      </c>
      <c r="I1390" s="1" t="s">
        <v>14</v>
      </c>
      <c r="J1390">
        <v>0.8115</v>
      </c>
    </row>
    <row r="1391" spans="1:10" hidden="1" x14ac:dyDescent="0.35">
      <c r="A1391" t="str">
        <f t="shared" si="21"/>
        <v>Frei Gaspar20191.3</v>
      </c>
      <c r="B1391">
        <v>3126802</v>
      </c>
      <c r="C1391" t="s">
        <v>47</v>
      </c>
      <c r="D1391">
        <v>2019</v>
      </c>
      <c r="E1391">
        <v>6</v>
      </c>
      <c r="F1391">
        <v>68</v>
      </c>
      <c r="G1391" t="s">
        <v>15</v>
      </c>
      <c r="H1391" t="s">
        <v>11</v>
      </c>
      <c r="I1391" s="1" t="s">
        <v>16</v>
      </c>
      <c r="J1391">
        <v>0.18099999999999999</v>
      </c>
    </row>
    <row r="1392" spans="1:10" hidden="1" x14ac:dyDescent="0.35">
      <c r="A1392" t="str">
        <f t="shared" si="21"/>
        <v>Frei Gaspar20192.1</v>
      </c>
      <c r="B1392">
        <v>3126802</v>
      </c>
      <c r="C1392" t="s">
        <v>47</v>
      </c>
      <c r="D1392">
        <v>2019</v>
      </c>
      <c r="E1392">
        <v>6</v>
      </c>
      <c r="F1392">
        <v>28</v>
      </c>
      <c r="G1392" t="s">
        <v>17</v>
      </c>
      <c r="H1392" t="s">
        <v>18</v>
      </c>
      <c r="I1392" s="1" t="s">
        <v>19</v>
      </c>
    </row>
    <row r="1393" spans="1:10" hidden="1" x14ac:dyDescent="0.35">
      <c r="A1393" t="str">
        <f t="shared" si="21"/>
        <v>Frei Gaspar20192.2</v>
      </c>
      <c r="B1393">
        <v>3126802</v>
      </c>
      <c r="C1393" t="s">
        <v>47</v>
      </c>
      <c r="D1393">
        <v>2019</v>
      </c>
      <c r="E1393">
        <v>6</v>
      </c>
      <c r="F1393">
        <v>29</v>
      </c>
      <c r="G1393" t="s">
        <v>20</v>
      </c>
      <c r="H1393" t="s">
        <v>18</v>
      </c>
      <c r="I1393" s="1" t="s">
        <v>21</v>
      </c>
      <c r="J1393">
        <v>0.88639999999999997</v>
      </c>
    </row>
    <row r="1394" spans="1:10" hidden="1" x14ac:dyDescent="0.35">
      <c r="A1394" t="str">
        <f t="shared" si="21"/>
        <v>Frei Gaspar20192.4</v>
      </c>
      <c r="B1394">
        <v>3126802</v>
      </c>
      <c r="C1394" t="s">
        <v>47</v>
      </c>
      <c r="D1394">
        <v>2019</v>
      </c>
      <c r="E1394">
        <v>6</v>
      </c>
      <c r="F1394">
        <v>31</v>
      </c>
      <c r="G1394" t="s">
        <v>22</v>
      </c>
      <c r="H1394" t="s">
        <v>18</v>
      </c>
      <c r="I1394" s="1" t="s">
        <v>23</v>
      </c>
      <c r="J1394">
        <v>5.6000000000000001E-2</v>
      </c>
    </row>
    <row r="1395" spans="1:10" hidden="1" x14ac:dyDescent="0.35">
      <c r="A1395" t="str">
        <f t="shared" si="21"/>
        <v>Frei Gaspar20192.5</v>
      </c>
      <c r="B1395">
        <v>3126802</v>
      </c>
      <c r="C1395" t="s">
        <v>47</v>
      </c>
      <c r="D1395">
        <v>2019</v>
      </c>
      <c r="E1395">
        <v>6</v>
      </c>
      <c r="F1395">
        <v>32</v>
      </c>
      <c r="G1395" t="s">
        <v>24</v>
      </c>
      <c r="H1395" t="s">
        <v>18</v>
      </c>
      <c r="I1395" s="1" t="s">
        <v>25</v>
      </c>
      <c r="J1395">
        <v>0.87570000000000003</v>
      </c>
    </row>
    <row r="1396" spans="1:10" hidden="1" x14ac:dyDescent="0.35">
      <c r="A1396" t="str">
        <f t="shared" si="21"/>
        <v>Frei Gaspar20192.8</v>
      </c>
      <c r="B1396">
        <v>3126802</v>
      </c>
      <c r="C1396" t="s">
        <v>47</v>
      </c>
      <c r="D1396">
        <v>2019</v>
      </c>
      <c r="E1396">
        <v>6</v>
      </c>
      <c r="F1396">
        <v>35</v>
      </c>
      <c r="G1396" t="s">
        <v>26</v>
      </c>
      <c r="H1396" t="s">
        <v>18</v>
      </c>
      <c r="I1396" s="1" t="s">
        <v>27</v>
      </c>
      <c r="J1396">
        <v>0.37359999999999999</v>
      </c>
    </row>
    <row r="1397" spans="1:10" hidden="1" x14ac:dyDescent="0.35">
      <c r="A1397" t="str">
        <f t="shared" si="21"/>
        <v>Frei Gaspar20194.1</v>
      </c>
      <c r="B1397">
        <v>3126802</v>
      </c>
      <c r="C1397" t="s">
        <v>47</v>
      </c>
      <c r="D1397">
        <v>2019</v>
      </c>
      <c r="E1397">
        <v>6</v>
      </c>
      <c r="F1397">
        <v>44</v>
      </c>
      <c r="G1397" t="s">
        <v>28</v>
      </c>
      <c r="H1397" t="s">
        <v>29</v>
      </c>
      <c r="I1397" s="1" t="s">
        <v>30</v>
      </c>
      <c r="J1397">
        <v>1971.87</v>
      </c>
    </row>
    <row r="1398" spans="1:10" hidden="1" x14ac:dyDescent="0.35">
      <c r="A1398" t="str">
        <f t="shared" si="21"/>
        <v>Frei Gaspar20194.10</v>
      </c>
      <c r="B1398">
        <v>3126802</v>
      </c>
      <c r="C1398" t="s">
        <v>47</v>
      </c>
      <c r="D1398">
        <v>2019</v>
      </c>
      <c r="E1398">
        <v>6</v>
      </c>
      <c r="F1398">
        <v>58</v>
      </c>
      <c r="G1398" t="s">
        <v>31</v>
      </c>
      <c r="H1398" t="s">
        <v>29</v>
      </c>
      <c r="I1398" s="1" t="s">
        <v>32</v>
      </c>
      <c r="J1398">
        <v>5266.57</v>
      </c>
    </row>
    <row r="1399" spans="1:10" hidden="1" x14ac:dyDescent="0.35">
      <c r="A1399" t="str">
        <f t="shared" si="21"/>
        <v>Frei Gaspar20194.11</v>
      </c>
      <c r="B1399">
        <v>3126802</v>
      </c>
      <c r="C1399" t="s">
        <v>47</v>
      </c>
      <c r="D1399">
        <v>2019</v>
      </c>
      <c r="E1399">
        <v>6</v>
      </c>
      <c r="F1399">
        <v>59</v>
      </c>
      <c r="G1399" t="s">
        <v>33</v>
      </c>
      <c r="H1399" t="s">
        <v>29</v>
      </c>
      <c r="I1399" s="1" t="s">
        <v>34</v>
      </c>
      <c r="J1399">
        <v>1743.24</v>
      </c>
    </row>
    <row r="1400" spans="1:10" hidden="1" x14ac:dyDescent="0.35">
      <c r="A1400" t="str">
        <f t="shared" si="21"/>
        <v>Frei Gaspar20194.2</v>
      </c>
      <c r="B1400">
        <v>3126802</v>
      </c>
      <c r="C1400" t="s">
        <v>47</v>
      </c>
      <c r="D1400">
        <v>2019</v>
      </c>
      <c r="E1400">
        <v>6</v>
      </c>
      <c r="F1400">
        <v>45</v>
      </c>
      <c r="G1400" t="s">
        <v>35</v>
      </c>
      <c r="H1400" t="s">
        <v>29</v>
      </c>
      <c r="I1400" s="1" t="s">
        <v>36</v>
      </c>
      <c r="J1400">
        <v>9004.74</v>
      </c>
    </row>
    <row r="1401" spans="1:10" hidden="1" x14ac:dyDescent="0.35">
      <c r="A1401" t="str">
        <f t="shared" si="21"/>
        <v>Frei Gaspar20194.8</v>
      </c>
      <c r="B1401">
        <v>3126802</v>
      </c>
      <c r="C1401" t="s">
        <v>47</v>
      </c>
      <c r="D1401">
        <v>2019</v>
      </c>
      <c r="E1401">
        <v>6</v>
      </c>
      <c r="F1401">
        <v>56</v>
      </c>
      <c r="G1401" t="s">
        <v>37</v>
      </c>
      <c r="H1401" t="s">
        <v>29</v>
      </c>
      <c r="I1401" s="1" t="s">
        <v>38</v>
      </c>
      <c r="J1401">
        <v>7009.8</v>
      </c>
    </row>
    <row r="1402" spans="1:10" hidden="1" x14ac:dyDescent="0.35">
      <c r="A1402" t="str">
        <f t="shared" si="21"/>
        <v>Frei Gaspar20194.9</v>
      </c>
      <c r="B1402">
        <v>3126802</v>
      </c>
      <c r="C1402" t="s">
        <v>47</v>
      </c>
      <c r="D1402">
        <v>2019</v>
      </c>
      <c r="E1402">
        <v>6</v>
      </c>
      <c r="F1402">
        <v>57</v>
      </c>
      <c r="G1402" t="s">
        <v>39</v>
      </c>
      <c r="H1402" t="s">
        <v>29</v>
      </c>
      <c r="I1402" s="1" t="s">
        <v>40</v>
      </c>
      <c r="J1402">
        <v>7009.8</v>
      </c>
    </row>
    <row r="1403" spans="1:10" hidden="1" x14ac:dyDescent="0.35">
      <c r="A1403" t="str">
        <f t="shared" si="21"/>
        <v>Fronteira dos Vales20191.1</v>
      </c>
      <c r="B1403">
        <v>3127057</v>
      </c>
      <c r="C1403" t="s">
        <v>48</v>
      </c>
      <c r="D1403">
        <v>2019</v>
      </c>
      <c r="E1403">
        <v>6</v>
      </c>
      <c r="F1403">
        <v>24</v>
      </c>
      <c r="G1403" t="s">
        <v>10</v>
      </c>
      <c r="H1403" t="s">
        <v>11</v>
      </c>
      <c r="I1403" s="1" t="s">
        <v>12</v>
      </c>
      <c r="J1403">
        <v>0.28749999999999998</v>
      </c>
    </row>
    <row r="1404" spans="1:10" hidden="1" x14ac:dyDescent="0.35">
      <c r="A1404" t="str">
        <f t="shared" si="21"/>
        <v>Fronteira dos Vales20191.2</v>
      </c>
      <c r="B1404">
        <v>3127057</v>
      </c>
      <c r="C1404" t="s">
        <v>48</v>
      </c>
      <c r="D1404">
        <v>2019</v>
      </c>
      <c r="E1404">
        <v>6</v>
      </c>
      <c r="F1404">
        <v>67</v>
      </c>
      <c r="G1404" t="s">
        <v>13</v>
      </c>
      <c r="H1404" t="s">
        <v>11</v>
      </c>
      <c r="I1404" s="1" t="s">
        <v>14</v>
      </c>
      <c r="J1404">
        <v>0.64329999999999998</v>
      </c>
    </row>
    <row r="1405" spans="1:10" hidden="1" x14ac:dyDescent="0.35">
      <c r="A1405" t="str">
        <f t="shared" si="21"/>
        <v>Fronteira dos Vales20191.3</v>
      </c>
      <c r="B1405">
        <v>3127057</v>
      </c>
      <c r="C1405" t="s">
        <v>48</v>
      </c>
      <c r="D1405">
        <v>2019</v>
      </c>
      <c r="E1405">
        <v>6</v>
      </c>
      <c r="F1405">
        <v>68</v>
      </c>
      <c r="G1405" t="s">
        <v>15</v>
      </c>
      <c r="H1405" t="s">
        <v>11</v>
      </c>
      <c r="I1405" s="1" t="s">
        <v>16</v>
      </c>
      <c r="J1405">
        <v>0.32979999999999998</v>
      </c>
    </row>
    <row r="1406" spans="1:10" hidden="1" x14ac:dyDescent="0.35">
      <c r="A1406" t="str">
        <f t="shared" si="21"/>
        <v>Fronteira dos Vales20192.1</v>
      </c>
      <c r="B1406">
        <v>3127057</v>
      </c>
      <c r="C1406" t="s">
        <v>48</v>
      </c>
      <c r="D1406">
        <v>2019</v>
      </c>
      <c r="E1406">
        <v>6</v>
      </c>
      <c r="F1406">
        <v>28</v>
      </c>
      <c r="G1406" t="s">
        <v>17</v>
      </c>
      <c r="H1406" t="s">
        <v>18</v>
      </c>
      <c r="I1406" s="1" t="s">
        <v>19</v>
      </c>
    </row>
    <row r="1407" spans="1:10" hidden="1" x14ac:dyDescent="0.35">
      <c r="A1407" t="str">
        <f t="shared" si="21"/>
        <v>Fronteira dos Vales20192.2</v>
      </c>
      <c r="B1407">
        <v>3127057</v>
      </c>
      <c r="C1407" t="s">
        <v>48</v>
      </c>
      <c r="D1407">
        <v>2019</v>
      </c>
      <c r="E1407">
        <v>6</v>
      </c>
      <c r="F1407">
        <v>29</v>
      </c>
      <c r="G1407" t="s">
        <v>20</v>
      </c>
      <c r="H1407" t="s">
        <v>18</v>
      </c>
      <c r="I1407" s="1" t="s">
        <v>21</v>
      </c>
      <c r="J1407">
        <v>0.97309999999999997</v>
      </c>
    </row>
    <row r="1408" spans="1:10" hidden="1" x14ac:dyDescent="0.35">
      <c r="A1408" t="str">
        <f t="shared" si="21"/>
        <v>Fronteira dos Vales20192.4</v>
      </c>
      <c r="B1408">
        <v>3127057</v>
      </c>
      <c r="C1408" t="s">
        <v>48</v>
      </c>
      <c r="D1408">
        <v>2019</v>
      </c>
      <c r="E1408">
        <v>6</v>
      </c>
      <c r="F1408">
        <v>31</v>
      </c>
      <c r="G1408" t="s">
        <v>22</v>
      </c>
      <c r="H1408" t="s">
        <v>18</v>
      </c>
      <c r="I1408" s="1" t="s">
        <v>23</v>
      </c>
      <c r="J1408">
        <v>0.14219999999999999</v>
      </c>
    </row>
    <row r="1409" spans="1:10" hidden="1" x14ac:dyDescent="0.35">
      <c r="A1409" t="str">
        <f t="shared" si="21"/>
        <v>Fronteira dos Vales20192.5</v>
      </c>
      <c r="B1409">
        <v>3127057</v>
      </c>
      <c r="C1409" t="s">
        <v>48</v>
      </c>
      <c r="D1409">
        <v>2019</v>
      </c>
      <c r="E1409">
        <v>6</v>
      </c>
      <c r="F1409">
        <v>32</v>
      </c>
      <c r="G1409" t="s">
        <v>24</v>
      </c>
      <c r="H1409" t="s">
        <v>18</v>
      </c>
      <c r="I1409" s="1" t="s">
        <v>25</v>
      </c>
      <c r="J1409">
        <v>0.81569999999999998</v>
      </c>
    </row>
    <row r="1410" spans="1:10" hidden="1" x14ac:dyDescent="0.35">
      <c r="A1410" t="str">
        <f t="shared" si="21"/>
        <v>Fronteira dos Vales20192.8</v>
      </c>
      <c r="B1410">
        <v>3127057</v>
      </c>
      <c r="C1410" t="s">
        <v>48</v>
      </c>
      <c r="D1410">
        <v>2019</v>
      </c>
      <c r="E1410">
        <v>6</v>
      </c>
      <c r="F1410">
        <v>35</v>
      </c>
      <c r="G1410" t="s">
        <v>26</v>
      </c>
      <c r="H1410" t="s">
        <v>18</v>
      </c>
      <c r="I1410" s="1" t="s">
        <v>27</v>
      </c>
      <c r="J1410">
        <v>0.23499999999999999</v>
      </c>
    </row>
    <row r="1411" spans="1:10" hidden="1" x14ac:dyDescent="0.35">
      <c r="A1411" t="str">
        <f t="shared" si="21"/>
        <v>Fronteira dos Vales20194.1</v>
      </c>
      <c r="B1411">
        <v>3127057</v>
      </c>
      <c r="C1411" t="s">
        <v>48</v>
      </c>
      <c r="D1411">
        <v>2019</v>
      </c>
      <c r="E1411">
        <v>6</v>
      </c>
      <c r="F1411">
        <v>44</v>
      </c>
      <c r="G1411" t="s">
        <v>28</v>
      </c>
      <c r="H1411" t="s">
        <v>29</v>
      </c>
      <c r="I1411" s="1" t="s">
        <v>30</v>
      </c>
      <c r="J1411">
        <v>3750</v>
      </c>
    </row>
    <row r="1412" spans="1:10" hidden="1" x14ac:dyDescent="0.35">
      <c r="A1412" t="str">
        <f t="shared" ref="A1412:A1475" si="22">C1412&amp;D1412&amp;G1412</f>
        <v>Fronteira dos Vales20194.10</v>
      </c>
      <c r="B1412">
        <v>3127057</v>
      </c>
      <c r="C1412" t="s">
        <v>48</v>
      </c>
      <c r="D1412">
        <v>2019</v>
      </c>
      <c r="E1412">
        <v>6</v>
      </c>
      <c r="F1412">
        <v>58</v>
      </c>
      <c r="G1412" t="s">
        <v>31</v>
      </c>
      <c r="H1412" t="s">
        <v>29</v>
      </c>
      <c r="I1412" s="1" t="s">
        <v>32</v>
      </c>
      <c r="J1412">
        <v>5799.75</v>
      </c>
    </row>
    <row r="1413" spans="1:10" hidden="1" x14ac:dyDescent="0.35">
      <c r="A1413" t="str">
        <f t="shared" si="22"/>
        <v>Fronteira dos Vales20194.11</v>
      </c>
      <c r="B1413">
        <v>3127057</v>
      </c>
      <c r="C1413" t="s">
        <v>48</v>
      </c>
      <c r="D1413">
        <v>2019</v>
      </c>
      <c r="E1413">
        <v>6</v>
      </c>
      <c r="F1413">
        <v>59</v>
      </c>
      <c r="G1413" t="s">
        <v>33</v>
      </c>
      <c r="H1413" t="s">
        <v>29</v>
      </c>
      <c r="I1413" s="1" t="s">
        <v>34</v>
      </c>
      <c r="J1413">
        <v>817.18</v>
      </c>
    </row>
    <row r="1414" spans="1:10" hidden="1" x14ac:dyDescent="0.35">
      <c r="A1414" t="str">
        <f t="shared" si="22"/>
        <v>Fronteira dos Vales20194.2</v>
      </c>
      <c r="B1414">
        <v>3127057</v>
      </c>
      <c r="C1414" t="s">
        <v>48</v>
      </c>
      <c r="D1414">
        <v>2019</v>
      </c>
      <c r="E1414">
        <v>6</v>
      </c>
      <c r="F1414">
        <v>45</v>
      </c>
      <c r="G1414" t="s">
        <v>35</v>
      </c>
      <c r="H1414" t="s">
        <v>29</v>
      </c>
      <c r="I1414" s="1" t="s">
        <v>36</v>
      </c>
      <c r="J1414">
        <v>8383.27</v>
      </c>
    </row>
    <row r="1415" spans="1:10" hidden="1" x14ac:dyDescent="0.35">
      <c r="A1415" t="str">
        <f t="shared" si="22"/>
        <v>Fronteira dos Vales20194.8</v>
      </c>
      <c r="B1415">
        <v>3127057</v>
      </c>
      <c r="C1415" t="s">
        <v>48</v>
      </c>
      <c r="D1415">
        <v>2019</v>
      </c>
      <c r="E1415">
        <v>6</v>
      </c>
      <c r="F1415">
        <v>56</v>
      </c>
      <c r="G1415" t="s">
        <v>37</v>
      </c>
      <c r="H1415" t="s">
        <v>29</v>
      </c>
      <c r="I1415" s="1" t="s">
        <v>38</v>
      </c>
      <c r="J1415">
        <v>7084.22</v>
      </c>
    </row>
    <row r="1416" spans="1:10" hidden="1" x14ac:dyDescent="0.35">
      <c r="A1416" t="str">
        <f t="shared" si="22"/>
        <v>Fronteira dos Vales20194.9</v>
      </c>
      <c r="B1416">
        <v>3127057</v>
      </c>
      <c r="C1416" t="s">
        <v>48</v>
      </c>
      <c r="D1416">
        <v>2019</v>
      </c>
      <c r="E1416">
        <v>6</v>
      </c>
      <c r="F1416">
        <v>57</v>
      </c>
      <c r="G1416" t="s">
        <v>39</v>
      </c>
      <c r="H1416" t="s">
        <v>29</v>
      </c>
      <c r="I1416" s="1" t="s">
        <v>40</v>
      </c>
      <c r="J1416">
        <v>7084.22</v>
      </c>
    </row>
    <row r="1417" spans="1:10" hidden="1" x14ac:dyDescent="0.35">
      <c r="A1417" t="str">
        <f t="shared" si="22"/>
        <v>Itaipé20191.1</v>
      </c>
      <c r="B1417">
        <v>3132305</v>
      </c>
      <c r="C1417" t="s">
        <v>49</v>
      </c>
      <c r="D1417">
        <v>2019</v>
      </c>
      <c r="E1417">
        <v>6</v>
      </c>
      <c r="F1417">
        <v>24</v>
      </c>
      <c r="G1417" t="s">
        <v>10</v>
      </c>
      <c r="H1417" t="s">
        <v>11</v>
      </c>
      <c r="I1417" s="1" t="s">
        <v>12</v>
      </c>
      <c r="J1417">
        <v>0.2974</v>
      </c>
    </row>
    <row r="1418" spans="1:10" hidden="1" x14ac:dyDescent="0.35">
      <c r="A1418" t="str">
        <f t="shared" si="22"/>
        <v>Itaipé20191.2</v>
      </c>
      <c r="B1418">
        <v>3132305</v>
      </c>
      <c r="C1418" t="s">
        <v>49</v>
      </c>
      <c r="D1418">
        <v>2019</v>
      </c>
      <c r="E1418">
        <v>6</v>
      </c>
      <c r="F1418">
        <v>67</v>
      </c>
      <c r="G1418" t="s">
        <v>13</v>
      </c>
      <c r="H1418" t="s">
        <v>11</v>
      </c>
      <c r="I1418" s="1" t="s">
        <v>14</v>
      </c>
      <c r="J1418">
        <v>0.749</v>
      </c>
    </row>
    <row r="1419" spans="1:10" hidden="1" x14ac:dyDescent="0.35">
      <c r="A1419" t="str">
        <f t="shared" si="22"/>
        <v>Itaipé20191.3</v>
      </c>
      <c r="B1419">
        <v>3132305</v>
      </c>
      <c r="C1419" t="s">
        <v>49</v>
      </c>
      <c r="D1419">
        <v>2019</v>
      </c>
      <c r="E1419">
        <v>6</v>
      </c>
      <c r="F1419">
        <v>68</v>
      </c>
      <c r="G1419" t="s">
        <v>15</v>
      </c>
      <c r="H1419" t="s">
        <v>11</v>
      </c>
      <c r="I1419" s="1" t="s">
        <v>16</v>
      </c>
      <c r="J1419">
        <v>0.251</v>
      </c>
    </row>
    <row r="1420" spans="1:10" hidden="1" x14ac:dyDescent="0.35">
      <c r="A1420" t="str">
        <f t="shared" si="22"/>
        <v>Itaipé20192.1</v>
      </c>
      <c r="B1420">
        <v>3132305</v>
      </c>
      <c r="C1420" t="s">
        <v>49</v>
      </c>
      <c r="D1420">
        <v>2019</v>
      </c>
      <c r="E1420">
        <v>6</v>
      </c>
      <c r="F1420">
        <v>28</v>
      </c>
      <c r="G1420" t="s">
        <v>17</v>
      </c>
      <c r="H1420" t="s">
        <v>18</v>
      </c>
      <c r="I1420" s="1" t="s">
        <v>19</v>
      </c>
    </row>
    <row r="1421" spans="1:10" hidden="1" x14ac:dyDescent="0.35">
      <c r="A1421" t="str">
        <f t="shared" si="22"/>
        <v>Itaipé20192.2</v>
      </c>
      <c r="B1421">
        <v>3132305</v>
      </c>
      <c r="C1421" t="s">
        <v>49</v>
      </c>
      <c r="D1421">
        <v>2019</v>
      </c>
      <c r="E1421">
        <v>6</v>
      </c>
      <c r="F1421">
        <v>29</v>
      </c>
      <c r="G1421" t="s">
        <v>20</v>
      </c>
      <c r="H1421" t="s">
        <v>18</v>
      </c>
      <c r="I1421" s="1" t="s">
        <v>21</v>
      </c>
      <c r="J1421">
        <v>0.86729999999999996</v>
      </c>
    </row>
    <row r="1422" spans="1:10" hidden="1" x14ac:dyDescent="0.35">
      <c r="A1422" t="str">
        <f t="shared" si="22"/>
        <v>Itaipé20192.4</v>
      </c>
      <c r="B1422">
        <v>3132305</v>
      </c>
      <c r="C1422" t="s">
        <v>49</v>
      </c>
      <c r="D1422">
        <v>2019</v>
      </c>
      <c r="E1422">
        <v>6</v>
      </c>
      <c r="F1422">
        <v>31</v>
      </c>
      <c r="G1422" t="s">
        <v>22</v>
      </c>
      <c r="H1422" t="s">
        <v>18</v>
      </c>
      <c r="I1422" s="1" t="s">
        <v>23</v>
      </c>
      <c r="J1422">
        <v>8.1299999999999997E-2</v>
      </c>
    </row>
    <row r="1423" spans="1:10" hidden="1" x14ac:dyDescent="0.35">
      <c r="A1423" t="str">
        <f t="shared" si="22"/>
        <v>Itaipé20192.5</v>
      </c>
      <c r="B1423">
        <v>3132305</v>
      </c>
      <c r="C1423" t="s">
        <v>49</v>
      </c>
      <c r="D1423">
        <v>2019</v>
      </c>
      <c r="E1423">
        <v>6</v>
      </c>
      <c r="F1423">
        <v>32</v>
      </c>
      <c r="G1423" t="s">
        <v>24</v>
      </c>
      <c r="H1423" t="s">
        <v>18</v>
      </c>
      <c r="I1423" s="1" t="s">
        <v>25</v>
      </c>
      <c r="J1423">
        <v>0.83240000000000003</v>
      </c>
    </row>
    <row r="1424" spans="1:10" hidden="1" x14ac:dyDescent="0.35">
      <c r="A1424" t="str">
        <f t="shared" si="22"/>
        <v>Itaipé20192.8</v>
      </c>
      <c r="B1424">
        <v>3132305</v>
      </c>
      <c r="C1424" t="s">
        <v>49</v>
      </c>
      <c r="D1424">
        <v>2019</v>
      </c>
      <c r="E1424">
        <v>6</v>
      </c>
      <c r="F1424">
        <v>35</v>
      </c>
      <c r="G1424" t="s">
        <v>26</v>
      </c>
      <c r="H1424" t="s">
        <v>18</v>
      </c>
      <c r="I1424" s="1" t="s">
        <v>27</v>
      </c>
      <c r="J1424">
        <v>0.39660000000000001</v>
      </c>
    </row>
    <row r="1425" spans="1:10" hidden="1" x14ac:dyDescent="0.35">
      <c r="A1425" t="str">
        <f t="shared" si="22"/>
        <v>Itaipé20194.1</v>
      </c>
      <c r="B1425">
        <v>3132305</v>
      </c>
      <c r="C1425" t="s">
        <v>49</v>
      </c>
      <c r="D1425">
        <v>2019</v>
      </c>
      <c r="E1425">
        <v>6</v>
      </c>
      <c r="F1425">
        <v>44</v>
      </c>
      <c r="G1425" t="s">
        <v>28</v>
      </c>
      <c r="H1425" t="s">
        <v>29</v>
      </c>
      <c r="I1425" s="1" t="s">
        <v>30</v>
      </c>
      <c r="J1425">
        <v>1931.82</v>
      </c>
    </row>
    <row r="1426" spans="1:10" hidden="1" x14ac:dyDescent="0.35">
      <c r="A1426" t="str">
        <f t="shared" si="22"/>
        <v>Itaipé20194.10</v>
      </c>
      <c r="B1426">
        <v>3132305</v>
      </c>
      <c r="C1426" t="s">
        <v>49</v>
      </c>
      <c r="D1426">
        <v>2019</v>
      </c>
      <c r="E1426">
        <v>6</v>
      </c>
      <c r="F1426">
        <v>58</v>
      </c>
      <c r="G1426" t="s">
        <v>31</v>
      </c>
      <c r="H1426" t="s">
        <v>29</v>
      </c>
      <c r="I1426" s="1" t="s">
        <v>32</v>
      </c>
      <c r="J1426">
        <v>4415.54</v>
      </c>
    </row>
    <row r="1427" spans="1:10" hidden="1" x14ac:dyDescent="0.35">
      <c r="A1427" t="str">
        <f t="shared" si="22"/>
        <v>Itaipé20194.11</v>
      </c>
      <c r="B1427">
        <v>3132305</v>
      </c>
      <c r="C1427" t="s">
        <v>49</v>
      </c>
      <c r="D1427">
        <v>2019</v>
      </c>
      <c r="E1427">
        <v>6</v>
      </c>
      <c r="F1427">
        <v>59</v>
      </c>
      <c r="G1427" t="s">
        <v>33</v>
      </c>
      <c r="H1427" t="s">
        <v>29</v>
      </c>
      <c r="I1427" s="1" t="s">
        <v>34</v>
      </c>
      <c r="J1427">
        <v>1366.09</v>
      </c>
    </row>
    <row r="1428" spans="1:10" hidden="1" x14ac:dyDescent="0.35">
      <c r="A1428" t="str">
        <f t="shared" si="22"/>
        <v>Itaipé20194.2</v>
      </c>
      <c r="B1428">
        <v>3132305</v>
      </c>
      <c r="C1428" t="s">
        <v>49</v>
      </c>
      <c r="D1428">
        <v>2019</v>
      </c>
      <c r="E1428">
        <v>6</v>
      </c>
      <c r="F1428">
        <v>45</v>
      </c>
      <c r="G1428" t="s">
        <v>35</v>
      </c>
      <c r="H1428" t="s">
        <v>29</v>
      </c>
      <c r="I1428" s="1" t="s">
        <v>36</v>
      </c>
      <c r="J1428">
        <v>7702.76</v>
      </c>
    </row>
    <row r="1429" spans="1:10" hidden="1" x14ac:dyDescent="0.35">
      <c r="A1429" t="str">
        <f t="shared" si="22"/>
        <v>Itaipé20194.8</v>
      </c>
      <c r="B1429">
        <v>3132305</v>
      </c>
      <c r="C1429" t="s">
        <v>49</v>
      </c>
      <c r="D1429">
        <v>2019</v>
      </c>
      <c r="E1429">
        <v>6</v>
      </c>
      <c r="F1429">
        <v>56</v>
      </c>
      <c r="G1429" t="s">
        <v>37</v>
      </c>
      <c r="H1429" t="s">
        <v>29</v>
      </c>
      <c r="I1429" s="1" t="s">
        <v>38</v>
      </c>
      <c r="J1429">
        <v>5781.63</v>
      </c>
    </row>
    <row r="1430" spans="1:10" hidden="1" x14ac:dyDescent="0.35">
      <c r="A1430" t="str">
        <f t="shared" si="22"/>
        <v>Itaipé20194.9</v>
      </c>
      <c r="B1430">
        <v>3132305</v>
      </c>
      <c r="C1430" t="s">
        <v>49</v>
      </c>
      <c r="D1430">
        <v>2019</v>
      </c>
      <c r="E1430">
        <v>6</v>
      </c>
      <c r="F1430">
        <v>57</v>
      </c>
      <c r="G1430" t="s">
        <v>39</v>
      </c>
      <c r="H1430" t="s">
        <v>29</v>
      </c>
      <c r="I1430" s="1" t="s">
        <v>40</v>
      </c>
      <c r="J1430">
        <v>5781.63</v>
      </c>
    </row>
    <row r="1431" spans="1:10" hidden="1" x14ac:dyDescent="0.35">
      <c r="A1431" t="str">
        <f t="shared" si="22"/>
        <v>Ladainha20191.1</v>
      </c>
      <c r="B1431">
        <v>3137007</v>
      </c>
      <c r="C1431" t="s">
        <v>50</v>
      </c>
      <c r="D1431">
        <v>2019</v>
      </c>
      <c r="E1431">
        <v>6</v>
      </c>
      <c r="F1431">
        <v>24</v>
      </c>
      <c r="G1431" t="s">
        <v>10</v>
      </c>
      <c r="H1431" t="s">
        <v>11</v>
      </c>
      <c r="I1431" s="1" t="s">
        <v>12</v>
      </c>
      <c r="J1431">
        <v>0.30449999999999999</v>
      </c>
    </row>
    <row r="1432" spans="1:10" hidden="1" x14ac:dyDescent="0.35">
      <c r="A1432" t="str">
        <f t="shared" si="22"/>
        <v>Ladainha20191.2</v>
      </c>
      <c r="B1432">
        <v>3137007</v>
      </c>
      <c r="C1432" t="s">
        <v>50</v>
      </c>
      <c r="D1432">
        <v>2019</v>
      </c>
      <c r="E1432">
        <v>6</v>
      </c>
      <c r="F1432">
        <v>67</v>
      </c>
      <c r="G1432" t="s">
        <v>13</v>
      </c>
      <c r="H1432" t="s">
        <v>11</v>
      </c>
      <c r="I1432" s="1" t="s">
        <v>14</v>
      </c>
      <c r="J1432">
        <v>0.84199999999999997</v>
      </c>
    </row>
    <row r="1433" spans="1:10" hidden="1" x14ac:dyDescent="0.35">
      <c r="A1433" t="str">
        <f t="shared" si="22"/>
        <v>Ladainha20191.3</v>
      </c>
      <c r="B1433">
        <v>3137007</v>
      </c>
      <c r="C1433" t="s">
        <v>50</v>
      </c>
      <c r="D1433">
        <v>2019</v>
      </c>
      <c r="E1433">
        <v>6</v>
      </c>
      <c r="F1433">
        <v>68</v>
      </c>
      <c r="G1433" t="s">
        <v>15</v>
      </c>
      <c r="H1433" t="s">
        <v>11</v>
      </c>
      <c r="I1433" s="1" t="s">
        <v>16</v>
      </c>
      <c r="J1433">
        <v>0.1404</v>
      </c>
    </row>
    <row r="1434" spans="1:10" hidden="1" x14ac:dyDescent="0.35">
      <c r="A1434" t="str">
        <f t="shared" si="22"/>
        <v>Ladainha20192.1</v>
      </c>
      <c r="B1434">
        <v>3137007</v>
      </c>
      <c r="C1434" t="s">
        <v>50</v>
      </c>
      <c r="D1434">
        <v>2019</v>
      </c>
      <c r="E1434">
        <v>6</v>
      </c>
      <c r="F1434">
        <v>28</v>
      </c>
      <c r="G1434" t="s">
        <v>17</v>
      </c>
      <c r="H1434" t="s">
        <v>18</v>
      </c>
      <c r="I1434" s="1" t="s">
        <v>19</v>
      </c>
    </row>
    <row r="1435" spans="1:10" hidden="1" x14ac:dyDescent="0.35">
      <c r="A1435" t="str">
        <f t="shared" si="22"/>
        <v>Ladainha20192.2</v>
      </c>
      <c r="B1435">
        <v>3137007</v>
      </c>
      <c r="C1435" t="s">
        <v>50</v>
      </c>
      <c r="D1435">
        <v>2019</v>
      </c>
      <c r="E1435">
        <v>6</v>
      </c>
      <c r="F1435">
        <v>29</v>
      </c>
      <c r="G1435" t="s">
        <v>20</v>
      </c>
      <c r="H1435" t="s">
        <v>18</v>
      </c>
      <c r="I1435" s="1" t="s">
        <v>21</v>
      </c>
      <c r="J1435">
        <v>0.81720000000000004</v>
      </c>
    </row>
    <row r="1436" spans="1:10" hidden="1" x14ac:dyDescent="0.35">
      <c r="A1436" t="str">
        <f t="shared" si="22"/>
        <v>Ladainha20192.4</v>
      </c>
      <c r="B1436">
        <v>3137007</v>
      </c>
      <c r="C1436" t="s">
        <v>50</v>
      </c>
      <c r="D1436">
        <v>2019</v>
      </c>
      <c r="E1436">
        <v>6</v>
      </c>
      <c r="F1436">
        <v>31</v>
      </c>
      <c r="G1436" t="s">
        <v>22</v>
      </c>
      <c r="H1436" t="s">
        <v>18</v>
      </c>
      <c r="I1436" s="1" t="s">
        <v>23</v>
      </c>
      <c r="J1436">
        <v>0.14929999999999999</v>
      </c>
    </row>
    <row r="1437" spans="1:10" hidden="1" x14ac:dyDescent="0.35">
      <c r="A1437" t="str">
        <f t="shared" si="22"/>
        <v>Ladainha20192.5</v>
      </c>
      <c r="B1437">
        <v>3137007</v>
      </c>
      <c r="C1437" t="s">
        <v>50</v>
      </c>
      <c r="D1437">
        <v>2019</v>
      </c>
      <c r="E1437">
        <v>6</v>
      </c>
      <c r="F1437">
        <v>32</v>
      </c>
      <c r="G1437" t="s">
        <v>24</v>
      </c>
      <c r="H1437" t="s">
        <v>18</v>
      </c>
      <c r="I1437" s="1" t="s">
        <v>25</v>
      </c>
      <c r="J1437">
        <v>0.50729999999999997</v>
      </c>
    </row>
    <row r="1438" spans="1:10" hidden="1" x14ac:dyDescent="0.35">
      <c r="A1438" t="str">
        <f t="shared" si="22"/>
        <v>Ladainha20192.8</v>
      </c>
      <c r="B1438">
        <v>3137007</v>
      </c>
      <c r="C1438" t="s">
        <v>50</v>
      </c>
      <c r="D1438">
        <v>2019</v>
      </c>
      <c r="E1438">
        <v>6</v>
      </c>
      <c r="F1438">
        <v>35</v>
      </c>
      <c r="G1438" t="s">
        <v>26</v>
      </c>
      <c r="H1438" t="s">
        <v>18</v>
      </c>
      <c r="I1438" s="1" t="s">
        <v>27</v>
      </c>
      <c r="J1438">
        <v>0.36609999999999998</v>
      </c>
    </row>
    <row r="1439" spans="1:10" hidden="1" x14ac:dyDescent="0.35">
      <c r="A1439" t="str">
        <f t="shared" si="22"/>
        <v>Ladainha20194.1</v>
      </c>
      <c r="B1439">
        <v>3137007</v>
      </c>
      <c r="C1439" t="s">
        <v>50</v>
      </c>
      <c r="D1439">
        <v>2019</v>
      </c>
      <c r="E1439">
        <v>6</v>
      </c>
      <c r="F1439">
        <v>44</v>
      </c>
      <c r="G1439" t="s">
        <v>28</v>
      </c>
      <c r="H1439" t="s">
        <v>29</v>
      </c>
      <c r="I1439" s="1" t="s">
        <v>30</v>
      </c>
      <c r="J1439">
        <v>4341.24</v>
      </c>
    </row>
    <row r="1440" spans="1:10" hidden="1" x14ac:dyDescent="0.35">
      <c r="A1440" t="str">
        <f t="shared" si="22"/>
        <v>Ladainha20194.10</v>
      </c>
      <c r="B1440">
        <v>3137007</v>
      </c>
      <c r="C1440" t="s">
        <v>50</v>
      </c>
      <c r="D1440">
        <v>2019</v>
      </c>
      <c r="E1440">
        <v>6</v>
      </c>
      <c r="F1440">
        <v>58</v>
      </c>
      <c r="G1440" t="s">
        <v>31</v>
      </c>
      <c r="H1440" t="s">
        <v>29</v>
      </c>
      <c r="I1440" s="1" t="s">
        <v>32</v>
      </c>
      <c r="J1440">
        <v>5558.84</v>
      </c>
    </row>
    <row r="1441" spans="1:10" hidden="1" x14ac:dyDescent="0.35">
      <c r="A1441" t="str">
        <f t="shared" si="22"/>
        <v>Ladainha20194.11</v>
      </c>
      <c r="B1441">
        <v>3137007</v>
      </c>
      <c r="C1441" t="s">
        <v>50</v>
      </c>
      <c r="D1441">
        <v>2019</v>
      </c>
      <c r="E1441">
        <v>6</v>
      </c>
      <c r="F1441">
        <v>59</v>
      </c>
      <c r="G1441" t="s">
        <v>33</v>
      </c>
      <c r="H1441" t="s">
        <v>29</v>
      </c>
      <c r="I1441" s="1" t="s">
        <v>34</v>
      </c>
      <c r="J1441">
        <v>713.5</v>
      </c>
    </row>
    <row r="1442" spans="1:10" hidden="1" x14ac:dyDescent="0.35">
      <c r="A1442" t="str">
        <f t="shared" si="22"/>
        <v>Ladainha20194.2</v>
      </c>
      <c r="B1442">
        <v>3137007</v>
      </c>
      <c r="C1442" t="s">
        <v>50</v>
      </c>
      <c r="D1442">
        <v>2019</v>
      </c>
      <c r="E1442">
        <v>6</v>
      </c>
      <c r="F1442">
        <v>45</v>
      </c>
      <c r="G1442" t="s">
        <v>35</v>
      </c>
      <c r="H1442" t="s">
        <v>29</v>
      </c>
      <c r="I1442" s="1" t="s">
        <v>36</v>
      </c>
      <c r="J1442">
        <v>7669.29</v>
      </c>
    </row>
    <row r="1443" spans="1:10" hidden="1" x14ac:dyDescent="0.35">
      <c r="A1443" t="str">
        <f t="shared" si="22"/>
        <v>Ladainha20194.8</v>
      </c>
      <c r="B1443">
        <v>3137007</v>
      </c>
      <c r="C1443" t="s">
        <v>50</v>
      </c>
      <c r="D1443">
        <v>2019</v>
      </c>
      <c r="E1443">
        <v>6</v>
      </c>
      <c r="F1443">
        <v>56</v>
      </c>
      <c r="G1443" t="s">
        <v>37</v>
      </c>
      <c r="H1443" t="s">
        <v>29</v>
      </c>
      <c r="I1443" s="1" t="s">
        <v>38</v>
      </c>
      <c r="J1443">
        <v>6526.16</v>
      </c>
    </row>
    <row r="1444" spans="1:10" hidden="1" x14ac:dyDescent="0.35">
      <c r="A1444" t="str">
        <f t="shared" si="22"/>
        <v>Ladainha20194.9</v>
      </c>
      <c r="B1444">
        <v>3137007</v>
      </c>
      <c r="C1444" t="s">
        <v>50</v>
      </c>
      <c r="D1444">
        <v>2019</v>
      </c>
      <c r="E1444">
        <v>6</v>
      </c>
      <c r="F1444">
        <v>57</v>
      </c>
      <c r="G1444" t="s">
        <v>39</v>
      </c>
      <c r="H1444" t="s">
        <v>29</v>
      </c>
      <c r="I1444" s="1" t="s">
        <v>40</v>
      </c>
      <c r="J1444">
        <v>6526.16</v>
      </c>
    </row>
    <row r="1445" spans="1:10" hidden="1" x14ac:dyDescent="0.35">
      <c r="A1445" t="str">
        <f t="shared" si="22"/>
        <v>Machacalis20191.1</v>
      </c>
      <c r="B1445">
        <v>3138906</v>
      </c>
      <c r="C1445" t="s">
        <v>51</v>
      </c>
      <c r="D1445">
        <v>2019</v>
      </c>
      <c r="E1445">
        <v>6</v>
      </c>
      <c r="F1445">
        <v>24</v>
      </c>
      <c r="G1445" t="s">
        <v>10</v>
      </c>
      <c r="H1445" t="s">
        <v>11</v>
      </c>
      <c r="I1445" s="1" t="s">
        <v>12</v>
      </c>
      <c r="J1445">
        <v>0.25940000000000002</v>
      </c>
    </row>
    <row r="1446" spans="1:10" hidden="1" x14ac:dyDescent="0.35">
      <c r="A1446" t="str">
        <f t="shared" si="22"/>
        <v>Machacalis20191.2</v>
      </c>
      <c r="B1446">
        <v>3138906</v>
      </c>
      <c r="C1446" t="s">
        <v>51</v>
      </c>
      <c r="D1446">
        <v>2019</v>
      </c>
      <c r="E1446">
        <v>6</v>
      </c>
      <c r="F1446">
        <v>67</v>
      </c>
      <c r="G1446" t="s">
        <v>13</v>
      </c>
      <c r="H1446" t="s">
        <v>11</v>
      </c>
      <c r="I1446" s="1" t="s">
        <v>14</v>
      </c>
      <c r="J1446">
        <v>0.67220000000000002</v>
      </c>
    </row>
    <row r="1447" spans="1:10" hidden="1" x14ac:dyDescent="0.35">
      <c r="A1447" t="str">
        <f t="shared" si="22"/>
        <v>Machacalis20191.3</v>
      </c>
      <c r="B1447">
        <v>3138906</v>
      </c>
      <c r="C1447" t="s">
        <v>51</v>
      </c>
      <c r="D1447">
        <v>2019</v>
      </c>
      <c r="E1447">
        <v>6</v>
      </c>
      <c r="F1447">
        <v>68</v>
      </c>
      <c r="G1447" t="s">
        <v>15</v>
      </c>
      <c r="H1447" t="s">
        <v>11</v>
      </c>
      <c r="I1447" s="1" t="s">
        <v>16</v>
      </c>
      <c r="J1447">
        <v>0.32779999999999998</v>
      </c>
    </row>
    <row r="1448" spans="1:10" hidden="1" x14ac:dyDescent="0.35">
      <c r="A1448" t="str">
        <f t="shared" si="22"/>
        <v>Machacalis20192.1</v>
      </c>
      <c r="B1448">
        <v>3138906</v>
      </c>
      <c r="C1448" t="s">
        <v>51</v>
      </c>
      <c r="D1448">
        <v>2019</v>
      </c>
      <c r="E1448">
        <v>6</v>
      </c>
      <c r="F1448">
        <v>28</v>
      </c>
      <c r="G1448" t="s">
        <v>17</v>
      </c>
      <c r="H1448" t="s">
        <v>18</v>
      </c>
      <c r="I1448" s="1" t="s">
        <v>19</v>
      </c>
    </row>
    <row r="1449" spans="1:10" hidden="1" x14ac:dyDescent="0.35">
      <c r="A1449" t="str">
        <f t="shared" si="22"/>
        <v>Machacalis20192.2</v>
      </c>
      <c r="B1449">
        <v>3138906</v>
      </c>
      <c r="C1449" t="s">
        <v>51</v>
      </c>
      <c r="D1449">
        <v>2019</v>
      </c>
      <c r="E1449">
        <v>6</v>
      </c>
      <c r="F1449">
        <v>29</v>
      </c>
      <c r="G1449" t="s">
        <v>20</v>
      </c>
      <c r="H1449" t="s">
        <v>18</v>
      </c>
      <c r="I1449" s="1" t="s">
        <v>21</v>
      </c>
      <c r="J1449">
        <v>0.78259999999999996</v>
      </c>
    </row>
    <row r="1450" spans="1:10" hidden="1" x14ac:dyDescent="0.35">
      <c r="A1450" t="str">
        <f t="shared" si="22"/>
        <v>Machacalis20192.4</v>
      </c>
      <c r="B1450">
        <v>3138906</v>
      </c>
      <c r="C1450" t="s">
        <v>51</v>
      </c>
      <c r="D1450">
        <v>2019</v>
      </c>
      <c r="E1450">
        <v>6</v>
      </c>
      <c r="F1450">
        <v>31</v>
      </c>
      <c r="G1450" t="s">
        <v>22</v>
      </c>
      <c r="H1450" t="s">
        <v>18</v>
      </c>
      <c r="I1450" s="1" t="s">
        <v>23</v>
      </c>
      <c r="J1450">
        <v>0.1144</v>
      </c>
    </row>
    <row r="1451" spans="1:10" hidden="1" x14ac:dyDescent="0.35">
      <c r="A1451" t="str">
        <f t="shared" si="22"/>
        <v>Machacalis20192.5</v>
      </c>
      <c r="B1451">
        <v>3138906</v>
      </c>
      <c r="C1451" t="s">
        <v>51</v>
      </c>
      <c r="D1451">
        <v>2019</v>
      </c>
      <c r="E1451">
        <v>6</v>
      </c>
      <c r="F1451">
        <v>32</v>
      </c>
      <c r="G1451" t="s">
        <v>24</v>
      </c>
      <c r="H1451" t="s">
        <v>18</v>
      </c>
      <c r="I1451" s="1" t="s">
        <v>25</v>
      </c>
      <c r="J1451">
        <v>0.79159999999999997</v>
      </c>
    </row>
    <row r="1452" spans="1:10" hidden="1" x14ac:dyDescent="0.35">
      <c r="A1452" t="str">
        <f t="shared" si="22"/>
        <v>Machacalis20192.8</v>
      </c>
      <c r="B1452">
        <v>3138906</v>
      </c>
      <c r="C1452" t="s">
        <v>51</v>
      </c>
      <c r="D1452">
        <v>2019</v>
      </c>
      <c r="E1452">
        <v>6</v>
      </c>
      <c r="F1452">
        <v>35</v>
      </c>
      <c r="G1452" t="s">
        <v>26</v>
      </c>
      <c r="H1452" t="s">
        <v>18</v>
      </c>
      <c r="I1452" s="1" t="s">
        <v>27</v>
      </c>
      <c r="J1452">
        <v>0.29310000000000003</v>
      </c>
    </row>
    <row r="1453" spans="1:10" hidden="1" x14ac:dyDescent="0.35">
      <c r="A1453" t="str">
        <f t="shared" si="22"/>
        <v>Machacalis20194.1</v>
      </c>
      <c r="B1453">
        <v>3138906</v>
      </c>
      <c r="C1453" t="s">
        <v>51</v>
      </c>
      <c r="D1453">
        <v>2019</v>
      </c>
      <c r="E1453">
        <v>6</v>
      </c>
      <c r="F1453">
        <v>44</v>
      </c>
      <c r="G1453" t="s">
        <v>28</v>
      </c>
      <c r="H1453" t="s">
        <v>29</v>
      </c>
      <c r="I1453" s="1" t="s">
        <v>30</v>
      </c>
      <c r="J1453">
        <v>2052.2399999999998</v>
      </c>
    </row>
    <row r="1454" spans="1:10" hidden="1" x14ac:dyDescent="0.35">
      <c r="A1454" t="str">
        <f t="shared" si="22"/>
        <v>Machacalis20194.10</v>
      </c>
      <c r="B1454">
        <v>3138906</v>
      </c>
      <c r="C1454" t="s">
        <v>51</v>
      </c>
      <c r="D1454">
        <v>2019</v>
      </c>
      <c r="E1454">
        <v>6</v>
      </c>
      <c r="F1454">
        <v>58</v>
      </c>
      <c r="G1454" t="s">
        <v>31</v>
      </c>
      <c r="H1454" t="s">
        <v>29</v>
      </c>
      <c r="I1454" s="1" t="s">
        <v>32</v>
      </c>
      <c r="J1454">
        <v>3817.01</v>
      </c>
    </row>
    <row r="1455" spans="1:10" hidden="1" x14ac:dyDescent="0.35">
      <c r="A1455" t="str">
        <f t="shared" si="22"/>
        <v>Machacalis20194.11</v>
      </c>
      <c r="B1455">
        <v>3138906</v>
      </c>
      <c r="C1455" t="s">
        <v>51</v>
      </c>
      <c r="D1455">
        <v>2019</v>
      </c>
      <c r="E1455">
        <v>6</v>
      </c>
      <c r="F1455">
        <v>59</v>
      </c>
      <c r="G1455" t="s">
        <v>33</v>
      </c>
      <c r="H1455" t="s">
        <v>29</v>
      </c>
      <c r="I1455" s="1" t="s">
        <v>34</v>
      </c>
      <c r="J1455">
        <v>2313.58</v>
      </c>
    </row>
    <row r="1456" spans="1:10" hidden="1" x14ac:dyDescent="0.35">
      <c r="A1456" t="str">
        <f t="shared" si="22"/>
        <v>Machacalis20194.2</v>
      </c>
      <c r="B1456">
        <v>3138906</v>
      </c>
      <c r="C1456" t="s">
        <v>51</v>
      </c>
      <c r="D1456">
        <v>2019</v>
      </c>
      <c r="E1456">
        <v>6</v>
      </c>
      <c r="F1456">
        <v>45</v>
      </c>
      <c r="G1456" t="s">
        <v>35</v>
      </c>
      <c r="H1456" t="s">
        <v>29</v>
      </c>
      <c r="I1456" s="1" t="s">
        <v>36</v>
      </c>
      <c r="J1456">
        <v>9718.83</v>
      </c>
    </row>
    <row r="1457" spans="1:10" hidden="1" x14ac:dyDescent="0.35">
      <c r="A1457" t="str">
        <f t="shared" si="22"/>
        <v>Machacalis20194.8</v>
      </c>
      <c r="B1457">
        <v>3138906</v>
      </c>
      <c r="C1457" t="s">
        <v>51</v>
      </c>
      <c r="D1457">
        <v>2019</v>
      </c>
      <c r="E1457">
        <v>6</v>
      </c>
      <c r="F1457">
        <v>56</v>
      </c>
      <c r="G1457" t="s">
        <v>37</v>
      </c>
      <c r="H1457" t="s">
        <v>29</v>
      </c>
      <c r="I1457" s="1" t="s">
        <v>38</v>
      </c>
      <c r="J1457">
        <v>6580.34</v>
      </c>
    </row>
    <row r="1458" spans="1:10" hidden="1" x14ac:dyDescent="0.35">
      <c r="A1458" t="str">
        <f t="shared" si="22"/>
        <v>Machacalis20194.9</v>
      </c>
      <c r="B1458">
        <v>3138906</v>
      </c>
      <c r="C1458" t="s">
        <v>51</v>
      </c>
      <c r="D1458">
        <v>2019</v>
      </c>
      <c r="E1458">
        <v>6</v>
      </c>
      <c r="F1458">
        <v>57</v>
      </c>
      <c r="G1458" t="s">
        <v>39</v>
      </c>
      <c r="H1458" t="s">
        <v>29</v>
      </c>
      <c r="I1458" s="1" t="s">
        <v>40</v>
      </c>
      <c r="J1458">
        <v>6580.34</v>
      </c>
    </row>
    <row r="1459" spans="1:10" hidden="1" x14ac:dyDescent="0.35">
      <c r="A1459" t="str">
        <f t="shared" si="22"/>
        <v>Malacacheta20191.1</v>
      </c>
      <c r="B1459">
        <v>3139201</v>
      </c>
      <c r="C1459" t="s">
        <v>52</v>
      </c>
      <c r="D1459">
        <v>2019</v>
      </c>
      <c r="E1459">
        <v>6</v>
      </c>
      <c r="F1459">
        <v>24</v>
      </c>
      <c r="G1459" t="s">
        <v>10</v>
      </c>
      <c r="H1459" t="s">
        <v>11</v>
      </c>
      <c r="I1459" s="1" t="s">
        <v>12</v>
      </c>
      <c r="J1459">
        <v>0.254</v>
      </c>
    </row>
    <row r="1460" spans="1:10" hidden="1" x14ac:dyDescent="0.35">
      <c r="A1460" t="str">
        <f t="shared" si="22"/>
        <v>Malacacheta20191.2</v>
      </c>
      <c r="B1460">
        <v>3139201</v>
      </c>
      <c r="C1460" t="s">
        <v>52</v>
      </c>
      <c r="D1460">
        <v>2019</v>
      </c>
      <c r="E1460">
        <v>6</v>
      </c>
      <c r="F1460">
        <v>67</v>
      </c>
      <c r="G1460" t="s">
        <v>13</v>
      </c>
      <c r="H1460" t="s">
        <v>11</v>
      </c>
      <c r="I1460" s="1" t="s">
        <v>14</v>
      </c>
      <c r="J1460">
        <v>0.75760000000000005</v>
      </c>
    </row>
    <row r="1461" spans="1:10" hidden="1" x14ac:dyDescent="0.35">
      <c r="A1461" t="str">
        <f t="shared" si="22"/>
        <v>Malacacheta20191.3</v>
      </c>
      <c r="B1461">
        <v>3139201</v>
      </c>
      <c r="C1461" t="s">
        <v>52</v>
      </c>
      <c r="D1461">
        <v>2019</v>
      </c>
      <c r="E1461">
        <v>6</v>
      </c>
      <c r="F1461">
        <v>68</v>
      </c>
      <c r="G1461" t="s">
        <v>15</v>
      </c>
      <c r="H1461" t="s">
        <v>11</v>
      </c>
      <c r="I1461" s="1" t="s">
        <v>16</v>
      </c>
      <c r="J1461">
        <v>0.22500000000000001</v>
      </c>
    </row>
    <row r="1462" spans="1:10" hidden="1" x14ac:dyDescent="0.35">
      <c r="A1462" t="str">
        <f t="shared" si="22"/>
        <v>Malacacheta20192.1</v>
      </c>
      <c r="B1462">
        <v>3139201</v>
      </c>
      <c r="C1462" t="s">
        <v>52</v>
      </c>
      <c r="D1462">
        <v>2019</v>
      </c>
      <c r="E1462">
        <v>6</v>
      </c>
      <c r="F1462">
        <v>28</v>
      </c>
      <c r="G1462" t="s">
        <v>17</v>
      </c>
      <c r="H1462" t="s">
        <v>18</v>
      </c>
      <c r="I1462" s="1" t="s">
        <v>19</v>
      </c>
    </row>
    <row r="1463" spans="1:10" hidden="1" x14ac:dyDescent="0.35">
      <c r="A1463" t="str">
        <f t="shared" si="22"/>
        <v>Malacacheta20192.2</v>
      </c>
      <c r="B1463">
        <v>3139201</v>
      </c>
      <c r="C1463" t="s">
        <v>52</v>
      </c>
      <c r="D1463">
        <v>2019</v>
      </c>
      <c r="E1463">
        <v>6</v>
      </c>
      <c r="F1463">
        <v>29</v>
      </c>
      <c r="G1463" t="s">
        <v>20</v>
      </c>
      <c r="H1463" t="s">
        <v>18</v>
      </c>
      <c r="I1463" s="1" t="s">
        <v>21</v>
      </c>
      <c r="J1463">
        <v>0.49509999999999998</v>
      </c>
    </row>
    <row r="1464" spans="1:10" hidden="1" x14ac:dyDescent="0.35">
      <c r="A1464" t="str">
        <f t="shared" si="22"/>
        <v>Malacacheta20192.4</v>
      </c>
      <c r="B1464">
        <v>3139201</v>
      </c>
      <c r="C1464" t="s">
        <v>52</v>
      </c>
      <c r="D1464">
        <v>2019</v>
      </c>
      <c r="E1464">
        <v>6</v>
      </c>
      <c r="F1464">
        <v>31</v>
      </c>
      <c r="G1464" t="s">
        <v>22</v>
      </c>
      <c r="H1464" t="s">
        <v>18</v>
      </c>
      <c r="I1464" s="1" t="s">
        <v>23</v>
      </c>
      <c r="J1464">
        <v>0.28010000000000002</v>
      </c>
    </row>
    <row r="1465" spans="1:10" hidden="1" x14ac:dyDescent="0.35">
      <c r="A1465" t="str">
        <f t="shared" si="22"/>
        <v>Malacacheta20192.5</v>
      </c>
      <c r="B1465">
        <v>3139201</v>
      </c>
      <c r="C1465" t="s">
        <v>52</v>
      </c>
      <c r="D1465">
        <v>2019</v>
      </c>
      <c r="E1465">
        <v>6</v>
      </c>
      <c r="F1465">
        <v>32</v>
      </c>
      <c r="G1465" t="s">
        <v>24</v>
      </c>
      <c r="H1465" t="s">
        <v>18</v>
      </c>
      <c r="I1465" s="1" t="s">
        <v>25</v>
      </c>
      <c r="J1465">
        <v>0.4582</v>
      </c>
    </row>
    <row r="1466" spans="1:10" hidden="1" x14ac:dyDescent="0.35">
      <c r="A1466" t="str">
        <f t="shared" si="22"/>
        <v>Malacacheta20192.8</v>
      </c>
      <c r="B1466">
        <v>3139201</v>
      </c>
      <c r="C1466" t="s">
        <v>52</v>
      </c>
      <c r="D1466">
        <v>2019</v>
      </c>
      <c r="E1466">
        <v>6</v>
      </c>
      <c r="F1466">
        <v>35</v>
      </c>
      <c r="G1466" t="s">
        <v>26</v>
      </c>
      <c r="H1466" t="s">
        <v>18</v>
      </c>
      <c r="I1466" s="1" t="s">
        <v>27</v>
      </c>
      <c r="J1466">
        <v>0.20899999999999999</v>
      </c>
    </row>
    <row r="1467" spans="1:10" hidden="1" x14ac:dyDescent="0.35">
      <c r="A1467" t="str">
        <f t="shared" si="22"/>
        <v>Malacacheta20194.1</v>
      </c>
      <c r="B1467">
        <v>3139201</v>
      </c>
      <c r="C1467" t="s">
        <v>52</v>
      </c>
      <c r="D1467">
        <v>2019</v>
      </c>
      <c r="E1467">
        <v>6</v>
      </c>
      <c r="F1467">
        <v>44</v>
      </c>
      <c r="G1467" t="s">
        <v>28</v>
      </c>
      <c r="H1467" t="s">
        <v>29</v>
      </c>
      <c r="I1467" s="1" t="s">
        <v>30</v>
      </c>
      <c r="J1467">
        <v>4053.78</v>
      </c>
    </row>
    <row r="1468" spans="1:10" hidden="1" x14ac:dyDescent="0.35">
      <c r="A1468" t="str">
        <f t="shared" si="22"/>
        <v>Malacacheta20194.10</v>
      </c>
      <c r="B1468">
        <v>3139201</v>
      </c>
      <c r="C1468" t="s">
        <v>52</v>
      </c>
      <c r="D1468">
        <v>2019</v>
      </c>
      <c r="E1468">
        <v>6</v>
      </c>
      <c r="F1468">
        <v>58</v>
      </c>
      <c r="G1468" t="s">
        <v>31</v>
      </c>
      <c r="H1468" t="s">
        <v>29</v>
      </c>
      <c r="I1468" s="1" t="s">
        <v>32</v>
      </c>
      <c r="J1468">
        <v>3735.15</v>
      </c>
    </row>
    <row r="1469" spans="1:10" hidden="1" x14ac:dyDescent="0.35">
      <c r="A1469" t="str">
        <f t="shared" si="22"/>
        <v>Malacacheta20194.11</v>
      </c>
      <c r="B1469">
        <v>3139201</v>
      </c>
      <c r="C1469" t="s">
        <v>52</v>
      </c>
      <c r="D1469">
        <v>2019</v>
      </c>
      <c r="E1469">
        <v>6</v>
      </c>
      <c r="F1469">
        <v>59</v>
      </c>
      <c r="G1469" t="s">
        <v>33</v>
      </c>
      <c r="H1469" t="s">
        <v>29</v>
      </c>
      <c r="I1469" s="1" t="s">
        <v>34</v>
      </c>
      <c r="J1469">
        <v>1103.3</v>
      </c>
    </row>
    <row r="1470" spans="1:10" hidden="1" x14ac:dyDescent="0.35">
      <c r="A1470" t="str">
        <f t="shared" si="22"/>
        <v>Malacacheta20194.2</v>
      </c>
      <c r="B1470">
        <v>3139201</v>
      </c>
      <c r="C1470" t="s">
        <v>52</v>
      </c>
      <c r="D1470">
        <v>2019</v>
      </c>
      <c r="E1470">
        <v>6</v>
      </c>
      <c r="F1470">
        <v>45</v>
      </c>
      <c r="G1470" t="s">
        <v>35</v>
      </c>
      <c r="H1470" t="s">
        <v>29</v>
      </c>
      <c r="I1470" s="1" t="s">
        <v>36</v>
      </c>
      <c r="J1470">
        <v>8444.99</v>
      </c>
    </row>
    <row r="1471" spans="1:10" hidden="1" x14ac:dyDescent="0.35">
      <c r="A1471" t="str">
        <f t="shared" si="22"/>
        <v>Malacacheta20194.8</v>
      </c>
      <c r="B1471">
        <v>3139201</v>
      </c>
      <c r="C1471" t="s">
        <v>52</v>
      </c>
      <c r="D1471">
        <v>2019</v>
      </c>
      <c r="E1471">
        <v>6</v>
      </c>
      <c r="F1471">
        <v>56</v>
      </c>
      <c r="G1471" t="s">
        <v>37</v>
      </c>
      <c r="H1471" t="s">
        <v>29</v>
      </c>
      <c r="I1471" s="1" t="s">
        <v>38</v>
      </c>
      <c r="J1471">
        <v>5758.01</v>
      </c>
    </row>
    <row r="1472" spans="1:10" hidden="1" x14ac:dyDescent="0.35">
      <c r="A1472" t="str">
        <f t="shared" si="22"/>
        <v>Malacacheta20194.9</v>
      </c>
      <c r="B1472">
        <v>3139201</v>
      </c>
      <c r="C1472" t="s">
        <v>52</v>
      </c>
      <c r="D1472">
        <v>2019</v>
      </c>
      <c r="E1472">
        <v>6</v>
      </c>
      <c r="F1472">
        <v>57</v>
      </c>
      <c r="G1472" t="s">
        <v>39</v>
      </c>
      <c r="H1472" t="s">
        <v>29</v>
      </c>
      <c r="I1472" s="1" t="s">
        <v>40</v>
      </c>
      <c r="J1472">
        <v>5758.01</v>
      </c>
    </row>
    <row r="1473" spans="1:10" hidden="1" x14ac:dyDescent="0.35">
      <c r="A1473" t="str">
        <f t="shared" si="22"/>
        <v>Nanuque20191.1</v>
      </c>
      <c r="B1473">
        <v>3144300</v>
      </c>
      <c r="C1473" t="s">
        <v>53</v>
      </c>
      <c r="D1473">
        <v>2019</v>
      </c>
      <c r="E1473">
        <v>6</v>
      </c>
      <c r="F1473">
        <v>24</v>
      </c>
      <c r="G1473" t="s">
        <v>10</v>
      </c>
      <c r="H1473" t="s">
        <v>11</v>
      </c>
      <c r="I1473" s="1" t="s">
        <v>12</v>
      </c>
      <c r="J1473">
        <v>0.29320000000000002</v>
      </c>
    </row>
    <row r="1474" spans="1:10" hidden="1" x14ac:dyDescent="0.35">
      <c r="A1474" t="str">
        <f t="shared" si="22"/>
        <v>Nanuque20191.2</v>
      </c>
      <c r="B1474">
        <v>3144300</v>
      </c>
      <c r="C1474" t="s">
        <v>53</v>
      </c>
      <c r="D1474">
        <v>2019</v>
      </c>
      <c r="E1474">
        <v>6</v>
      </c>
      <c r="F1474">
        <v>67</v>
      </c>
      <c r="G1474" t="s">
        <v>13</v>
      </c>
      <c r="H1474" t="s">
        <v>11</v>
      </c>
      <c r="I1474" s="1" t="s">
        <v>14</v>
      </c>
      <c r="J1474">
        <v>0.96409999999999996</v>
      </c>
    </row>
    <row r="1475" spans="1:10" hidden="1" x14ac:dyDescent="0.35">
      <c r="A1475" t="str">
        <f t="shared" si="22"/>
        <v>Nanuque20191.3</v>
      </c>
      <c r="B1475">
        <v>3144300</v>
      </c>
      <c r="C1475" t="s">
        <v>53</v>
      </c>
      <c r="D1475">
        <v>2019</v>
      </c>
      <c r="E1475">
        <v>6</v>
      </c>
      <c r="F1475">
        <v>68</v>
      </c>
      <c r="G1475" t="s">
        <v>15</v>
      </c>
      <c r="H1475" t="s">
        <v>11</v>
      </c>
      <c r="I1475" s="1" t="s">
        <v>16</v>
      </c>
      <c r="J1475">
        <v>3.5900000000000001E-2</v>
      </c>
    </row>
    <row r="1476" spans="1:10" hidden="1" x14ac:dyDescent="0.35">
      <c r="A1476" t="str">
        <f t="shared" ref="A1476:A1539" si="23">C1476&amp;D1476&amp;G1476</f>
        <v>Nanuque20192.1</v>
      </c>
      <c r="B1476">
        <v>3144300</v>
      </c>
      <c r="C1476" t="s">
        <v>53</v>
      </c>
      <c r="D1476">
        <v>2019</v>
      </c>
      <c r="E1476">
        <v>6</v>
      </c>
      <c r="F1476">
        <v>28</v>
      </c>
      <c r="G1476" t="s">
        <v>17</v>
      </c>
      <c r="H1476" t="s">
        <v>18</v>
      </c>
      <c r="I1476" s="1" t="s">
        <v>19</v>
      </c>
    </row>
    <row r="1477" spans="1:10" hidden="1" x14ac:dyDescent="0.35">
      <c r="A1477" t="str">
        <f t="shared" si="23"/>
        <v>Nanuque20192.2</v>
      </c>
      <c r="B1477">
        <v>3144300</v>
      </c>
      <c r="C1477" t="s">
        <v>53</v>
      </c>
      <c r="D1477">
        <v>2019</v>
      </c>
      <c r="E1477">
        <v>6</v>
      </c>
      <c r="F1477">
        <v>29</v>
      </c>
      <c r="G1477" t="s">
        <v>20</v>
      </c>
      <c r="H1477" t="s">
        <v>18</v>
      </c>
      <c r="I1477" s="1" t="s">
        <v>21</v>
      </c>
      <c r="J1477">
        <v>0.73340000000000005</v>
      </c>
    </row>
    <row r="1478" spans="1:10" hidden="1" x14ac:dyDescent="0.35">
      <c r="A1478" t="str">
        <f t="shared" si="23"/>
        <v>Nanuque20192.4</v>
      </c>
      <c r="B1478">
        <v>3144300</v>
      </c>
      <c r="C1478" t="s">
        <v>53</v>
      </c>
      <c r="D1478">
        <v>2019</v>
      </c>
      <c r="E1478">
        <v>6</v>
      </c>
      <c r="F1478">
        <v>31</v>
      </c>
      <c r="G1478" t="s">
        <v>22</v>
      </c>
      <c r="H1478" t="s">
        <v>18</v>
      </c>
      <c r="I1478" s="1" t="s">
        <v>23</v>
      </c>
      <c r="J1478">
        <v>0.29409999999999997</v>
      </c>
    </row>
    <row r="1479" spans="1:10" hidden="1" x14ac:dyDescent="0.35">
      <c r="A1479" t="str">
        <f t="shared" si="23"/>
        <v>Nanuque20192.5</v>
      </c>
      <c r="B1479">
        <v>3144300</v>
      </c>
      <c r="C1479" t="s">
        <v>53</v>
      </c>
      <c r="D1479">
        <v>2019</v>
      </c>
      <c r="E1479">
        <v>6</v>
      </c>
      <c r="F1479">
        <v>32</v>
      </c>
      <c r="G1479" t="s">
        <v>24</v>
      </c>
      <c r="H1479" t="s">
        <v>18</v>
      </c>
      <c r="I1479" s="1" t="s">
        <v>25</v>
      </c>
      <c r="J1479">
        <v>0.61099999999999999</v>
      </c>
    </row>
    <row r="1480" spans="1:10" hidden="1" x14ac:dyDescent="0.35">
      <c r="A1480" t="str">
        <f t="shared" si="23"/>
        <v>Nanuque20192.8</v>
      </c>
      <c r="B1480">
        <v>3144300</v>
      </c>
      <c r="C1480" t="s">
        <v>53</v>
      </c>
      <c r="D1480">
        <v>2019</v>
      </c>
      <c r="E1480">
        <v>6</v>
      </c>
      <c r="F1480">
        <v>35</v>
      </c>
      <c r="G1480" t="s">
        <v>26</v>
      </c>
      <c r="H1480" t="s">
        <v>18</v>
      </c>
      <c r="I1480" s="1" t="s">
        <v>27</v>
      </c>
      <c r="J1480">
        <v>0.2031</v>
      </c>
    </row>
    <row r="1481" spans="1:10" hidden="1" x14ac:dyDescent="0.35">
      <c r="A1481" t="str">
        <f t="shared" si="23"/>
        <v>Nanuque20194.1</v>
      </c>
      <c r="B1481">
        <v>3144300</v>
      </c>
      <c r="C1481" t="s">
        <v>53</v>
      </c>
      <c r="D1481">
        <v>2019</v>
      </c>
      <c r="E1481">
        <v>6</v>
      </c>
      <c r="F1481">
        <v>44</v>
      </c>
      <c r="G1481" t="s">
        <v>28</v>
      </c>
      <c r="H1481" t="s">
        <v>29</v>
      </c>
      <c r="I1481" s="1" t="s">
        <v>30</v>
      </c>
      <c r="J1481">
        <v>5476.66</v>
      </c>
    </row>
    <row r="1482" spans="1:10" hidden="1" x14ac:dyDescent="0.35">
      <c r="A1482" t="str">
        <f t="shared" si="23"/>
        <v>Nanuque20194.10</v>
      </c>
      <c r="B1482">
        <v>3144300</v>
      </c>
      <c r="C1482" t="s">
        <v>53</v>
      </c>
      <c r="D1482">
        <v>2019</v>
      </c>
      <c r="E1482">
        <v>6</v>
      </c>
      <c r="F1482">
        <v>58</v>
      </c>
      <c r="G1482" t="s">
        <v>31</v>
      </c>
      <c r="H1482" t="s">
        <v>29</v>
      </c>
      <c r="I1482" s="1" t="s">
        <v>32</v>
      </c>
      <c r="J1482">
        <v>5303.11</v>
      </c>
    </row>
    <row r="1483" spans="1:10" hidden="1" x14ac:dyDescent="0.35">
      <c r="A1483" t="str">
        <f t="shared" si="23"/>
        <v>Nanuque20194.11</v>
      </c>
      <c r="B1483">
        <v>3144300</v>
      </c>
      <c r="C1483" t="s">
        <v>53</v>
      </c>
      <c r="D1483">
        <v>2019</v>
      </c>
      <c r="E1483">
        <v>6</v>
      </c>
      <c r="F1483">
        <v>59</v>
      </c>
      <c r="G1483" t="s">
        <v>33</v>
      </c>
      <c r="H1483" t="s">
        <v>29</v>
      </c>
      <c r="I1483" s="1" t="s">
        <v>34</v>
      </c>
      <c r="J1483">
        <v>815.67</v>
      </c>
    </row>
    <row r="1484" spans="1:10" hidden="1" x14ac:dyDescent="0.35">
      <c r="A1484" t="str">
        <f t="shared" si="23"/>
        <v>Nanuque20194.2</v>
      </c>
      <c r="B1484">
        <v>3144300</v>
      </c>
      <c r="C1484" t="s">
        <v>53</v>
      </c>
      <c r="D1484">
        <v>2019</v>
      </c>
      <c r="E1484">
        <v>6</v>
      </c>
      <c r="F1484">
        <v>45</v>
      </c>
      <c r="G1484" t="s">
        <v>35</v>
      </c>
      <c r="H1484" t="s">
        <v>29</v>
      </c>
      <c r="I1484" s="1" t="s">
        <v>36</v>
      </c>
      <c r="J1484">
        <v>6793.61</v>
      </c>
    </row>
    <row r="1485" spans="1:10" hidden="1" x14ac:dyDescent="0.35">
      <c r="A1485" t="str">
        <f t="shared" si="23"/>
        <v>Nanuque20194.8</v>
      </c>
      <c r="B1485">
        <v>3144300</v>
      </c>
      <c r="C1485" t="s">
        <v>53</v>
      </c>
      <c r="D1485">
        <v>2019</v>
      </c>
      <c r="E1485">
        <v>6</v>
      </c>
      <c r="F1485">
        <v>56</v>
      </c>
      <c r="G1485" t="s">
        <v>37</v>
      </c>
      <c r="H1485" t="s">
        <v>29</v>
      </c>
      <c r="I1485" s="1" t="s">
        <v>38</v>
      </c>
      <c r="J1485">
        <v>6522.78</v>
      </c>
    </row>
    <row r="1486" spans="1:10" hidden="1" x14ac:dyDescent="0.35">
      <c r="A1486" t="str">
        <f t="shared" si="23"/>
        <v>Nanuque20194.9</v>
      </c>
      <c r="B1486">
        <v>3144300</v>
      </c>
      <c r="C1486" t="s">
        <v>53</v>
      </c>
      <c r="D1486">
        <v>2019</v>
      </c>
      <c r="E1486">
        <v>6</v>
      </c>
      <c r="F1486">
        <v>57</v>
      </c>
      <c r="G1486" t="s">
        <v>39</v>
      </c>
      <c r="H1486" t="s">
        <v>29</v>
      </c>
      <c r="I1486" s="1" t="s">
        <v>40</v>
      </c>
      <c r="J1486">
        <v>6522.78</v>
      </c>
    </row>
    <row r="1487" spans="1:10" hidden="1" x14ac:dyDescent="0.35">
      <c r="A1487" t="str">
        <f t="shared" si="23"/>
        <v>Novo Oriente de Minas20191.1</v>
      </c>
      <c r="B1487">
        <v>3145356</v>
      </c>
      <c r="C1487" t="s">
        <v>54</v>
      </c>
      <c r="D1487">
        <v>2019</v>
      </c>
      <c r="E1487">
        <v>6</v>
      </c>
      <c r="F1487">
        <v>24</v>
      </c>
      <c r="G1487" t="s">
        <v>10</v>
      </c>
      <c r="H1487" t="s">
        <v>11</v>
      </c>
      <c r="I1487" s="1" t="s">
        <v>12</v>
      </c>
      <c r="J1487">
        <v>0.31490000000000001</v>
      </c>
    </row>
    <row r="1488" spans="1:10" hidden="1" x14ac:dyDescent="0.35">
      <c r="A1488" t="str">
        <f t="shared" si="23"/>
        <v>Novo Oriente de Minas20191.2</v>
      </c>
      <c r="B1488">
        <v>3145356</v>
      </c>
      <c r="C1488" t="s">
        <v>54</v>
      </c>
      <c r="D1488">
        <v>2019</v>
      </c>
      <c r="E1488">
        <v>6</v>
      </c>
      <c r="F1488">
        <v>67</v>
      </c>
      <c r="G1488" t="s">
        <v>13</v>
      </c>
      <c r="H1488" t="s">
        <v>11</v>
      </c>
      <c r="I1488" s="1" t="s">
        <v>14</v>
      </c>
      <c r="J1488">
        <v>0.72009999999999996</v>
      </c>
    </row>
    <row r="1489" spans="1:10" hidden="1" x14ac:dyDescent="0.35">
      <c r="A1489" t="str">
        <f t="shared" si="23"/>
        <v>Novo Oriente de Minas20191.3</v>
      </c>
      <c r="B1489">
        <v>3145356</v>
      </c>
      <c r="C1489" t="s">
        <v>54</v>
      </c>
      <c r="D1489">
        <v>2019</v>
      </c>
      <c r="E1489">
        <v>6</v>
      </c>
      <c r="F1489">
        <v>68</v>
      </c>
      <c r="G1489" t="s">
        <v>15</v>
      </c>
      <c r="H1489" t="s">
        <v>11</v>
      </c>
      <c r="I1489" s="1" t="s">
        <v>16</v>
      </c>
      <c r="J1489">
        <v>0.27989999999999998</v>
      </c>
    </row>
    <row r="1490" spans="1:10" hidden="1" x14ac:dyDescent="0.35">
      <c r="A1490" t="str">
        <f t="shared" si="23"/>
        <v>Novo Oriente de Minas20192.1</v>
      </c>
      <c r="B1490">
        <v>3145356</v>
      </c>
      <c r="C1490" t="s">
        <v>54</v>
      </c>
      <c r="D1490">
        <v>2019</v>
      </c>
      <c r="E1490">
        <v>6</v>
      </c>
      <c r="F1490">
        <v>28</v>
      </c>
      <c r="G1490" t="s">
        <v>17</v>
      </c>
      <c r="H1490" t="s">
        <v>18</v>
      </c>
      <c r="I1490" s="1" t="s">
        <v>19</v>
      </c>
    </row>
    <row r="1491" spans="1:10" hidden="1" x14ac:dyDescent="0.35">
      <c r="A1491" t="str">
        <f t="shared" si="23"/>
        <v>Novo Oriente de Minas20192.2</v>
      </c>
      <c r="B1491">
        <v>3145356</v>
      </c>
      <c r="C1491" t="s">
        <v>54</v>
      </c>
      <c r="D1491">
        <v>2019</v>
      </c>
      <c r="E1491">
        <v>6</v>
      </c>
      <c r="F1491">
        <v>29</v>
      </c>
      <c r="G1491" t="s">
        <v>20</v>
      </c>
      <c r="H1491" t="s">
        <v>18</v>
      </c>
      <c r="I1491" s="1" t="s">
        <v>21</v>
      </c>
      <c r="J1491">
        <v>0.81869999999999998</v>
      </c>
    </row>
    <row r="1492" spans="1:10" hidden="1" x14ac:dyDescent="0.35">
      <c r="A1492" t="str">
        <f t="shared" si="23"/>
        <v>Novo Oriente de Minas20192.4</v>
      </c>
      <c r="B1492">
        <v>3145356</v>
      </c>
      <c r="C1492" t="s">
        <v>54</v>
      </c>
      <c r="D1492">
        <v>2019</v>
      </c>
      <c r="E1492">
        <v>6</v>
      </c>
      <c r="F1492">
        <v>31</v>
      </c>
      <c r="G1492" t="s">
        <v>22</v>
      </c>
      <c r="H1492" t="s">
        <v>18</v>
      </c>
      <c r="I1492" s="1" t="s">
        <v>23</v>
      </c>
      <c r="J1492">
        <v>9.1800000000000007E-2</v>
      </c>
    </row>
    <row r="1493" spans="1:10" hidden="1" x14ac:dyDescent="0.35">
      <c r="A1493" t="str">
        <f t="shared" si="23"/>
        <v>Novo Oriente de Minas20192.5</v>
      </c>
      <c r="B1493">
        <v>3145356</v>
      </c>
      <c r="C1493" t="s">
        <v>54</v>
      </c>
      <c r="D1493">
        <v>2019</v>
      </c>
      <c r="E1493">
        <v>6</v>
      </c>
      <c r="F1493">
        <v>32</v>
      </c>
      <c r="G1493" t="s">
        <v>24</v>
      </c>
      <c r="H1493" t="s">
        <v>18</v>
      </c>
      <c r="I1493" s="1" t="s">
        <v>25</v>
      </c>
      <c r="J1493">
        <v>0.79759999999999998</v>
      </c>
    </row>
    <row r="1494" spans="1:10" hidden="1" x14ac:dyDescent="0.35">
      <c r="A1494" t="str">
        <f t="shared" si="23"/>
        <v>Novo Oriente de Minas20192.8</v>
      </c>
      <c r="B1494">
        <v>3145356</v>
      </c>
      <c r="C1494" t="s">
        <v>54</v>
      </c>
      <c r="D1494">
        <v>2019</v>
      </c>
      <c r="E1494">
        <v>6</v>
      </c>
      <c r="F1494">
        <v>35</v>
      </c>
      <c r="G1494" t="s">
        <v>26</v>
      </c>
      <c r="H1494" t="s">
        <v>18</v>
      </c>
      <c r="I1494" s="1" t="s">
        <v>27</v>
      </c>
      <c r="J1494">
        <v>0.37830000000000003</v>
      </c>
    </row>
    <row r="1495" spans="1:10" hidden="1" x14ac:dyDescent="0.35">
      <c r="A1495" t="str">
        <f t="shared" si="23"/>
        <v>Novo Oriente de Minas20194.1</v>
      </c>
      <c r="B1495">
        <v>3145356</v>
      </c>
      <c r="C1495" t="s">
        <v>54</v>
      </c>
      <c r="D1495">
        <v>2019</v>
      </c>
      <c r="E1495">
        <v>6</v>
      </c>
      <c r="F1495">
        <v>44</v>
      </c>
      <c r="G1495" t="s">
        <v>28</v>
      </c>
      <c r="H1495" t="s">
        <v>29</v>
      </c>
      <c r="I1495" s="1" t="s">
        <v>30</v>
      </c>
      <c r="J1495">
        <v>2034.88</v>
      </c>
    </row>
    <row r="1496" spans="1:10" hidden="1" x14ac:dyDescent="0.35">
      <c r="A1496" t="str">
        <f t="shared" si="23"/>
        <v>Novo Oriente de Minas20194.10</v>
      </c>
      <c r="B1496">
        <v>3145356</v>
      </c>
      <c r="C1496" t="s">
        <v>54</v>
      </c>
      <c r="D1496">
        <v>2019</v>
      </c>
      <c r="E1496">
        <v>6</v>
      </c>
      <c r="F1496">
        <v>58</v>
      </c>
      <c r="G1496" t="s">
        <v>31</v>
      </c>
      <c r="H1496" t="s">
        <v>29</v>
      </c>
      <c r="I1496" s="1" t="s">
        <v>32</v>
      </c>
      <c r="J1496">
        <v>5487.6</v>
      </c>
    </row>
    <row r="1497" spans="1:10" hidden="1" x14ac:dyDescent="0.35">
      <c r="A1497" t="str">
        <f t="shared" si="23"/>
        <v>Novo Oriente de Minas20194.11</v>
      </c>
      <c r="B1497">
        <v>3145356</v>
      </c>
      <c r="C1497" t="s">
        <v>54</v>
      </c>
      <c r="D1497">
        <v>2019</v>
      </c>
      <c r="E1497">
        <v>6</v>
      </c>
      <c r="F1497">
        <v>59</v>
      </c>
      <c r="G1497" t="s">
        <v>33</v>
      </c>
      <c r="H1497" t="s">
        <v>29</v>
      </c>
      <c r="I1497" s="1" t="s">
        <v>34</v>
      </c>
      <c r="J1497">
        <v>1199.83</v>
      </c>
    </row>
    <row r="1498" spans="1:10" hidden="1" x14ac:dyDescent="0.35">
      <c r="A1498" t="str">
        <f t="shared" si="23"/>
        <v>Novo Oriente de Minas20194.2</v>
      </c>
      <c r="B1498">
        <v>3145356</v>
      </c>
      <c r="C1498" t="s">
        <v>54</v>
      </c>
      <c r="D1498">
        <v>2019</v>
      </c>
      <c r="E1498">
        <v>6</v>
      </c>
      <c r="F1498">
        <v>45</v>
      </c>
      <c r="G1498" t="s">
        <v>35</v>
      </c>
      <c r="H1498" t="s">
        <v>29</v>
      </c>
      <c r="I1498" s="1" t="s">
        <v>36</v>
      </c>
      <c r="J1498">
        <v>10109.68</v>
      </c>
    </row>
    <row r="1499" spans="1:10" hidden="1" x14ac:dyDescent="0.35">
      <c r="A1499" t="str">
        <f t="shared" si="23"/>
        <v>Novo Oriente de Minas20194.8</v>
      </c>
      <c r="B1499">
        <v>3145356</v>
      </c>
      <c r="C1499" t="s">
        <v>54</v>
      </c>
      <c r="D1499">
        <v>2019</v>
      </c>
      <c r="E1499">
        <v>6</v>
      </c>
      <c r="F1499">
        <v>56</v>
      </c>
      <c r="G1499" t="s">
        <v>37</v>
      </c>
      <c r="H1499" t="s">
        <v>29</v>
      </c>
      <c r="I1499" s="1" t="s">
        <v>38</v>
      </c>
      <c r="J1499">
        <v>6687.43</v>
      </c>
    </row>
    <row r="1500" spans="1:10" hidden="1" x14ac:dyDescent="0.35">
      <c r="A1500" t="str">
        <f t="shared" si="23"/>
        <v>Novo Oriente de Minas20194.9</v>
      </c>
      <c r="B1500">
        <v>3145356</v>
      </c>
      <c r="C1500" t="s">
        <v>54</v>
      </c>
      <c r="D1500">
        <v>2019</v>
      </c>
      <c r="E1500">
        <v>6</v>
      </c>
      <c r="F1500">
        <v>57</v>
      </c>
      <c r="G1500" t="s">
        <v>39</v>
      </c>
      <c r="H1500" t="s">
        <v>29</v>
      </c>
      <c r="I1500" s="1" t="s">
        <v>40</v>
      </c>
      <c r="J1500">
        <v>6427.86</v>
      </c>
    </row>
    <row r="1501" spans="1:10" hidden="1" x14ac:dyDescent="0.35">
      <c r="A1501" t="str">
        <f t="shared" si="23"/>
        <v>Ouro Verde de Minas20191.1</v>
      </c>
      <c r="B1501">
        <v>3146206</v>
      </c>
      <c r="C1501" t="s">
        <v>55</v>
      </c>
      <c r="D1501">
        <v>2019</v>
      </c>
      <c r="E1501">
        <v>6</v>
      </c>
      <c r="F1501">
        <v>24</v>
      </c>
      <c r="G1501" t="s">
        <v>10</v>
      </c>
      <c r="H1501" t="s">
        <v>11</v>
      </c>
      <c r="I1501" s="1" t="s">
        <v>12</v>
      </c>
      <c r="J1501">
        <v>0.28320000000000001</v>
      </c>
    </row>
    <row r="1502" spans="1:10" hidden="1" x14ac:dyDescent="0.35">
      <c r="A1502" t="str">
        <f t="shared" si="23"/>
        <v>Ouro Verde de Minas20191.2</v>
      </c>
      <c r="B1502">
        <v>3146206</v>
      </c>
      <c r="C1502" t="s">
        <v>55</v>
      </c>
      <c r="D1502">
        <v>2019</v>
      </c>
      <c r="E1502">
        <v>6</v>
      </c>
      <c r="F1502">
        <v>67</v>
      </c>
      <c r="G1502" t="s">
        <v>13</v>
      </c>
      <c r="H1502" t="s">
        <v>11</v>
      </c>
      <c r="I1502" s="1" t="s">
        <v>14</v>
      </c>
      <c r="J1502">
        <v>0.99980000000000002</v>
      </c>
    </row>
    <row r="1503" spans="1:10" hidden="1" x14ac:dyDescent="0.35">
      <c r="A1503" t="str">
        <f t="shared" si="23"/>
        <v>Ouro Verde de Minas20191.3</v>
      </c>
      <c r="B1503">
        <v>3146206</v>
      </c>
      <c r="C1503" t="s">
        <v>55</v>
      </c>
      <c r="D1503">
        <v>2019</v>
      </c>
      <c r="E1503">
        <v>6</v>
      </c>
      <c r="F1503">
        <v>68</v>
      </c>
      <c r="G1503" t="s">
        <v>15</v>
      </c>
      <c r="H1503" t="s">
        <v>11</v>
      </c>
      <c r="I1503" s="1" t="s">
        <v>16</v>
      </c>
      <c r="J1503">
        <v>2.0000000000000001E-4</v>
      </c>
    </row>
    <row r="1504" spans="1:10" hidden="1" x14ac:dyDescent="0.35">
      <c r="A1504" t="str">
        <f t="shared" si="23"/>
        <v>Ouro Verde de Minas20192.1</v>
      </c>
      <c r="B1504">
        <v>3146206</v>
      </c>
      <c r="C1504" t="s">
        <v>55</v>
      </c>
      <c r="D1504">
        <v>2019</v>
      </c>
      <c r="E1504">
        <v>6</v>
      </c>
      <c r="F1504">
        <v>28</v>
      </c>
      <c r="G1504" t="s">
        <v>17</v>
      </c>
      <c r="H1504" t="s">
        <v>18</v>
      </c>
      <c r="I1504" s="1" t="s">
        <v>19</v>
      </c>
    </row>
    <row r="1505" spans="1:10" hidden="1" x14ac:dyDescent="0.35">
      <c r="A1505" t="str">
        <f t="shared" si="23"/>
        <v>Ouro Verde de Minas20192.2</v>
      </c>
      <c r="B1505">
        <v>3146206</v>
      </c>
      <c r="C1505" t="s">
        <v>55</v>
      </c>
      <c r="D1505">
        <v>2019</v>
      </c>
      <c r="E1505">
        <v>6</v>
      </c>
      <c r="F1505">
        <v>29</v>
      </c>
      <c r="G1505" t="s">
        <v>20</v>
      </c>
      <c r="H1505" t="s">
        <v>18</v>
      </c>
      <c r="I1505" s="1" t="s">
        <v>21</v>
      </c>
      <c r="J1505">
        <v>0.872</v>
      </c>
    </row>
    <row r="1506" spans="1:10" hidden="1" x14ac:dyDescent="0.35">
      <c r="A1506" t="str">
        <f t="shared" si="23"/>
        <v>Ouro Verde de Minas20192.4</v>
      </c>
      <c r="B1506">
        <v>3146206</v>
      </c>
      <c r="C1506" t="s">
        <v>55</v>
      </c>
      <c r="D1506">
        <v>2019</v>
      </c>
      <c r="E1506">
        <v>6</v>
      </c>
      <c r="F1506">
        <v>31</v>
      </c>
      <c r="G1506" t="s">
        <v>22</v>
      </c>
      <c r="H1506" t="s">
        <v>18</v>
      </c>
      <c r="I1506" s="1" t="s">
        <v>23</v>
      </c>
      <c r="J1506">
        <v>6.7900000000000002E-2</v>
      </c>
    </row>
    <row r="1507" spans="1:10" hidden="1" x14ac:dyDescent="0.35">
      <c r="A1507" t="str">
        <f t="shared" si="23"/>
        <v>Ouro Verde de Minas20192.5</v>
      </c>
      <c r="B1507">
        <v>3146206</v>
      </c>
      <c r="C1507" t="s">
        <v>55</v>
      </c>
      <c r="D1507">
        <v>2019</v>
      </c>
      <c r="E1507">
        <v>6</v>
      </c>
      <c r="F1507">
        <v>32</v>
      </c>
      <c r="G1507" t="s">
        <v>24</v>
      </c>
      <c r="H1507" t="s">
        <v>18</v>
      </c>
      <c r="I1507" s="1" t="s">
        <v>25</v>
      </c>
      <c r="J1507">
        <v>0.43809999999999999</v>
      </c>
    </row>
    <row r="1508" spans="1:10" hidden="1" x14ac:dyDescent="0.35">
      <c r="A1508" t="str">
        <f t="shared" si="23"/>
        <v>Ouro Verde de Minas20192.8</v>
      </c>
      <c r="B1508">
        <v>3146206</v>
      </c>
      <c r="C1508" t="s">
        <v>55</v>
      </c>
      <c r="D1508">
        <v>2019</v>
      </c>
      <c r="E1508">
        <v>6</v>
      </c>
      <c r="F1508">
        <v>35</v>
      </c>
      <c r="G1508" t="s">
        <v>26</v>
      </c>
      <c r="H1508" t="s">
        <v>18</v>
      </c>
      <c r="I1508" s="1" t="s">
        <v>27</v>
      </c>
      <c r="J1508">
        <v>0.36559999999999998</v>
      </c>
    </row>
    <row r="1509" spans="1:10" hidden="1" x14ac:dyDescent="0.35">
      <c r="A1509" t="str">
        <f t="shared" si="23"/>
        <v>Ouro Verde de Minas20194.1</v>
      </c>
      <c r="B1509">
        <v>3146206</v>
      </c>
      <c r="C1509" t="s">
        <v>55</v>
      </c>
      <c r="D1509">
        <v>2019</v>
      </c>
      <c r="E1509">
        <v>6</v>
      </c>
      <c r="F1509">
        <v>44</v>
      </c>
      <c r="G1509" t="s">
        <v>28</v>
      </c>
      <c r="H1509" t="s">
        <v>29</v>
      </c>
      <c r="I1509" s="1" t="s">
        <v>30</v>
      </c>
      <c r="J1509">
        <v>3098.34</v>
      </c>
    </row>
    <row r="1510" spans="1:10" hidden="1" x14ac:dyDescent="0.35">
      <c r="A1510" t="str">
        <f t="shared" si="23"/>
        <v>Ouro Verde de Minas20194.10</v>
      </c>
      <c r="B1510">
        <v>3146206</v>
      </c>
      <c r="C1510" t="s">
        <v>55</v>
      </c>
      <c r="D1510">
        <v>2019</v>
      </c>
      <c r="E1510">
        <v>6</v>
      </c>
      <c r="F1510">
        <v>58</v>
      </c>
      <c r="G1510" t="s">
        <v>31</v>
      </c>
      <c r="H1510" t="s">
        <v>29</v>
      </c>
      <c r="I1510" s="1" t="s">
        <v>32</v>
      </c>
      <c r="J1510">
        <v>4378.18</v>
      </c>
    </row>
    <row r="1511" spans="1:10" hidden="1" x14ac:dyDescent="0.35">
      <c r="A1511" t="str">
        <f t="shared" si="23"/>
        <v>Ouro Verde de Minas20194.11</v>
      </c>
      <c r="B1511">
        <v>3146206</v>
      </c>
      <c r="C1511" t="s">
        <v>55</v>
      </c>
      <c r="D1511">
        <v>2019</v>
      </c>
      <c r="E1511">
        <v>6</v>
      </c>
      <c r="F1511">
        <v>59</v>
      </c>
      <c r="G1511" t="s">
        <v>33</v>
      </c>
      <c r="H1511" t="s">
        <v>29</v>
      </c>
      <c r="I1511" s="1" t="s">
        <v>34</v>
      </c>
      <c r="J1511">
        <v>2715.24</v>
      </c>
    </row>
    <row r="1512" spans="1:10" hidden="1" x14ac:dyDescent="0.35">
      <c r="A1512" t="str">
        <f t="shared" si="23"/>
        <v>Ouro Verde de Minas20194.2</v>
      </c>
      <c r="B1512">
        <v>3146206</v>
      </c>
      <c r="C1512" t="s">
        <v>55</v>
      </c>
      <c r="D1512">
        <v>2019</v>
      </c>
      <c r="E1512">
        <v>6</v>
      </c>
      <c r="F1512">
        <v>45</v>
      </c>
      <c r="G1512" t="s">
        <v>35</v>
      </c>
      <c r="H1512" t="s">
        <v>29</v>
      </c>
      <c r="I1512" s="1" t="s">
        <v>36</v>
      </c>
      <c r="J1512">
        <v>9557.8700000000008</v>
      </c>
    </row>
    <row r="1513" spans="1:10" hidden="1" x14ac:dyDescent="0.35">
      <c r="A1513" t="str">
        <f t="shared" si="23"/>
        <v>Ouro Verde de Minas20194.8</v>
      </c>
      <c r="B1513">
        <v>3146206</v>
      </c>
      <c r="C1513" t="s">
        <v>55</v>
      </c>
      <c r="D1513">
        <v>2019</v>
      </c>
      <c r="E1513">
        <v>6</v>
      </c>
      <c r="F1513">
        <v>56</v>
      </c>
      <c r="G1513" t="s">
        <v>37</v>
      </c>
      <c r="H1513" t="s">
        <v>29</v>
      </c>
      <c r="I1513" s="1" t="s">
        <v>38</v>
      </c>
      <c r="J1513">
        <v>7396.67</v>
      </c>
    </row>
    <row r="1514" spans="1:10" hidden="1" x14ac:dyDescent="0.35">
      <c r="A1514" t="str">
        <f t="shared" si="23"/>
        <v>Ouro Verde de Minas20194.9</v>
      </c>
      <c r="B1514">
        <v>3146206</v>
      </c>
      <c r="C1514" t="s">
        <v>55</v>
      </c>
      <c r="D1514">
        <v>2019</v>
      </c>
      <c r="E1514">
        <v>6</v>
      </c>
      <c r="F1514">
        <v>57</v>
      </c>
      <c r="G1514" t="s">
        <v>39</v>
      </c>
      <c r="H1514" t="s">
        <v>29</v>
      </c>
      <c r="I1514" s="1" t="s">
        <v>40</v>
      </c>
      <c r="J1514">
        <v>7396.67</v>
      </c>
    </row>
    <row r="1515" spans="1:10" hidden="1" x14ac:dyDescent="0.35">
      <c r="A1515" t="str">
        <f t="shared" si="23"/>
        <v>Pavão20191.1</v>
      </c>
      <c r="B1515">
        <v>3148509</v>
      </c>
      <c r="C1515" t="s">
        <v>56</v>
      </c>
      <c r="D1515">
        <v>2019</v>
      </c>
      <c r="E1515">
        <v>6</v>
      </c>
      <c r="F1515">
        <v>24</v>
      </c>
      <c r="G1515" t="s">
        <v>10</v>
      </c>
      <c r="H1515" t="s">
        <v>11</v>
      </c>
      <c r="I1515" s="1" t="s">
        <v>12</v>
      </c>
      <c r="J1515">
        <v>0.34910000000000002</v>
      </c>
    </row>
    <row r="1516" spans="1:10" hidden="1" x14ac:dyDescent="0.35">
      <c r="A1516" t="str">
        <f t="shared" si="23"/>
        <v>Pavão20191.2</v>
      </c>
      <c r="B1516">
        <v>3148509</v>
      </c>
      <c r="C1516" t="s">
        <v>56</v>
      </c>
      <c r="D1516">
        <v>2019</v>
      </c>
      <c r="E1516">
        <v>6</v>
      </c>
      <c r="F1516">
        <v>67</v>
      </c>
      <c r="G1516" t="s">
        <v>13</v>
      </c>
      <c r="H1516" t="s">
        <v>11</v>
      </c>
      <c r="I1516" s="1" t="s">
        <v>14</v>
      </c>
      <c r="J1516">
        <v>0.83630000000000004</v>
      </c>
    </row>
    <row r="1517" spans="1:10" hidden="1" x14ac:dyDescent="0.35">
      <c r="A1517" t="str">
        <f t="shared" si="23"/>
        <v>Pavão20191.3</v>
      </c>
      <c r="B1517">
        <v>3148509</v>
      </c>
      <c r="C1517" t="s">
        <v>56</v>
      </c>
      <c r="D1517">
        <v>2019</v>
      </c>
      <c r="E1517">
        <v>6</v>
      </c>
      <c r="F1517">
        <v>68</v>
      </c>
      <c r="G1517" t="s">
        <v>15</v>
      </c>
      <c r="H1517" t="s">
        <v>11</v>
      </c>
      <c r="I1517" s="1" t="s">
        <v>16</v>
      </c>
      <c r="J1517">
        <v>0.16370000000000001</v>
      </c>
    </row>
    <row r="1518" spans="1:10" hidden="1" x14ac:dyDescent="0.35">
      <c r="A1518" t="str">
        <f t="shared" si="23"/>
        <v>Pavão20192.1</v>
      </c>
      <c r="B1518">
        <v>3148509</v>
      </c>
      <c r="C1518" t="s">
        <v>56</v>
      </c>
      <c r="D1518">
        <v>2019</v>
      </c>
      <c r="E1518">
        <v>6</v>
      </c>
      <c r="F1518">
        <v>28</v>
      </c>
      <c r="G1518" t="s">
        <v>17</v>
      </c>
      <c r="H1518" t="s">
        <v>18</v>
      </c>
      <c r="I1518" s="1" t="s">
        <v>19</v>
      </c>
    </row>
    <row r="1519" spans="1:10" hidden="1" x14ac:dyDescent="0.35">
      <c r="A1519" t="str">
        <f t="shared" si="23"/>
        <v>Pavão20192.2</v>
      </c>
      <c r="B1519">
        <v>3148509</v>
      </c>
      <c r="C1519" t="s">
        <v>56</v>
      </c>
      <c r="D1519">
        <v>2019</v>
      </c>
      <c r="E1519">
        <v>6</v>
      </c>
      <c r="F1519">
        <v>29</v>
      </c>
      <c r="G1519" t="s">
        <v>20</v>
      </c>
      <c r="H1519" t="s">
        <v>18</v>
      </c>
      <c r="I1519" s="1" t="s">
        <v>21</v>
      </c>
      <c r="J1519">
        <v>0.81040000000000001</v>
      </c>
    </row>
    <row r="1520" spans="1:10" hidden="1" x14ac:dyDescent="0.35">
      <c r="A1520" t="str">
        <f t="shared" si="23"/>
        <v>Pavão20192.4</v>
      </c>
      <c r="B1520">
        <v>3148509</v>
      </c>
      <c r="C1520" t="s">
        <v>56</v>
      </c>
      <c r="D1520">
        <v>2019</v>
      </c>
      <c r="E1520">
        <v>6</v>
      </c>
      <c r="F1520">
        <v>31</v>
      </c>
      <c r="G1520" t="s">
        <v>22</v>
      </c>
      <c r="H1520" t="s">
        <v>18</v>
      </c>
      <c r="I1520" s="1" t="s">
        <v>23</v>
      </c>
      <c r="J1520">
        <v>7.9500000000000001E-2</v>
      </c>
    </row>
    <row r="1521" spans="1:10" hidden="1" x14ac:dyDescent="0.35">
      <c r="A1521" t="str">
        <f t="shared" si="23"/>
        <v>Pavão20192.5</v>
      </c>
      <c r="B1521">
        <v>3148509</v>
      </c>
      <c r="C1521" t="s">
        <v>56</v>
      </c>
      <c r="D1521">
        <v>2019</v>
      </c>
      <c r="E1521">
        <v>6</v>
      </c>
      <c r="F1521">
        <v>32</v>
      </c>
      <c r="G1521" t="s">
        <v>24</v>
      </c>
      <c r="H1521" t="s">
        <v>18</v>
      </c>
      <c r="I1521" s="1" t="s">
        <v>25</v>
      </c>
      <c r="J1521">
        <v>0.86240000000000006</v>
      </c>
    </row>
    <row r="1522" spans="1:10" hidden="1" x14ac:dyDescent="0.35">
      <c r="A1522" t="str">
        <f t="shared" si="23"/>
        <v>Pavão20192.8</v>
      </c>
      <c r="B1522">
        <v>3148509</v>
      </c>
      <c r="C1522" t="s">
        <v>56</v>
      </c>
      <c r="D1522">
        <v>2019</v>
      </c>
      <c r="E1522">
        <v>6</v>
      </c>
      <c r="F1522">
        <v>35</v>
      </c>
      <c r="G1522" t="s">
        <v>26</v>
      </c>
      <c r="H1522" t="s">
        <v>18</v>
      </c>
      <c r="I1522" s="1" t="s">
        <v>27</v>
      </c>
      <c r="J1522">
        <v>0.27950000000000003</v>
      </c>
    </row>
    <row r="1523" spans="1:10" hidden="1" x14ac:dyDescent="0.35">
      <c r="A1523" t="str">
        <f t="shared" si="23"/>
        <v>Pavão20194.1</v>
      </c>
      <c r="B1523">
        <v>3148509</v>
      </c>
      <c r="C1523" t="s">
        <v>56</v>
      </c>
      <c r="D1523">
        <v>2019</v>
      </c>
      <c r="E1523">
        <v>6</v>
      </c>
      <c r="F1523">
        <v>44</v>
      </c>
      <c r="G1523" t="s">
        <v>28</v>
      </c>
      <c r="H1523" t="s">
        <v>29</v>
      </c>
      <c r="I1523" s="1" t="s">
        <v>30</v>
      </c>
      <c r="J1523">
        <v>1837.84</v>
      </c>
    </row>
    <row r="1524" spans="1:10" hidden="1" x14ac:dyDescent="0.35">
      <c r="A1524" t="str">
        <f t="shared" si="23"/>
        <v>Pavão20194.10</v>
      </c>
      <c r="B1524">
        <v>3148509</v>
      </c>
      <c r="C1524" t="s">
        <v>56</v>
      </c>
      <c r="D1524">
        <v>2019</v>
      </c>
      <c r="E1524">
        <v>6</v>
      </c>
      <c r="F1524">
        <v>58</v>
      </c>
      <c r="G1524" t="s">
        <v>31</v>
      </c>
      <c r="H1524" t="s">
        <v>29</v>
      </c>
      <c r="I1524" s="1" t="s">
        <v>32</v>
      </c>
      <c r="J1524">
        <v>6634.62</v>
      </c>
    </row>
    <row r="1525" spans="1:10" hidden="1" x14ac:dyDescent="0.35">
      <c r="A1525" t="str">
        <f t="shared" si="23"/>
        <v>Pavão20194.11</v>
      </c>
      <c r="B1525">
        <v>3148509</v>
      </c>
      <c r="C1525" t="s">
        <v>56</v>
      </c>
      <c r="D1525">
        <v>2019</v>
      </c>
      <c r="E1525">
        <v>6</v>
      </c>
      <c r="F1525">
        <v>59</v>
      </c>
      <c r="G1525" t="s">
        <v>33</v>
      </c>
      <c r="H1525" t="s">
        <v>29</v>
      </c>
      <c r="I1525" s="1" t="s">
        <v>34</v>
      </c>
      <c r="J1525">
        <v>2121.35</v>
      </c>
    </row>
    <row r="1526" spans="1:10" hidden="1" x14ac:dyDescent="0.35">
      <c r="A1526" t="str">
        <f t="shared" si="23"/>
        <v>Pavão20194.2</v>
      </c>
      <c r="B1526">
        <v>3148509</v>
      </c>
      <c r="C1526" t="s">
        <v>56</v>
      </c>
      <c r="D1526">
        <v>2019</v>
      </c>
      <c r="E1526">
        <v>6</v>
      </c>
      <c r="F1526">
        <v>45</v>
      </c>
      <c r="G1526" t="s">
        <v>35</v>
      </c>
      <c r="H1526" t="s">
        <v>29</v>
      </c>
      <c r="I1526" s="1" t="s">
        <v>36</v>
      </c>
      <c r="J1526">
        <v>13643.25</v>
      </c>
    </row>
    <row r="1527" spans="1:10" hidden="1" x14ac:dyDescent="0.35">
      <c r="A1527" t="str">
        <f t="shared" si="23"/>
        <v>Pavão20194.8</v>
      </c>
      <c r="B1527">
        <v>3148509</v>
      </c>
      <c r="C1527" t="s">
        <v>56</v>
      </c>
      <c r="D1527">
        <v>2019</v>
      </c>
      <c r="E1527">
        <v>6</v>
      </c>
      <c r="F1527">
        <v>56</v>
      </c>
      <c r="G1527" t="s">
        <v>37</v>
      </c>
      <c r="H1527" t="s">
        <v>29</v>
      </c>
      <c r="I1527" s="1" t="s">
        <v>38</v>
      </c>
      <c r="J1527">
        <v>8755.9699999999993</v>
      </c>
    </row>
    <row r="1528" spans="1:10" hidden="1" x14ac:dyDescent="0.35">
      <c r="A1528" t="str">
        <f t="shared" si="23"/>
        <v>Pavão20194.9</v>
      </c>
      <c r="B1528">
        <v>3148509</v>
      </c>
      <c r="C1528" t="s">
        <v>56</v>
      </c>
      <c r="D1528">
        <v>2019</v>
      </c>
      <c r="E1528">
        <v>6</v>
      </c>
      <c r="F1528">
        <v>57</v>
      </c>
      <c r="G1528" t="s">
        <v>39</v>
      </c>
      <c r="H1528" t="s">
        <v>29</v>
      </c>
      <c r="I1528" s="1" t="s">
        <v>40</v>
      </c>
      <c r="J1528">
        <v>8755.9699999999993</v>
      </c>
    </row>
    <row r="1529" spans="1:10" hidden="1" x14ac:dyDescent="0.35">
      <c r="A1529" t="str">
        <f t="shared" si="23"/>
        <v>Poté20191.1</v>
      </c>
      <c r="B1529">
        <v>3152402</v>
      </c>
      <c r="C1529" t="s">
        <v>57</v>
      </c>
      <c r="D1529">
        <v>2019</v>
      </c>
      <c r="E1529">
        <v>6</v>
      </c>
      <c r="F1529">
        <v>24</v>
      </c>
      <c r="G1529" t="s">
        <v>10</v>
      </c>
      <c r="H1529" t="s">
        <v>11</v>
      </c>
      <c r="I1529" s="1" t="s">
        <v>12</v>
      </c>
      <c r="J1529">
        <v>0.2515</v>
      </c>
    </row>
    <row r="1530" spans="1:10" hidden="1" x14ac:dyDescent="0.35">
      <c r="A1530" t="str">
        <f t="shared" si="23"/>
        <v>Poté20191.2</v>
      </c>
      <c r="B1530">
        <v>3152402</v>
      </c>
      <c r="C1530" t="s">
        <v>57</v>
      </c>
      <c r="D1530">
        <v>2019</v>
      </c>
      <c r="E1530">
        <v>6</v>
      </c>
      <c r="F1530">
        <v>67</v>
      </c>
      <c r="G1530" t="s">
        <v>13</v>
      </c>
      <c r="H1530" t="s">
        <v>11</v>
      </c>
      <c r="I1530" s="1" t="s">
        <v>14</v>
      </c>
      <c r="J1530">
        <v>0.69379999999999997</v>
      </c>
    </row>
    <row r="1531" spans="1:10" hidden="1" x14ac:dyDescent="0.35">
      <c r="A1531" t="str">
        <f t="shared" si="23"/>
        <v>Poté20191.3</v>
      </c>
      <c r="B1531">
        <v>3152402</v>
      </c>
      <c r="C1531" t="s">
        <v>57</v>
      </c>
      <c r="D1531">
        <v>2019</v>
      </c>
      <c r="E1531">
        <v>6</v>
      </c>
      <c r="F1531">
        <v>68</v>
      </c>
      <c r="G1531" t="s">
        <v>15</v>
      </c>
      <c r="H1531" t="s">
        <v>11</v>
      </c>
      <c r="I1531" s="1" t="s">
        <v>16</v>
      </c>
      <c r="J1531">
        <v>0.30620000000000003</v>
      </c>
    </row>
    <row r="1532" spans="1:10" hidden="1" x14ac:dyDescent="0.35">
      <c r="A1532" t="str">
        <f t="shared" si="23"/>
        <v>Poté20192.1</v>
      </c>
      <c r="B1532">
        <v>3152402</v>
      </c>
      <c r="C1532" t="s">
        <v>57</v>
      </c>
      <c r="D1532">
        <v>2019</v>
      </c>
      <c r="E1532">
        <v>6</v>
      </c>
      <c r="F1532">
        <v>28</v>
      </c>
      <c r="G1532" t="s">
        <v>17</v>
      </c>
      <c r="H1532" t="s">
        <v>18</v>
      </c>
      <c r="I1532" s="1" t="s">
        <v>19</v>
      </c>
    </row>
    <row r="1533" spans="1:10" hidden="1" x14ac:dyDescent="0.35">
      <c r="A1533" t="str">
        <f t="shared" si="23"/>
        <v>Poté20192.2</v>
      </c>
      <c r="B1533">
        <v>3152402</v>
      </c>
      <c r="C1533" t="s">
        <v>57</v>
      </c>
      <c r="D1533">
        <v>2019</v>
      </c>
      <c r="E1533">
        <v>6</v>
      </c>
      <c r="F1533">
        <v>29</v>
      </c>
      <c r="G1533" t="s">
        <v>20</v>
      </c>
      <c r="H1533" t="s">
        <v>18</v>
      </c>
      <c r="I1533" s="1" t="s">
        <v>21</v>
      </c>
      <c r="J1533">
        <v>0.95789999999999997</v>
      </c>
    </row>
    <row r="1534" spans="1:10" hidden="1" x14ac:dyDescent="0.35">
      <c r="A1534" t="str">
        <f t="shared" si="23"/>
        <v>Poté20192.4</v>
      </c>
      <c r="B1534">
        <v>3152402</v>
      </c>
      <c r="C1534" t="s">
        <v>57</v>
      </c>
      <c r="D1534">
        <v>2019</v>
      </c>
      <c r="E1534">
        <v>6</v>
      </c>
      <c r="F1534">
        <v>31</v>
      </c>
      <c r="G1534" t="s">
        <v>22</v>
      </c>
      <c r="H1534" t="s">
        <v>18</v>
      </c>
      <c r="I1534" s="1" t="s">
        <v>23</v>
      </c>
      <c r="J1534">
        <v>0.1124</v>
      </c>
    </row>
    <row r="1535" spans="1:10" hidden="1" x14ac:dyDescent="0.35">
      <c r="A1535" t="str">
        <f t="shared" si="23"/>
        <v>Poté20192.5</v>
      </c>
      <c r="B1535">
        <v>3152402</v>
      </c>
      <c r="C1535" t="s">
        <v>57</v>
      </c>
      <c r="D1535">
        <v>2019</v>
      </c>
      <c r="E1535">
        <v>6</v>
      </c>
      <c r="F1535">
        <v>32</v>
      </c>
      <c r="G1535" t="s">
        <v>24</v>
      </c>
      <c r="H1535" t="s">
        <v>18</v>
      </c>
      <c r="I1535" s="1" t="s">
        <v>25</v>
      </c>
      <c r="J1535">
        <v>0.65159999999999996</v>
      </c>
    </row>
    <row r="1536" spans="1:10" hidden="1" x14ac:dyDescent="0.35">
      <c r="A1536" t="str">
        <f t="shared" si="23"/>
        <v>Poté20192.8</v>
      </c>
      <c r="B1536">
        <v>3152402</v>
      </c>
      <c r="C1536" t="s">
        <v>57</v>
      </c>
      <c r="D1536">
        <v>2019</v>
      </c>
      <c r="E1536">
        <v>6</v>
      </c>
      <c r="F1536">
        <v>35</v>
      </c>
      <c r="G1536" t="s">
        <v>26</v>
      </c>
      <c r="H1536" t="s">
        <v>18</v>
      </c>
      <c r="I1536" s="1" t="s">
        <v>27</v>
      </c>
      <c r="J1536">
        <v>0.28799999999999998</v>
      </c>
    </row>
    <row r="1537" spans="1:10" hidden="1" x14ac:dyDescent="0.35">
      <c r="A1537" t="str">
        <f t="shared" si="23"/>
        <v>Poté20194.1</v>
      </c>
      <c r="B1537">
        <v>3152402</v>
      </c>
      <c r="C1537" t="s">
        <v>57</v>
      </c>
      <c r="D1537">
        <v>2019</v>
      </c>
      <c r="E1537">
        <v>6</v>
      </c>
      <c r="F1537">
        <v>44</v>
      </c>
      <c r="G1537" t="s">
        <v>28</v>
      </c>
      <c r="H1537" t="s">
        <v>29</v>
      </c>
      <c r="I1537" s="1" t="s">
        <v>30</v>
      </c>
      <c r="J1537">
        <v>2424</v>
      </c>
    </row>
    <row r="1538" spans="1:10" hidden="1" x14ac:dyDescent="0.35">
      <c r="A1538" t="str">
        <f t="shared" si="23"/>
        <v>Poté20194.10</v>
      </c>
      <c r="B1538">
        <v>3152402</v>
      </c>
      <c r="C1538" t="s">
        <v>57</v>
      </c>
      <c r="D1538">
        <v>2019</v>
      </c>
      <c r="E1538">
        <v>6</v>
      </c>
      <c r="F1538">
        <v>58</v>
      </c>
      <c r="G1538" t="s">
        <v>31</v>
      </c>
      <c r="H1538" t="s">
        <v>29</v>
      </c>
      <c r="I1538" s="1" t="s">
        <v>32</v>
      </c>
      <c r="J1538">
        <v>3559.83</v>
      </c>
    </row>
    <row r="1539" spans="1:10" hidden="1" x14ac:dyDescent="0.35">
      <c r="A1539" t="str">
        <f t="shared" si="23"/>
        <v>Poté20194.11</v>
      </c>
      <c r="B1539">
        <v>3152402</v>
      </c>
      <c r="C1539" t="s">
        <v>57</v>
      </c>
      <c r="D1539">
        <v>2019</v>
      </c>
      <c r="E1539">
        <v>6</v>
      </c>
      <c r="F1539">
        <v>59</v>
      </c>
      <c r="G1539" t="s">
        <v>33</v>
      </c>
      <c r="H1539" t="s">
        <v>29</v>
      </c>
      <c r="I1539" s="1" t="s">
        <v>34</v>
      </c>
      <c r="J1539">
        <v>1023.18</v>
      </c>
    </row>
    <row r="1540" spans="1:10" hidden="1" x14ac:dyDescent="0.35">
      <c r="A1540" t="str">
        <f t="shared" ref="A1540:A1603" si="24">C1540&amp;D1540&amp;G1540</f>
        <v>Poté20194.2</v>
      </c>
      <c r="B1540">
        <v>3152402</v>
      </c>
      <c r="C1540" t="s">
        <v>57</v>
      </c>
      <c r="D1540">
        <v>2019</v>
      </c>
      <c r="E1540">
        <v>6</v>
      </c>
      <c r="F1540">
        <v>45</v>
      </c>
      <c r="G1540" t="s">
        <v>35</v>
      </c>
      <c r="H1540" t="s">
        <v>29</v>
      </c>
      <c r="I1540" s="1" t="s">
        <v>36</v>
      </c>
      <c r="J1540">
        <v>6102.5</v>
      </c>
    </row>
    <row r="1541" spans="1:10" hidden="1" x14ac:dyDescent="0.35">
      <c r="A1541" t="str">
        <f t="shared" si="24"/>
        <v>Poté20194.8</v>
      </c>
      <c r="B1541">
        <v>3152402</v>
      </c>
      <c r="C1541" t="s">
        <v>57</v>
      </c>
      <c r="D1541">
        <v>2019</v>
      </c>
      <c r="E1541">
        <v>6</v>
      </c>
      <c r="F1541">
        <v>56</v>
      </c>
      <c r="G1541" t="s">
        <v>37</v>
      </c>
      <c r="H1541" t="s">
        <v>29</v>
      </c>
      <c r="I1541" s="1" t="s">
        <v>38</v>
      </c>
      <c r="J1541">
        <v>5119.45</v>
      </c>
    </row>
    <row r="1542" spans="1:10" hidden="1" x14ac:dyDescent="0.35">
      <c r="A1542" t="str">
        <f t="shared" si="24"/>
        <v>Poté20194.9</v>
      </c>
      <c r="B1542">
        <v>3152402</v>
      </c>
      <c r="C1542" t="s">
        <v>57</v>
      </c>
      <c r="D1542">
        <v>2019</v>
      </c>
      <c r="E1542">
        <v>6</v>
      </c>
      <c r="F1542">
        <v>57</v>
      </c>
      <c r="G1542" t="s">
        <v>39</v>
      </c>
      <c r="H1542" t="s">
        <v>29</v>
      </c>
      <c r="I1542" s="1" t="s">
        <v>40</v>
      </c>
      <c r="J1542">
        <v>5119.45</v>
      </c>
    </row>
    <row r="1543" spans="1:10" hidden="1" x14ac:dyDescent="0.35">
      <c r="A1543" t="str">
        <f t="shared" si="24"/>
        <v>Santa Helena de Minas20191.1</v>
      </c>
      <c r="B1543">
        <v>3157658</v>
      </c>
      <c r="C1543" t="s">
        <v>58</v>
      </c>
      <c r="D1543">
        <v>2019</v>
      </c>
      <c r="E1543">
        <v>6</v>
      </c>
      <c r="F1543">
        <v>24</v>
      </c>
      <c r="G1543" t="s">
        <v>10</v>
      </c>
      <c r="H1543" t="s">
        <v>11</v>
      </c>
      <c r="I1543" s="1" t="s">
        <v>12</v>
      </c>
      <c r="J1543">
        <v>0.31990000000000002</v>
      </c>
    </row>
    <row r="1544" spans="1:10" hidden="1" x14ac:dyDescent="0.35">
      <c r="A1544" t="str">
        <f t="shared" si="24"/>
        <v>Santa Helena de Minas20191.2</v>
      </c>
      <c r="B1544">
        <v>3157658</v>
      </c>
      <c r="C1544" t="s">
        <v>58</v>
      </c>
      <c r="D1544">
        <v>2019</v>
      </c>
      <c r="E1544">
        <v>6</v>
      </c>
      <c r="F1544">
        <v>67</v>
      </c>
      <c r="G1544" t="s">
        <v>13</v>
      </c>
      <c r="H1544" t="s">
        <v>11</v>
      </c>
      <c r="I1544" s="1" t="s">
        <v>14</v>
      </c>
      <c r="J1544">
        <v>0.82330000000000003</v>
      </c>
    </row>
    <row r="1545" spans="1:10" hidden="1" x14ac:dyDescent="0.35">
      <c r="A1545" t="str">
        <f t="shared" si="24"/>
        <v>Santa Helena de Minas20191.3</v>
      </c>
      <c r="B1545">
        <v>3157658</v>
      </c>
      <c r="C1545" t="s">
        <v>58</v>
      </c>
      <c r="D1545">
        <v>2019</v>
      </c>
      <c r="E1545">
        <v>6</v>
      </c>
      <c r="F1545">
        <v>68</v>
      </c>
      <c r="G1545" t="s">
        <v>15</v>
      </c>
      <c r="H1545" t="s">
        <v>11</v>
      </c>
      <c r="I1545" s="1" t="s">
        <v>16</v>
      </c>
      <c r="J1545">
        <v>0.1767</v>
      </c>
    </row>
    <row r="1546" spans="1:10" hidden="1" x14ac:dyDescent="0.35">
      <c r="A1546" t="str">
        <f t="shared" si="24"/>
        <v>Santa Helena de Minas20192.1</v>
      </c>
      <c r="B1546">
        <v>3157658</v>
      </c>
      <c r="C1546" t="s">
        <v>58</v>
      </c>
      <c r="D1546">
        <v>2019</v>
      </c>
      <c r="E1546">
        <v>6</v>
      </c>
      <c r="F1546">
        <v>28</v>
      </c>
      <c r="G1546" t="s">
        <v>17</v>
      </c>
      <c r="H1546" t="s">
        <v>18</v>
      </c>
      <c r="I1546" s="1" t="s">
        <v>19</v>
      </c>
    </row>
    <row r="1547" spans="1:10" hidden="1" x14ac:dyDescent="0.35">
      <c r="A1547" t="str">
        <f t="shared" si="24"/>
        <v>Santa Helena de Minas20192.2</v>
      </c>
      <c r="B1547">
        <v>3157658</v>
      </c>
      <c r="C1547" t="s">
        <v>58</v>
      </c>
      <c r="D1547">
        <v>2019</v>
      </c>
      <c r="E1547">
        <v>6</v>
      </c>
      <c r="F1547">
        <v>29</v>
      </c>
      <c r="G1547" t="s">
        <v>20</v>
      </c>
      <c r="H1547" t="s">
        <v>18</v>
      </c>
      <c r="I1547" s="1" t="s">
        <v>21</v>
      </c>
      <c r="J1547">
        <v>1</v>
      </c>
    </row>
    <row r="1548" spans="1:10" hidden="1" x14ac:dyDescent="0.35">
      <c r="A1548" t="str">
        <f t="shared" si="24"/>
        <v>Santa Helena de Minas20192.4</v>
      </c>
      <c r="B1548">
        <v>3157658</v>
      </c>
      <c r="C1548" t="s">
        <v>58</v>
      </c>
      <c r="D1548">
        <v>2019</v>
      </c>
      <c r="E1548">
        <v>6</v>
      </c>
      <c r="F1548">
        <v>31</v>
      </c>
      <c r="G1548" t="s">
        <v>22</v>
      </c>
      <c r="H1548" t="s">
        <v>18</v>
      </c>
      <c r="I1548" s="1" t="s">
        <v>23</v>
      </c>
      <c r="J1548">
        <v>7.4499999999999997E-2</v>
      </c>
    </row>
    <row r="1549" spans="1:10" hidden="1" x14ac:dyDescent="0.35">
      <c r="A1549" t="str">
        <f t="shared" si="24"/>
        <v>Santa Helena de Minas20192.5</v>
      </c>
      <c r="B1549">
        <v>3157658</v>
      </c>
      <c r="C1549" t="s">
        <v>58</v>
      </c>
      <c r="D1549">
        <v>2019</v>
      </c>
      <c r="E1549">
        <v>6</v>
      </c>
      <c r="F1549">
        <v>32</v>
      </c>
      <c r="G1549" t="s">
        <v>24</v>
      </c>
      <c r="H1549" t="s">
        <v>18</v>
      </c>
      <c r="I1549" s="1" t="s">
        <v>25</v>
      </c>
      <c r="J1549">
        <v>0.76029999999999998</v>
      </c>
    </row>
    <row r="1550" spans="1:10" hidden="1" x14ac:dyDescent="0.35">
      <c r="A1550" t="str">
        <f t="shared" si="24"/>
        <v>Santa Helena de Minas20192.8</v>
      </c>
      <c r="B1550">
        <v>3157658</v>
      </c>
      <c r="C1550" t="s">
        <v>58</v>
      </c>
      <c r="D1550">
        <v>2019</v>
      </c>
      <c r="E1550">
        <v>6</v>
      </c>
      <c r="F1550">
        <v>35</v>
      </c>
      <c r="G1550" t="s">
        <v>26</v>
      </c>
      <c r="H1550" t="s">
        <v>18</v>
      </c>
      <c r="I1550" s="1" t="s">
        <v>27</v>
      </c>
      <c r="J1550">
        <v>0.25240000000000001</v>
      </c>
    </row>
    <row r="1551" spans="1:10" hidden="1" x14ac:dyDescent="0.35">
      <c r="A1551" t="str">
        <f t="shared" si="24"/>
        <v>Santa Helena de Minas20194.1</v>
      </c>
      <c r="B1551">
        <v>3157658</v>
      </c>
      <c r="C1551" t="s">
        <v>58</v>
      </c>
      <c r="D1551">
        <v>2019</v>
      </c>
      <c r="E1551">
        <v>6</v>
      </c>
      <c r="F1551">
        <v>44</v>
      </c>
      <c r="G1551" t="s">
        <v>28</v>
      </c>
      <c r="H1551" t="s">
        <v>29</v>
      </c>
      <c r="I1551" s="1" t="s">
        <v>30</v>
      </c>
      <c r="J1551">
        <v>2400</v>
      </c>
    </row>
    <row r="1552" spans="1:10" hidden="1" x14ac:dyDescent="0.35">
      <c r="A1552" t="str">
        <f t="shared" si="24"/>
        <v>Santa Helena de Minas20194.10</v>
      </c>
      <c r="B1552">
        <v>3157658</v>
      </c>
      <c r="C1552" t="s">
        <v>58</v>
      </c>
      <c r="D1552">
        <v>2019</v>
      </c>
      <c r="E1552">
        <v>6</v>
      </c>
      <c r="F1552">
        <v>58</v>
      </c>
      <c r="G1552" t="s">
        <v>31</v>
      </c>
      <c r="H1552" t="s">
        <v>29</v>
      </c>
      <c r="I1552" s="1" t="s">
        <v>32</v>
      </c>
      <c r="J1552">
        <v>7120.75</v>
      </c>
    </row>
    <row r="1553" spans="1:10" hidden="1" x14ac:dyDescent="0.35">
      <c r="A1553" t="str">
        <f t="shared" si="24"/>
        <v>Santa Helena de Minas20194.11</v>
      </c>
      <c r="B1553">
        <v>3157658</v>
      </c>
      <c r="C1553" t="s">
        <v>58</v>
      </c>
      <c r="D1553">
        <v>2019</v>
      </c>
      <c r="E1553">
        <v>6</v>
      </c>
      <c r="F1553">
        <v>59</v>
      </c>
      <c r="G1553" t="s">
        <v>33</v>
      </c>
      <c r="H1553" t="s">
        <v>29</v>
      </c>
      <c r="I1553" s="1" t="s">
        <v>34</v>
      </c>
    </row>
    <row r="1554" spans="1:10" hidden="1" x14ac:dyDescent="0.35">
      <c r="A1554" t="str">
        <f t="shared" si="24"/>
        <v>Santa Helena de Minas20194.2</v>
      </c>
      <c r="B1554">
        <v>3157658</v>
      </c>
      <c r="C1554" t="s">
        <v>58</v>
      </c>
      <c r="D1554">
        <v>2019</v>
      </c>
      <c r="E1554">
        <v>6</v>
      </c>
      <c r="F1554">
        <v>45</v>
      </c>
      <c r="G1554" t="s">
        <v>35</v>
      </c>
      <c r="H1554" t="s">
        <v>29</v>
      </c>
      <c r="I1554" s="1" t="s">
        <v>36</v>
      </c>
      <c r="J1554">
        <v>10002.42</v>
      </c>
    </row>
    <row r="1555" spans="1:10" hidden="1" x14ac:dyDescent="0.35">
      <c r="A1555" t="str">
        <f t="shared" si="24"/>
        <v>Santa Helena de Minas20194.8</v>
      </c>
      <c r="B1555">
        <v>3157658</v>
      </c>
      <c r="C1555" t="s">
        <v>58</v>
      </c>
      <c r="D1555">
        <v>2019</v>
      </c>
      <c r="E1555">
        <v>6</v>
      </c>
      <c r="F1555">
        <v>56</v>
      </c>
      <c r="G1555" t="s">
        <v>37</v>
      </c>
      <c r="H1555" t="s">
        <v>29</v>
      </c>
      <c r="I1555" s="1" t="s">
        <v>38</v>
      </c>
      <c r="J1555">
        <v>7797.54</v>
      </c>
    </row>
    <row r="1556" spans="1:10" hidden="1" x14ac:dyDescent="0.35">
      <c r="A1556" t="str">
        <f t="shared" si="24"/>
        <v>Santa Helena de Minas20194.9</v>
      </c>
      <c r="B1556">
        <v>3157658</v>
      </c>
      <c r="C1556" t="s">
        <v>58</v>
      </c>
      <c r="D1556">
        <v>2019</v>
      </c>
      <c r="E1556">
        <v>6</v>
      </c>
      <c r="F1556">
        <v>57</v>
      </c>
      <c r="G1556" t="s">
        <v>39</v>
      </c>
      <c r="H1556" t="s">
        <v>29</v>
      </c>
      <c r="I1556" s="1" t="s">
        <v>40</v>
      </c>
      <c r="J1556">
        <v>7797.54</v>
      </c>
    </row>
    <row r="1557" spans="1:10" hidden="1" x14ac:dyDescent="0.35">
      <c r="A1557" t="str">
        <f t="shared" si="24"/>
        <v>Serra dos Aimorés20191.1</v>
      </c>
      <c r="B1557">
        <v>3166709</v>
      </c>
      <c r="C1557" t="s">
        <v>59</v>
      </c>
      <c r="D1557">
        <v>2019</v>
      </c>
      <c r="E1557">
        <v>6</v>
      </c>
      <c r="F1557">
        <v>24</v>
      </c>
      <c r="G1557" t="s">
        <v>10</v>
      </c>
      <c r="H1557" t="s">
        <v>11</v>
      </c>
      <c r="I1557" s="1" t="s">
        <v>12</v>
      </c>
      <c r="J1557">
        <v>0.27600000000000002</v>
      </c>
    </row>
    <row r="1558" spans="1:10" hidden="1" x14ac:dyDescent="0.35">
      <c r="A1558" t="str">
        <f t="shared" si="24"/>
        <v>Serra dos Aimorés20191.2</v>
      </c>
      <c r="B1558">
        <v>3166709</v>
      </c>
      <c r="C1558" t="s">
        <v>59</v>
      </c>
      <c r="D1558">
        <v>2019</v>
      </c>
      <c r="E1558">
        <v>6</v>
      </c>
      <c r="F1558">
        <v>67</v>
      </c>
      <c r="G1558" t="s">
        <v>13</v>
      </c>
      <c r="H1558" t="s">
        <v>11</v>
      </c>
      <c r="I1558" s="1" t="s">
        <v>14</v>
      </c>
      <c r="J1558">
        <v>0.87760000000000005</v>
      </c>
    </row>
    <row r="1559" spans="1:10" hidden="1" x14ac:dyDescent="0.35">
      <c r="A1559" t="str">
        <f t="shared" si="24"/>
        <v>Serra dos Aimorés20191.3</v>
      </c>
      <c r="B1559">
        <v>3166709</v>
      </c>
      <c r="C1559" t="s">
        <v>59</v>
      </c>
      <c r="D1559">
        <v>2019</v>
      </c>
      <c r="E1559">
        <v>6</v>
      </c>
      <c r="F1559">
        <v>68</v>
      </c>
      <c r="G1559" t="s">
        <v>15</v>
      </c>
      <c r="H1559" t="s">
        <v>11</v>
      </c>
      <c r="I1559" s="1" t="s">
        <v>16</v>
      </c>
      <c r="J1559">
        <v>0.1158</v>
      </c>
    </row>
    <row r="1560" spans="1:10" hidden="1" x14ac:dyDescent="0.35">
      <c r="A1560" t="str">
        <f t="shared" si="24"/>
        <v>Serra dos Aimorés20192.1</v>
      </c>
      <c r="B1560">
        <v>3166709</v>
      </c>
      <c r="C1560" t="s">
        <v>59</v>
      </c>
      <c r="D1560">
        <v>2019</v>
      </c>
      <c r="E1560">
        <v>6</v>
      </c>
      <c r="F1560">
        <v>28</v>
      </c>
      <c r="G1560" t="s">
        <v>17</v>
      </c>
      <c r="H1560" t="s">
        <v>18</v>
      </c>
      <c r="I1560" s="1" t="s">
        <v>19</v>
      </c>
    </row>
    <row r="1561" spans="1:10" hidden="1" x14ac:dyDescent="0.35">
      <c r="A1561" t="str">
        <f t="shared" si="24"/>
        <v>Serra dos Aimorés20192.2</v>
      </c>
      <c r="B1561">
        <v>3166709</v>
      </c>
      <c r="C1561" t="s">
        <v>59</v>
      </c>
      <c r="D1561">
        <v>2019</v>
      </c>
      <c r="E1561">
        <v>6</v>
      </c>
      <c r="F1561">
        <v>29</v>
      </c>
      <c r="G1561" t="s">
        <v>20</v>
      </c>
      <c r="H1561" t="s">
        <v>18</v>
      </c>
      <c r="I1561" s="1" t="s">
        <v>21</v>
      </c>
      <c r="J1561">
        <v>0.66979999999999995</v>
      </c>
    </row>
    <row r="1562" spans="1:10" hidden="1" x14ac:dyDescent="0.35">
      <c r="A1562" t="str">
        <f t="shared" si="24"/>
        <v>Serra dos Aimorés20192.4</v>
      </c>
      <c r="B1562">
        <v>3166709</v>
      </c>
      <c r="C1562" t="s">
        <v>59</v>
      </c>
      <c r="D1562">
        <v>2019</v>
      </c>
      <c r="E1562">
        <v>6</v>
      </c>
      <c r="F1562">
        <v>31</v>
      </c>
      <c r="G1562" t="s">
        <v>22</v>
      </c>
      <c r="H1562" t="s">
        <v>18</v>
      </c>
      <c r="I1562" s="1" t="s">
        <v>23</v>
      </c>
      <c r="J1562">
        <v>0.27750000000000002</v>
      </c>
    </row>
    <row r="1563" spans="1:10" hidden="1" x14ac:dyDescent="0.35">
      <c r="A1563" t="str">
        <f t="shared" si="24"/>
        <v>Serra dos Aimorés20192.5</v>
      </c>
      <c r="B1563">
        <v>3166709</v>
      </c>
      <c r="C1563" t="s">
        <v>59</v>
      </c>
      <c r="D1563">
        <v>2019</v>
      </c>
      <c r="E1563">
        <v>6</v>
      </c>
      <c r="F1563">
        <v>32</v>
      </c>
      <c r="G1563" t="s">
        <v>24</v>
      </c>
      <c r="H1563" t="s">
        <v>18</v>
      </c>
      <c r="I1563" s="1" t="s">
        <v>25</v>
      </c>
      <c r="J1563">
        <v>0.55310000000000004</v>
      </c>
    </row>
    <row r="1564" spans="1:10" hidden="1" x14ac:dyDescent="0.35">
      <c r="A1564" t="str">
        <f t="shared" si="24"/>
        <v>Serra dos Aimorés20192.8</v>
      </c>
      <c r="B1564">
        <v>3166709</v>
      </c>
      <c r="C1564" t="s">
        <v>59</v>
      </c>
      <c r="D1564">
        <v>2019</v>
      </c>
      <c r="E1564">
        <v>6</v>
      </c>
      <c r="F1564">
        <v>35</v>
      </c>
      <c r="G1564" t="s">
        <v>26</v>
      </c>
      <c r="H1564" t="s">
        <v>18</v>
      </c>
      <c r="I1564" s="1" t="s">
        <v>27</v>
      </c>
      <c r="J1564">
        <v>0.28249999999999997</v>
      </c>
    </row>
    <row r="1565" spans="1:10" hidden="1" x14ac:dyDescent="0.35">
      <c r="A1565" t="str">
        <f t="shared" si="24"/>
        <v>Serra dos Aimorés20194.1</v>
      </c>
      <c r="B1565">
        <v>3166709</v>
      </c>
      <c r="C1565" t="s">
        <v>59</v>
      </c>
      <c r="D1565">
        <v>2019</v>
      </c>
      <c r="E1565">
        <v>6</v>
      </c>
      <c r="F1565">
        <v>44</v>
      </c>
      <c r="G1565" t="s">
        <v>28</v>
      </c>
      <c r="H1565" t="s">
        <v>29</v>
      </c>
      <c r="I1565" s="1" t="s">
        <v>30</v>
      </c>
      <c r="J1565">
        <v>5163.5200000000004</v>
      </c>
    </row>
    <row r="1566" spans="1:10" hidden="1" x14ac:dyDescent="0.35">
      <c r="A1566" t="str">
        <f t="shared" si="24"/>
        <v>Serra dos Aimorés20194.10</v>
      </c>
      <c r="B1566">
        <v>3166709</v>
      </c>
      <c r="C1566" t="s">
        <v>59</v>
      </c>
      <c r="D1566">
        <v>2019</v>
      </c>
      <c r="E1566">
        <v>6</v>
      </c>
      <c r="F1566">
        <v>58</v>
      </c>
      <c r="G1566" t="s">
        <v>31</v>
      </c>
      <c r="H1566" t="s">
        <v>29</v>
      </c>
      <c r="I1566" s="1" t="s">
        <v>32</v>
      </c>
      <c r="J1566">
        <v>3995.68</v>
      </c>
    </row>
    <row r="1567" spans="1:10" hidden="1" x14ac:dyDescent="0.35">
      <c r="A1567" t="str">
        <f t="shared" si="24"/>
        <v>Serra dos Aimorés20194.11</v>
      </c>
      <c r="B1567">
        <v>3166709</v>
      </c>
      <c r="C1567" t="s">
        <v>59</v>
      </c>
      <c r="D1567">
        <v>2019</v>
      </c>
      <c r="E1567">
        <v>6</v>
      </c>
      <c r="F1567">
        <v>59</v>
      </c>
      <c r="G1567" t="s">
        <v>33</v>
      </c>
      <c r="H1567" t="s">
        <v>29</v>
      </c>
      <c r="I1567" s="1" t="s">
        <v>34</v>
      </c>
      <c r="J1567">
        <v>1308.17</v>
      </c>
    </row>
    <row r="1568" spans="1:10" hidden="1" x14ac:dyDescent="0.35">
      <c r="A1568" t="str">
        <f t="shared" si="24"/>
        <v>Serra dos Aimorés20194.2</v>
      </c>
      <c r="B1568">
        <v>3166709</v>
      </c>
      <c r="C1568" t="s">
        <v>59</v>
      </c>
      <c r="D1568">
        <v>2019</v>
      </c>
      <c r="E1568">
        <v>6</v>
      </c>
      <c r="F1568">
        <v>45</v>
      </c>
      <c r="G1568" t="s">
        <v>35</v>
      </c>
      <c r="H1568" t="s">
        <v>29</v>
      </c>
      <c r="I1568" s="1" t="s">
        <v>36</v>
      </c>
      <c r="J1568">
        <v>6253.37</v>
      </c>
    </row>
    <row r="1569" spans="1:10" hidden="1" x14ac:dyDescent="0.35">
      <c r="A1569" t="str">
        <f t="shared" si="24"/>
        <v>Serra dos Aimorés20194.8</v>
      </c>
      <c r="B1569">
        <v>3166709</v>
      </c>
      <c r="C1569" t="s">
        <v>59</v>
      </c>
      <c r="D1569">
        <v>2019</v>
      </c>
      <c r="E1569">
        <v>6</v>
      </c>
      <c r="F1569">
        <v>56</v>
      </c>
      <c r="G1569" t="s">
        <v>37</v>
      </c>
      <c r="H1569" t="s">
        <v>29</v>
      </c>
      <c r="I1569" s="1" t="s">
        <v>38</v>
      </c>
      <c r="J1569">
        <v>5806.72</v>
      </c>
    </row>
    <row r="1570" spans="1:10" hidden="1" x14ac:dyDescent="0.35">
      <c r="A1570" t="str">
        <f t="shared" si="24"/>
        <v>Serra dos Aimorés20194.9</v>
      </c>
      <c r="B1570">
        <v>3166709</v>
      </c>
      <c r="C1570" t="s">
        <v>59</v>
      </c>
      <c r="D1570">
        <v>2019</v>
      </c>
      <c r="E1570">
        <v>6</v>
      </c>
      <c r="F1570">
        <v>57</v>
      </c>
      <c r="G1570" t="s">
        <v>39</v>
      </c>
      <c r="H1570" t="s">
        <v>29</v>
      </c>
      <c r="I1570" s="1" t="s">
        <v>40</v>
      </c>
      <c r="J1570">
        <v>5806.72</v>
      </c>
    </row>
    <row r="1571" spans="1:10" hidden="1" x14ac:dyDescent="0.35">
      <c r="A1571" t="str">
        <f t="shared" si="24"/>
        <v>Setubinha20191.1</v>
      </c>
      <c r="B1571">
        <v>3165552</v>
      </c>
      <c r="C1571" t="s">
        <v>60</v>
      </c>
      <c r="D1571">
        <v>2019</v>
      </c>
      <c r="E1571">
        <v>6</v>
      </c>
      <c r="F1571">
        <v>24</v>
      </c>
      <c r="G1571" t="s">
        <v>10</v>
      </c>
      <c r="H1571" t="s">
        <v>11</v>
      </c>
      <c r="I1571" s="1" t="s">
        <v>12</v>
      </c>
      <c r="J1571">
        <v>0.28270000000000001</v>
      </c>
    </row>
    <row r="1572" spans="1:10" hidden="1" x14ac:dyDescent="0.35">
      <c r="A1572" t="str">
        <f t="shared" si="24"/>
        <v>Setubinha20191.2</v>
      </c>
      <c r="B1572">
        <v>3165552</v>
      </c>
      <c r="C1572" t="s">
        <v>60</v>
      </c>
      <c r="D1572">
        <v>2019</v>
      </c>
      <c r="E1572">
        <v>6</v>
      </c>
      <c r="F1572">
        <v>67</v>
      </c>
      <c r="G1572" t="s">
        <v>13</v>
      </c>
      <c r="H1572" t="s">
        <v>11</v>
      </c>
      <c r="I1572" s="1" t="s">
        <v>14</v>
      </c>
      <c r="J1572">
        <v>0.60409999999999997</v>
      </c>
    </row>
    <row r="1573" spans="1:10" hidden="1" x14ac:dyDescent="0.35">
      <c r="A1573" t="str">
        <f t="shared" si="24"/>
        <v>Setubinha20191.3</v>
      </c>
      <c r="B1573">
        <v>3165552</v>
      </c>
      <c r="C1573" t="s">
        <v>60</v>
      </c>
      <c r="D1573">
        <v>2019</v>
      </c>
      <c r="E1573">
        <v>6</v>
      </c>
      <c r="F1573">
        <v>68</v>
      </c>
      <c r="G1573" t="s">
        <v>15</v>
      </c>
      <c r="H1573" t="s">
        <v>11</v>
      </c>
      <c r="I1573" s="1" t="s">
        <v>16</v>
      </c>
      <c r="J1573">
        <v>0.39589999999999997</v>
      </c>
    </row>
    <row r="1574" spans="1:10" hidden="1" x14ac:dyDescent="0.35">
      <c r="A1574" t="str">
        <f t="shared" si="24"/>
        <v>Setubinha20192.1</v>
      </c>
      <c r="B1574">
        <v>3165552</v>
      </c>
      <c r="C1574" t="s">
        <v>60</v>
      </c>
      <c r="D1574">
        <v>2019</v>
      </c>
      <c r="E1574">
        <v>6</v>
      </c>
      <c r="F1574">
        <v>28</v>
      </c>
      <c r="G1574" t="s">
        <v>17</v>
      </c>
      <c r="H1574" t="s">
        <v>18</v>
      </c>
      <c r="I1574" s="1" t="s">
        <v>19</v>
      </c>
    </row>
    <row r="1575" spans="1:10" hidden="1" x14ac:dyDescent="0.35">
      <c r="A1575" t="str">
        <f t="shared" si="24"/>
        <v>Setubinha20192.2</v>
      </c>
      <c r="B1575">
        <v>3165552</v>
      </c>
      <c r="C1575" t="s">
        <v>60</v>
      </c>
      <c r="D1575">
        <v>2019</v>
      </c>
      <c r="E1575">
        <v>6</v>
      </c>
      <c r="F1575">
        <v>29</v>
      </c>
      <c r="G1575" t="s">
        <v>20</v>
      </c>
      <c r="H1575" t="s">
        <v>18</v>
      </c>
      <c r="I1575" s="1" t="s">
        <v>21</v>
      </c>
      <c r="J1575">
        <v>0.82199999999999995</v>
      </c>
    </row>
    <row r="1576" spans="1:10" hidden="1" x14ac:dyDescent="0.35">
      <c r="A1576" t="str">
        <f t="shared" si="24"/>
        <v>Setubinha20192.4</v>
      </c>
      <c r="B1576">
        <v>3165552</v>
      </c>
      <c r="C1576" t="s">
        <v>60</v>
      </c>
      <c r="D1576">
        <v>2019</v>
      </c>
      <c r="E1576">
        <v>6</v>
      </c>
      <c r="F1576">
        <v>31</v>
      </c>
      <c r="G1576" t="s">
        <v>22</v>
      </c>
      <c r="H1576" t="s">
        <v>18</v>
      </c>
      <c r="I1576" s="1" t="s">
        <v>23</v>
      </c>
      <c r="J1576">
        <v>0.1019</v>
      </c>
    </row>
    <row r="1577" spans="1:10" hidden="1" x14ac:dyDescent="0.35">
      <c r="A1577" t="str">
        <f t="shared" si="24"/>
        <v>Setubinha20192.5</v>
      </c>
      <c r="B1577">
        <v>3165552</v>
      </c>
      <c r="C1577" t="s">
        <v>60</v>
      </c>
      <c r="D1577">
        <v>2019</v>
      </c>
      <c r="E1577">
        <v>6</v>
      </c>
      <c r="F1577">
        <v>32</v>
      </c>
      <c r="G1577" t="s">
        <v>24</v>
      </c>
      <c r="H1577" t="s">
        <v>18</v>
      </c>
      <c r="I1577" s="1" t="s">
        <v>25</v>
      </c>
      <c r="J1577">
        <v>0.47889999999999999</v>
      </c>
    </row>
    <row r="1578" spans="1:10" hidden="1" x14ac:dyDescent="0.35">
      <c r="A1578" t="str">
        <f t="shared" si="24"/>
        <v>Setubinha20192.8</v>
      </c>
      <c r="B1578">
        <v>3165552</v>
      </c>
      <c r="C1578" t="s">
        <v>60</v>
      </c>
      <c r="D1578">
        <v>2019</v>
      </c>
      <c r="E1578">
        <v>6</v>
      </c>
      <c r="F1578">
        <v>35</v>
      </c>
      <c r="G1578" t="s">
        <v>26</v>
      </c>
      <c r="H1578" t="s">
        <v>18</v>
      </c>
      <c r="I1578" s="1" t="s">
        <v>27</v>
      </c>
      <c r="J1578">
        <v>0.3085</v>
      </c>
    </row>
    <row r="1579" spans="1:10" hidden="1" x14ac:dyDescent="0.35">
      <c r="A1579" t="str">
        <f t="shared" si="24"/>
        <v>Setubinha20194.1</v>
      </c>
      <c r="B1579">
        <v>3165552</v>
      </c>
      <c r="C1579" t="s">
        <v>60</v>
      </c>
      <c r="D1579">
        <v>2019</v>
      </c>
      <c r="E1579">
        <v>6</v>
      </c>
      <c r="F1579">
        <v>44</v>
      </c>
      <c r="G1579" t="s">
        <v>28</v>
      </c>
      <c r="H1579" t="s">
        <v>29</v>
      </c>
      <c r="I1579" s="1" t="s">
        <v>30</v>
      </c>
      <c r="J1579">
        <v>2502.64</v>
      </c>
    </row>
    <row r="1580" spans="1:10" hidden="1" x14ac:dyDescent="0.35">
      <c r="A1580" t="str">
        <f t="shared" si="24"/>
        <v>Setubinha20194.10</v>
      </c>
      <c r="B1580">
        <v>3165552</v>
      </c>
      <c r="C1580" t="s">
        <v>60</v>
      </c>
      <c r="D1580">
        <v>2019</v>
      </c>
      <c r="E1580">
        <v>6</v>
      </c>
      <c r="F1580">
        <v>58</v>
      </c>
      <c r="G1580" t="s">
        <v>31</v>
      </c>
      <c r="H1580" t="s">
        <v>29</v>
      </c>
      <c r="I1580" s="1" t="s">
        <v>32</v>
      </c>
      <c r="J1580">
        <v>2907.55</v>
      </c>
    </row>
    <row r="1581" spans="1:10" hidden="1" x14ac:dyDescent="0.35">
      <c r="A1581" t="str">
        <f t="shared" si="24"/>
        <v>Setubinha20194.11</v>
      </c>
      <c r="B1581">
        <v>3165552</v>
      </c>
      <c r="C1581" t="s">
        <v>60</v>
      </c>
      <c r="D1581">
        <v>2019</v>
      </c>
      <c r="E1581">
        <v>6</v>
      </c>
      <c r="F1581">
        <v>59</v>
      </c>
      <c r="G1581" t="s">
        <v>33</v>
      </c>
      <c r="H1581" t="s">
        <v>29</v>
      </c>
      <c r="I1581" s="1" t="s">
        <v>34</v>
      </c>
      <c r="J1581">
        <v>1750.86</v>
      </c>
    </row>
    <row r="1582" spans="1:10" hidden="1" x14ac:dyDescent="0.35">
      <c r="A1582" t="str">
        <f t="shared" si="24"/>
        <v>Setubinha20194.2</v>
      </c>
      <c r="B1582">
        <v>3165552</v>
      </c>
      <c r="C1582" t="s">
        <v>60</v>
      </c>
      <c r="D1582">
        <v>2019</v>
      </c>
      <c r="E1582">
        <v>6</v>
      </c>
      <c r="F1582">
        <v>45</v>
      </c>
      <c r="G1582" t="s">
        <v>35</v>
      </c>
      <c r="H1582" t="s">
        <v>29</v>
      </c>
      <c r="I1582" s="1" t="s">
        <v>36</v>
      </c>
      <c r="J1582">
        <v>9958.2000000000007</v>
      </c>
    </row>
    <row r="1583" spans="1:10" hidden="1" x14ac:dyDescent="0.35">
      <c r="A1583" t="str">
        <f t="shared" si="24"/>
        <v>Setubinha20194.8</v>
      </c>
      <c r="B1583">
        <v>3165552</v>
      </c>
      <c r="C1583" t="s">
        <v>60</v>
      </c>
      <c r="D1583">
        <v>2019</v>
      </c>
      <c r="E1583">
        <v>6</v>
      </c>
      <c r="F1583">
        <v>56</v>
      </c>
      <c r="G1583" t="s">
        <v>37</v>
      </c>
      <c r="H1583" t="s">
        <v>29</v>
      </c>
      <c r="I1583" s="1" t="s">
        <v>38</v>
      </c>
      <c r="J1583">
        <v>6308.22</v>
      </c>
    </row>
    <row r="1584" spans="1:10" hidden="1" x14ac:dyDescent="0.35">
      <c r="A1584" t="str">
        <f t="shared" si="24"/>
        <v>Setubinha20194.9</v>
      </c>
      <c r="B1584">
        <v>3165552</v>
      </c>
      <c r="C1584" t="s">
        <v>60</v>
      </c>
      <c r="D1584">
        <v>2019</v>
      </c>
      <c r="E1584">
        <v>6</v>
      </c>
      <c r="F1584">
        <v>57</v>
      </c>
      <c r="G1584" t="s">
        <v>39</v>
      </c>
      <c r="H1584" t="s">
        <v>29</v>
      </c>
      <c r="I1584" s="1" t="s">
        <v>40</v>
      </c>
      <c r="J1584">
        <v>6308.22</v>
      </c>
    </row>
    <row r="1585" spans="1:10" hidden="1" x14ac:dyDescent="0.35">
      <c r="A1585" t="str">
        <f t="shared" si="24"/>
        <v>Teófilo Otoni20191.1</v>
      </c>
      <c r="B1585">
        <v>3168606</v>
      </c>
      <c r="C1585" t="s">
        <v>61</v>
      </c>
      <c r="D1585">
        <v>2019</v>
      </c>
      <c r="E1585">
        <v>6</v>
      </c>
      <c r="F1585">
        <v>24</v>
      </c>
      <c r="G1585" t="s">
        <v>10</v>
      </c>
      <c r="H1585" t="s">
        <v>11</v>
      </c>
      <c r="I1585" s="1" t="s">
        <v>12</v>
      </c>
      <c r="J1585">
        <v>0.2616</v>
      </c>
    </row>
    <row r="1586" spans="1:10" hidden="1" x14ac:dyDescent="0.35">
      <c r="A1586" t="str">
        <f t="shared" si="24"/>
        <v>Teófilo Otoni20191.2</v>
      </c>
      <c r="B1586">
        <v>3168606</v>
      </c>
      <c r="C1586" t="s">
        <v>61</v>
      </c>
      <c r="D1586">
        <v>2019</v>
      </c>
      <c r="E1586">
        <v>6</v>
      </c>
      <c r="F1586">
        <v>67</v>
      </c>
      <c r="G1586" t="s">
        <v>13</v>
      </c>
      <c r="H1586" t="s">
        <v>11</v>
      </c>
      <c r="I1586" s="1" t="s">
        <v>14</v>
      </c>
      <c r="J1586">
        <v>0.75460000000000005</v>
      </c>
    </row>
    <row r="1587" spans="1:10" hidden="1" x14ac:dyDescent="0.35">
      <c r="A1587" t="str">
        <f t="shared" si="24"/>
        <v>Teófilo Otoni20191.3</v>
      </c>
      <c r="B1587">
        <v>3168606</v>
      </c>
      <c r="C1587" t="s">
        <v>61</v>
      </c>
      <c r="D1587">
        <v>2019</v>
      </c>
      <c r="E1587">
        <v>6</v>
      </c>
      <c r="F1587">
        <v>68</v>
      </c>
      <c r="G1587" t="s">
        <v>15</v>
      </c>
      <c r="H1587" t="s">
        <v>11</v>
      </c>
      <c r="I1587" s="1" t="s">
        <v>16</v>
      </c>
      <c r="J1587">
        <v>0.24540000000000001</v>
      </c>
    </row>
    <row r="1588" spans="1:10" hidden="1" x14ac:dyDescent="0.35">
      <c r="A1588" t="str">
        <f t="shared" si="24"/>
        <v>Teófilo Otoni20192.1</v>
      </c>
      <c r="B1588">
        <v>3168606</v>
      </c>
      <c r="C1588" t="s">
        <v>61</v>
      </c>
      <c r="D1588">
        <v>2019</v>
      </c>
      <c r="E1588">
        <v>6</v>
      </c>
      <c r="F1588">
        <v>28</v>
      </c>
      <c r="G1588" t="s">
        <v>17</v>
      </c>
      <c r="H1588" t="s">
        <v>18</v>
      </c>
      <c r="I1588" s="1" t="s">
        <v>19</v>
      </c>
    </row>
    <row r="1589" spans="1:10" hidden="1" x14ac:dyDescent="0.35">
      <c r="A1589" t="str">
        <f t="shared" si="24"/>
        <v>Teófilo Otoni20192.2</v>
      </c>
      <c r="B1589">
        <v>3168606</v>
      </c>
      <c r="C1589" t="s">
        <v>61</v>
      </c>
      <c r="D1589">
        <v>2019</v>
      </c>
      <c r="E1589">
        <v>6</v>
      </c>
      <c r="F1589">
        <v>29</v>
      </c>
      <c r="G1589" t="s">
        <v>20</v>
      </c>
      <c r="H1589" t="s">
        <v>18</v>
      </c>
      <c r="I1589" s="1" t="s">
        <v>21</v>
      </c>
      <c r="J1589">
        <v>0.71819999999999995</v>
      </c>
    </row>
    <row r="1590" spans="1:10" hidden="1" x14ac:dyDescent="0.35">
      <c r="A1590" t="str">
        <f t="shared" si="24"/>
        <v>Teófilo Otoni20192.4</v>
      </c>
      <c r="B1590">
        <v>3168606</v>
      </c>
      <c r="C1590" t="s">
        <v>61</v>
      </c>
      <c r="D1590">
        <v>2019</v>
      </c>
      <c r="E1590">
        <v>6</v>
      </c>
      <c r="F1590">
        <v>31</v>
      </c>
      <c r="G1590" t="s">
        <v>22</v>
      </c>
      <c r="H1590" t="s">
        <v>18</v>
      </c>
      <c r="I1590" s="1" t="s">
        <v>23</v>
      </c>
      <c r="J1590">
        <v>0.21340000000000001</v>
      </c>
    </row>
    <row r="1591" spans="1:10" hidden="1" x14ac:dyDescent="0.35">
      <c r="A1591" t="str">
        <f t="shared" si="24"/>
        <v>Teófilo Otoni20192.5</v>
      </c>
      <c r="B1591">
        <v>3168606</v>
      </c>
      <c r="C1591" t="s">
        <v>61</v>
      </c>
      <c r="D1591">
        <v>2019</v>
      </c>
      <c r="E1591">
        <v>6</v>
      </c>
      <c r="F1591">
        <v>32</v>
      </c>
      <c r="G1591" t="s">
        <v>24</v>
      </c>
      <c r="H1591" t="s">
        <v>18</v>
      </c>
      <c r="I1591" s="1" t="s">
        <v>25</v>
      </c>
      <c r="J1591">
        <v>0.61909999999999998</v>
      </c>
    </row>
    <row r="1592" spans="1:10" hidden="1" x14ac:dyDescent="0.35">
      <c r="A1592" t="str">
        <f t="shared" si="24"/>
        <v>Teófilo Otoni20192.8</v>
      </c>
      <c r="B1592">
        <v>3168606</v>
      </c>
      <c r="C1592" t="s">
        <v>61</v>
      </c>
      <c r="D1592">
        <v>2019</v>
      </c>
      <c r="E1592">
        <v>6</v>
      </c>
      <c r="F1592">
        <v>35</v>
      </c>
      <c r="G1592" t="s">
        <v>26</v>
      </c>
      <c r="H1592" t="s">
        <v>18</v>
      </c>
      <c r="I1592" s="1" t="s">
        <v>27</v>
      </c>
      <c r="J1592">
        <v>0.1898</v>
      </c>
    </row>
    <row r="1593" spans="1:10" hidden="1" x14ac:dyDescent="0.35">
      <c r="A1593" t="str">
        <f t="shared" si="24"/>
        <v>Teófilo Otoni20194.1</v>
      </c>
      <c r="B1593">
        <v>3168606</v>
      </c>
      <c r="C1593" t="s">
        <v>61</v>
      </c>
      <c r="D1593">
        <v>2019</v>
      </c>
      <c r="E1593">
        <v>6</v>
      </c>
      <c r="F1593">
        <v>44</v>
      </c>
      <c r="G1593" t="s">
        <v>28</v>
      </c>
      <c r="H1593" t="s">
        <v>29</v>
      </c>
      <c r="I1593" s="1" t="s">
        <v>30</v>
      </c>
      <c r="J1593">
        <v>3605.36</v>
      </c>
    </row>
    <row r="1594" spans="1:10" hidden="1" x14ac:dyDescent="0.35">
      <c r="A1594" t="str">
        <f t="shared" si="24"/>
        <v>Teófilo Otoni20194.10</v>
      </c>
      <c r="B1594">
        <v>3168606</v>
      </c>
      <c r="C1594" t="s">
        <v>61</v>
      </c>
      <c r="D1594">
        <v>2019</v>
      </c>
      <c r="E1594">
        <v>6</v>
      </c>
      <c r="F1594">
        <v>58</v>
      </c>
      <c r="G1594" t="s">
        <v>31</v>
      </c>
      <c r="H1594" t="s">
        <v>29</v>
      </c>
      <c r="I1594" s="1" t="s">
        <v>32</v>
      </c>
      <c r="J1594">
        <v>3223.29</v>
      </c>
    </row>
    <row r="1595" spans="1:10" hidden="1" x14ac:dyDescent="0.35">
      <c r="A1595" t="str">
        <f t="shared" si="24"/>
        <v>Teófilo Otoni20194.11</v>
      </c>
      <c r="B1595">
        <v>3168606</v>
      </c>
      <c r="C1595" t="s">
        <v>61</v>
      </c>
      <c r="D1595">
        <v>2019</v>
      </c>
      <c r="E1595">
        <v>6</v>
      </c>
      <c r="F1595">
        <v>59</v>
      </c>
      <c r="G1595" t="s">
        <v>33</v>
      </c>
      <c r="H1595" t="s">
        <v>29</v>
      </c>
      <c r="I1595" s="1" t="s">
        <v>34</v>
      </c>
      <c r="J1595">
        <v>1250</v>
      </c>
    </row>
    <row r="1596" spans="1:10" hidden="1" x14ac:dyDescent="0.35">
      <c r="A1596" t="str">
        <f t="shared" si="24"/>
        <v>Teófilo Otoni20194.2</v>
      </c>
      <c r="B1596">
        <v>3168606</v>
      </c>
      <c r="C1596" t="s">
        <v>61</v>
      </c>
      <c r="D1596">
        <v>2019</v>
      </c>
      <c r="E1596">
        <v>6</v>
      </c>
      <c r="F1596">
        <v>45</v>
      </c>
      <c r="G1596" t="s">
        <v>35</v>
      </c>
      <c r="H1596" t="s">
        <v>29</v>
      </c>
      <c r="I1596" s="1" t="s">
        <v>36</v>
      </c>
      <c r="J1596">
        <v>7204.51</v>
      </c>
    </row>
    <row r="1597" spans="1:10" hidden="1" x14ac:dyDescent="0.35">
      <c r="A1597" t="str">
        <f t="shared" si="24"/>
        <v>Teófilo Otoni20194.8</v>
      </c>
      <c r="B1597">
        <v>3168606</v>
      </c>
      <c r="C1597" t="s">
        <v>61</v>
      </c>
      <c r="D1597">
        <v>2019</v>
      </c>
      <c r="E1597">
        <v>6</v>
      </c>
      <c r="F1597">
        <v>56</v>
      </c>
      <c r="G1597" t="s">
        <v>37</v>
      </c>
      <c r="H1597" t="s">
        <v>29</v>
      </c>
      <c r="I1597" s="1" t="s">
        <v>38</v>
      </c>
      <c r="J1597">
        <v>5476.02</v>
      </c>
    </row>
    <row r="1598" spans="1:10" hidden="1" x14ac:dyDescent="0.35">
      <c r="A1598" t="str">
        <f t="shared" si="24"/>
        <v>Teófilo Otoni20194.9</v>
      </c>
      <c r="B1598">
        <v>3168606</v>
      </c>
      <c r="C1598" t="s">
        <v>61</v>
      </c>
      <c r="D1598">
        <v>2019</v>
      </c>
      <c r="E1598">
        <v>6</v>
      </c>
      <c r="F1598">
        <v>57</v>
      </c>
      <c r="G1598" t="s">
        <v>39</v>
      </c>
      <c r="H1598" t="s">
        <v>29</v>
      </c>
      <c r="I1598" s="1" t="s">
        <v>40</v>
      </c>
      <c r="J1598">
        <v>5476.02</v>
      </c>
    </row>
    <row r="1599" spans="1:10" hidden="1" x14ac:dyDescent="0.35">
      <c r="A1599" t="str">
        <f t="shared" si="24"/>
        <v>Umburatiba20191.1</v>
      </c>
      <c r="B1599">
        <v>3170305</v>
      </c>
      <c r="C1599" t="s">
        <v>62</v>
      </c>
      <c r="D1599">
        <v>2019</v>
      </c>
      <c r="E1599">
        <v>6</v>
      </c>
      <c r="F1599">
        <v>24</v>
      </c>
      <c r="G1599" t="s">
        <v>10</v>
      </c>
      <c r="H1599" t="s">
        <v>11</v>
      </c>
      <c r="I1599" s="1" t="s">
        <v>12</v>
      </c>
      <c r="J1599">
        <v>0.26450000000000001</v>
      </c>
    </row>
    <row r="1600" spans="1:10" hidden="1" x14ac:dyDescent="0.35">
      <c r="A1600" t="str">
        <f t="shared" si="24"/>
        <v>Umburatiba20191.2</v>
      </c>
      <c r="B1600">
        <v>3170305</v>
      </c>
      <c r="C1600" t="s">
        <v>62</v>
      </c>
      <c r="D1600">
        <v>2019</v>
      </c>
      <c r="E1600">
        <v>6</v>
      </c>
      <c r="F1600">
        <v>67</v>
      </c>
      <c r="G1600" t="s">
        <v>13</v>
      </c>
      <c r="H1600" t="s">
        <v>11</v>
      </c>
      <c r="I1600" s="1" t="s">
        <v>14</v>
      </c>
      <c r="J1600">
        <v>0.78210000000000002</v>
      </c>
    </row>
    <row r="1601" spans="1:10" hidden="1" x14ac:dyDescent="0.35">
      <c r="A1601" t="str">
        <f t="shared" si="24"/>
        <v>Umburatiba20191.3</v>
      </c>
      <c r="B1601">
        <v>3170305</v>
      </c>
      <c r="C1601" t="s">
        <v>62</v>
      </c>
      <c r="D1601">
        <v>2019</v>
      </c>
      <c r="E1601">
        <v>6</v>
      </c>
      <c r="F1601">
        <v>68</v>
      </c>
      <c r="G1601" t="s">
        <v>15</v>
      </c>
      <c r="H1601" t="s">
        <v>11</v>
      </c>
      <c r="I1601" s="1" t="s">
        <v>16</v>
      </c>
      <c r="J1601">
        <v>0.21790000000000001</v>
      </c>
    </row>
    <row r="1602" spans="1:10" hidden="1" x14ac:dyDescent="0.35">
      <c r="A1602" t="str">
        <f t="shared" si="24"/>
        <v>Umburatiba20192.1</v>
      </c>
      <c r="B1602">
        <v>3170305</v>
      </c>
      <c r="C1602" t="s">
        <v>62</v>
      </c>
      <c r="D1602">
        <v>2019</v>
      </c>
      <c r="E1602">
        <v>6</v>
      </c>
      <c r="F1602">
        <v>28</v>
      </c>
      <c r="G1602" t="s">
        <v>17</v>
      </c>
      <c r="H1602" t="s">
        <v>18</v>
      </c>
      <c r="I1602" s="1" t="s">
        <v>19</v>
      </c>
    </row>
    <row r="1603" spans="1:10" hidden="1" x14ac:dyDescent="0.35">
      <c r="A1603" t="str">
        <f t="shared" si="24"/>
        <v>Umburatiba20192.2</v>
      </c>
      <c r="B1603">
        <v>3170305</v>
      </c>
      <c r="C1603" t="s">
        <v>62</v>
      </c>
      <c r="D1603">
        <v>2019</v>
      </c>
      <c r="E1603">
        <v>6</v>
      </c>
      <c r="F1603">
        <v>29</v>
      </c>
      <c r="G1603" t="s">
        <v>20</v>
      </c>
      <c r="H1603" t="s">
        <v>18</v>
      </c>
      <c r="I1603" s="1" t="s">
        <v>21</v>
      </c>
      <c r="J1603">
        <v>1.0081</v>
      </c>
    </row>
    <row r="1604" spans="1:10" hidden="1" x14ac:dyDescent="0.35">
      <c r="A1604" t="str">
        <f t="shared" ref="A1604:A1667" si="25">C1604&amp;D1604&amp;G1604</f>
        <v>Umburatiba20192.4</v>
      </c>
      <c r="B1604">
        <v>3170305</v>
      </c>
      <c r="C1604" t="s">
        <v>62</v>
      </c>
      <c r="D1604">
        <v>2019</v>
      </c>
      <c r="E1604">
        <v>6</v>
      </c>
      <c r="F1604">
        <v>31</v>
      </c>
      <c r="G1604" t="s">
        <v>22</v>
      </c>
      <c r="H1604" t="s">
        <v>18</v>
      </c>
      <c r="I1604" s="1" t="s">
        <v>23</v>
      </c>
      <c r="J1604">
        <v>5.1999999999999998E-2</v>
      </c>
    </row>
    <row r="1605" spans="1:10" hidden="1" x14ac:dyDescent="0.35">
      <c r="A1605" t="str">
        <f t="shared" si="25"/>
        <v>Umburatiba20192.5</v>
      </c>
      <c r="B1605">
        <v>3170305</v>
      </c>
      <c r="C1605" t="s">
        <v>62</v>
      </c>
      <c r="D1605">
        <v>2019</v>
      </c>
      <c r="E1605">
        <v>6</v>
      </c>
      <c r="F1605">
        <v>32</v>
      </c>
      <c r="G1605" t="s">
        <v>24</v>
      </c>
      <c r="H1605" t="s">
        <v>18</v>
      </c>
      <c r="I1605" s="1" t="s">
        <v>25</v>
      </c>
      <c r="J1605">
        <v>0.88819999999999999</v>
      </c>
    </row>
    <row r="1606" spans="1:10" hidden="1" x14ac:dyDescent="0.35">
      <c r="A1606" t="str">
        <f t="shared" si="25"/>
        <v>Umburatiba20192.8</v>
      </c>
      <c r="B1606">
        <v>3170305</v>
      </c>
      <c r="C1606" t="s">
        <v>62</v>
      </c>
      <c r="D1606">
        <v>2019</v>
      </c>
      <c r="E1606">
        <v>6</v>
      </c>
      <c r="F1606">
        <v>35</v>
      </c>
      <c r="G1606" t="s">
        <v>26</v>
      </c>
      <c r="H1606" t="s">
        <v>18</v>
      </c>
      <c r="I1606" s="1" t="s">
        <v>27</v>
      </c>
      <c r="J1606">
        <v>0.20030000000000001</v>
      </c>
    </row>
    <row r="1607" spans="1:10" hidden="1" x14ac:dyDescent="0.35">
      <c r="A1607" t="str">
        <f t="shared" si="25"/>
        <v>Umburatiba20194.1</v>
      </c>
      <c r="B1607">
        <v>3170305</v>
      </c>
      <c r="C1607" t="s">
        <v>62</v>
      </c>
      <c r="D1607">
        <v>2019</v>
      </c>
      <c r="E1607">
        <v>6</v>
      </c>
      <c r="F1607">
        <v>44</v>
      </c>
      <c r="G1607" t="s">
        <v>28</v>
      </c>
      <c r="H1607" t="s">
        <v>29</v>
      </c>
      <c r="I1607" s="1" t="s">
        <v>30</v>
      </c>
      <c r="J1607">
        <v>1891.89</v>
      </c>
    </row>
    <row r="1608" spans="1:10" hidden="1" x14ac:dyDescent="0.35">
      <c r="A1608" t="str">
        <f t="shared" si="25"/>
        <v>Umburatiba20194.10</v>
      </c>
      <c r="B1608">
        <v>3170305</v>
      </c>
      <c r="C1608" t="s">
        <v>62</v>
      </c>
      <c r="D1608">
        <v>2019</v>
      </c>
      <c r="E1608">
        <v>6</v>
      </c>
      <c r="F1608">
        <v>58</v>
      </c>
      <c r="G1608" t="s">
        <v>31</v>
      </c>
      <c r="H1608" t="s">
        <v>29</v>
      </c>
      <c r="I1608" s="1" t="s">
        <v>32</v>
      </c>
      <c r="J1608">
        <v>5830.87</v>
      </c>
    </row>
    <row r="1609" spans="1:10" hidden="1" x14ac:dyDescent="0.35">
      <c r="A1609" t="str">
        <f t="shared" si="25"/>
        <v>Umburatiba20194.11</v>
      </c>
      <c r="B1609">
        <v>3170305</v>
      </c>
      <c r="C1609" t="s">
        <v>62</v>
      </c>
      <c r="D1609">
        <v>2019</v>
      </c>
      <c r="E1609">
        <v>6</v>
      </c>
      <c r="F1609">
        <v>59</v>
      </c>
      <c r="G1609" t="s">
        <v>33</v>
      </c>
      <c r="H1609" t="s">
        <v>29</v>
      </c>
      <c r="I1609" s="1" t="s">
        <v>34</v>
      </c>
      <c r="J1609">
        <v>843.89</v>
      </c>
    </row>
    <row r="1610" spans="1:10" hidden="1" x14ac:dyDescent="0.35">
      <c r="A1610" t="str">
        <f t="shared" si="25"/>
        <v>Umburatiba20194.2</v>
      </c>
      <c r="B1610">
        <v>3170305</v>
      </c>
      <c r="C1610" t="s">
        <v>62</v>
      </c>
      <c r="D1610">
        <v>2019</v>
      </c>
      <c r="E1610">
        <v>6</v>
      </c>
      <c r="F1610">
        <v>45</v>
      </c>
      <c r="G1610" t="s">
        <v>35</v>
      </c>
      <c r="H1610" t="s">
        <v>29</v>
      </c>
      <c r="I1610" s="1" t="s">
        <v>36</v>
      </c>
      <c r="J1610">
        <v>8117.53</v>
      </c>
    </row>
    <row r="1611" spans="1:10" hidden="1" x14ac:dyDescent="0.35">
      <c r="A1611" t="str">
        <f t="shared" si="25"/>
        <v>Umburatiba20194.8</v>
      </c>
      <c r="B1611">
        <v>3170305</v>
      </c>
      <c r="C1611" t="s">
        <v>62</v>
      </c>
      <c r="D1611">
        <v>2019</v>
      </c>
      <c r="E1611">
        <v>6</v>
      </c>
      <c r="F1611">
        <v>56</v>
      </c>
      <c r="G1611" t="s">
        <v>37</v>
      </c>
      <c r="H1611" t="s">
        <v>29</v>
      </c>
      <c r="I1611" s="1" t="s">
        <v>38</v>
      </c>
      <c r="J1611">
        <v>6674.75</v>
      </c>
    </row>
    <row r="1612" spans="1:10" hidden="1" x14ac:dyDescent="0.35">
      <c r="A1612" t="str">
        <f t="shared" si="25"/>
        <v>Umburatiba20194.9</v>
      </c>
      <c r="B1612">
        <v>3170305</v>
      </c>
      <c r="C1612" t="s">
        <v>62</v>
      </c>
      <c r="D1612">
        <v>2019</v>
      </c>
      <c r="E1612">
        <v>6</v>
      </c>
      <c r="F1612">
        <v>57</v>
      </c>
      <c r="G1612" t="s">
        <v>39</v>
      </c>
      <c r="H1612" t="s">
        <v>29</v>
      </c>
      <c r="I1612" s="1" t="s">
        <v>40</v>
      </c>
      <c r="J1612">
        <v>6674.75</v>
      </c>
    </row>
    <row r="1613" spans="1:10" hidden="1" x14ac:dyDescent="0.35">
      <c r="A1613" t="str">
        <f t="shared" si="25"/>
        <v>Águas Formosas20201.1</v>
      </c>
      <c r="B1613">
        <v>3100906</v>
      </c>
      <c r="C1613" t="s">
        <v>9</v>
      </c>
      <c r="D1613">
        <v>2020</v>
      </c>
      <c r="E1613">
        <v>6</v>
      </c>
      <c r="F1613">
        <v>24</v>
      </c>
      <c r="G1613" t="s">
        <v>10</v>
      </c>
      <c r="H1613" t="s">
        <v>11</v>
      </c>
      <c r="I1613" s="1" t="s">
        <v>12</v>
      </c>
      <c r="J1613">
        <v>0.29060000000000002</v>
      </c>
    </row>
    <row r="1614" spans="1:10" hidden="1" x14ac:dyDescent="0.35">
      <c r="A1614" t="str">
        <f t="shared" si="25"/>
        <v>Águas Formosas20201.2</v>
      </c>
      <c r="B1614">
        <v>3100906</v>
      </c>
      <c r="C1614" t="s">
        <v>9</v>
      </c>
      <c r="D1614">
        <v>2020</v>
      </c>
      <c r="E1614">
        <v>6</v>
      </c>
      <c r="F1614">
        <v>67</v>
      </c>
      <c r="G1614" t="s">
        <v>13</v>
      </c>
      <c r="H1614" t="s">
        <v>11</v>
      </c>
      <c r="I1614" s="1" t="s">
        <v>14</v>
      </c>
      <c r="J1614">
        <v>0.75819999999999999</v>
      </c>
    </row>
    <row r="1615" spans="1:10" hidden="1" x14ac:dyDescent="0.35">
      <c r="A1615" t="str">
        <f t="shared" si="25"/>
        <v>Águas Formosas20201.3</v>
      </c>
      <c r="B1615">
        <v>3100906</v>
      </c>
      <c r="C1615" t="s">
        <v>9</v>
      </c>
      <c r="D1615">
        <v>2020</v>
      </c>
      <c r="E1615">
        <v>6</v>
      </c>
      <c r="F1615">
        <v>68</v>
      </c>
      <c r="G1615" t="s">
        <v>15</v>
      </c>
      <c r="H1615" t="s">
        <v>11</v>
      </c>
      <c r="I1615" s="1" t="s">
        <v>16</v>
      </c>
      <c r="J1615">
        <v>0.24179999999999999</v>
      </c>
    </row>
    <row r="1616" spans="1:10" hidden="1" x14ac:dyDescent="0.35">
      <c r="A1616" t="str">
        <f t="shared" si="25"/>
        <v>Águas Formosas20202.1</v>
      </c>
      <c r="B1616">
        <v>3100906</v>
      </c>
      <c r="C1616" t="s">
        <v>9</v>
      </c>
      <c r="D1616">
        <v>2020</v>
      </c>
      <c r="E1616">
        <v>6</v>
      </c>
      <c r="F1616">
        <v>28</v>
      </c>
      <c r="G1616" t="s">
        <v>17</v>
      </c>
      <c r="H1616" t="s">
        <v>18</v>
      </c>
      <c r="I1616" s="1" t="s">
        <v>19</v>
      </c>
    </row>
    <row r="1617" spans="1:10" hidden="1" x14ac:dyDescent="0.35">
      <c r="A1617" t="str">
        <f t="shared" si="25"/>
        <v>Águas Formosas20202.2</v>
      </c>
      <c r="B1617">
        <v>3100906</v>
      </c>
      <c r="C1617" t="s">
        <v>9</v>
      </c>
      <c r="D1617">
        <v>2020</v>
      </c>
      <c r="E1617">
        <v>6</v>
      </c>
      <c r="F1617">
        <v>29</v>
      </c>
      <c r="G1617" t="s">
        <v>20</v>
      </c>
      <c r="H1617" t="s">
        <v>18</v>
      </c>
      <c r="I1617" s="1" t="s">
        <v>21</v>
      </c>
      <c r="J1617">
        <v>0.56920000000000004</v>
      </c>
    </row>
    <row r="1618" spans="1:10" hidden="1" x14ac:dyDescent="0.35">
      <c r="A1618" t="str">
        <f t="shared" si="25"/>
        <v>Águas Formosas20202.4</v>
      </c>
      <c r="B1618">
        <v>3100906</v>
      </c>
      <c r="C1618" t="s">
        <v>9</v>
      </c>
      <c r="D1618">
        <v>2020</v>
      </c>
      <c r="E1618">
        <v>6</v>
      </c>
      <c r="F1618">
        <v>31</v>
      </c>
      <c r="G1618" t="s">
        <v>22</v>
      </c>
      <c r="H1618" t="s">
        <v>18</v>
      </c>
      <c r="I1618" s="1" t="s">
        <v>23</v>
      </c>
      <c r="J1618">
        <v>0.42180000000000001</v>
      </c>
    </row>
    <row r="1619" spans="1:10" hidden="1" x14ac:dyDescent="0.35">
      <c r="A1619" t="str">
        <f t="shared" si="25"/>
        <v>Águas Formosas20202.5</v>
      </c>
      <c r="B1619">
        <v>3100906</v>
      </c>
      <c r="C1619" t="s">
        <v>9</v>
      </c>
      <c r="D1619">
        <v>2020</v>
      </c>
      <c r="E1619">
        <v>6</v>
      </c>
      <c r="F1619">
        <v>32</v>
      </c>
      <c r="G1619" t="s">
        <v>24</v>
      </c>
      <c r="H1619" t="s">
        <v>18</v>
      </c>
      <c r="I1619" s="1" t="s">
        <v>25</v>
      </c>
      <c r="J1619">
        <v>0.51819999999999999</v>
      </c>
    </row>
    <row r="1620" spans="1:10" hidden="1" x14ac:dyDescent="0.35">
      <c r="A1620" t="str">
        <f t="shared" si="25"/>
        <v>Águas Formosas20202.8</v>
      </c>
      <c r="B1620">
        <v>3100906</v>
      </c>
      <c r="C1620" t="s">
        <v>9</v>
      </c>
      <c r="D1620">
        <v>2020</v>
      </c>
      <c r="E1620">
        <v>6</v>
      </c>
      <c r="F1620">
        <v>35</v>
      </c>
      <c r="G1620" t="s">
        <v>26</v>
      </c>
      <c r="H1620" t="s">
        <v>18</v>
      </c>
      <c r="I1620" s="1" t="s">
        <v>27</v>
      </c>
      <c r="J1620">
        <v>0.20669999999999999</v>
      </c>
    </row>
    <row r="1621" spans="1:10" hidden="1" x14ac:dyDescent="0.35">
      <c r="A1621" t="str">
        <f t="shared" si="25"/>
        <v>Águas Formosas20204.1</v>
      </c>
      <c r="B1621">
        <v>3100906</v>
      </c>
      <c r="C1621" t="s">
        <v>9</v>
      </c>
      <c r="D1621">
        <v>2020</v>
      </c>
      <c r="E1621">
        <v>6</v>
      </c>
      <c r="F1621">
        <v>44</v>
      </c>
      <c r="G1621" t="s">
        <v>28</v>
      </c>
      <c r="H1621" t="s">
        <v>29</v>
      </c>
      <c r="I1621" s="1" t="s">
        <v>30</v>
      </c>
      <c r="J1621">
        <v>5822.83</v>
      </c>
    </row>
    <row r="1622" spans="1:10" hidden="1" x14ac:dyDescent="0.35">
      <c r="A1622" t="str">
        <f t="shared" si="25"/>
        <v>Águas Formosas20204.10</v>
      </c>
      <c r="B1622">
        <v>3100906</v>
      </c>
      <c r="C1622" t="s">
        <v>9</v>
      </c>
      <c r="D1622">
        <v>2020</v>
      </c>
      <c r="E1622">
        <v>6</v>
      </c>
      <c r="F1622">
        <v>58</v>
      </c>
      <c r="G1622" t="s">
        <v>31</v>
      </c>
      <c r="H1622" t="s">
        <v>29</v>
      </c>
      <c r="I1622" s="1" t="s">
        <v>32</v>
      </c>
      <c r="J1622">
        <v>5231.13</v>
      </c>
    </row>
    <row r="1623" spans="1:10" hidden="1" x14ac:dyDescent="0.35">
      <c r="A1623" t="str">
        <f t="shared" si="25"/>
        <v>Águas Formosas20204.11</v>
      </c>
      <c r="B1623">
        <v>3100906</v>
      </c>
      <c r="C1623" t="s">
        <v>9</v>
      </c>
      <c r="D1623">
        <v>2020</v>
      </c>
      <c r="E1623">
        <v>6</v>
      </c>
      <c r="F1623">
        <v>59</v>
      </c>
      <c r="G1623" t="s">
        <v>33</v>
      </c>
      <c r="H1623" t="s">
        <v>29</v>
      </c>
      <c r="I1623" s="1" t="s">
        <v>34</v>
      </c>
      <c r="J1623">
        <v>1842.51</v>
      </c>
    </row>
    <row r="1624" spans="1:10" hidden="1" x14ac:dyDescent="0.35">
      <c r="A1624" t="str">
        <f t="shared" si="25"/>
        <v>Águas Formosas20204.2</v>
      </c>
      <c r="B1624">
        <v>3100906</v>
      </c>
      <c r="C1624" t="s">
        <v>9</v>
      </c>
      <c r="D1624">
        <v>2020</v>
      </c>
      <c r="E1624">
        <v>6</v>
      </c>
      <c r="F1624">
        <v>45</v>
      </c>
      <c r="G1624" t="s">
        <v>35</v>
      </c>
      <c r="H1624" t="s">
        <v>29</v>
      </c>
      <c r="I1624" s="1" t="s">
        <v>36</v>
      </c>
      <c r="J1624">
        <v>11394.84</v>
      </c>
    </row>
    <row r="1625" spans="1:10" hidden="1" x14ac:dyDescent="0.35">
      <c r="A1625" t="str">
        <f t="shared" si="25"/>
        <v>Águas Formosas20204.8</v>
      </c>
      <c r="B1625">
        <v>3100906</v>
      </c>
      <c r="C1625" t="s">
        <v>9</v>
      </c>
      <c r="D1625">
        <v>2020</v>
      </c>
      <c r="E1625">
        <v>6</v>
      </c>
      <c r="F1625">
        <v>56</v>
      </c>
      <c r="G1625" t="s">
        <v>37</v>
      </c>
      <c r="H1625" t="s">
        <v>29</v>
      </c>
      <c r="I1625" s="1" t="s">
        <v>38</v>
      </c>
      <c r="J1625">
        <v>7805.51</v>
      </c>
    </row>
    <row r="1626" spans="1:10" hidden="1" x14ac:dyDescent="0.35">
      <c r="A1626" t="str">
        <f t="shared" si="25"/>
        <v>Águas Formosas20204.9</v>
      </c>
      <c r="B1626">
        <v>3100906</v>
      </c>
      <c r="C1626" t="s">
        <v>9</v>
      </c>
      <c r="D1626">
        <v>2020</v>
      </c>
      <c r="E1626">
        <v>6</v>
      </c>
      <c r="F1626">
        <v>57</v>
      </c>
      <c r="G1626" t="s">
        <v>39</v>
      </c>
      <c r="H1626" t="s">
        <v>29</v>
      </c>
      <c r="I1626" s="1" t="s">
        <v>40</v>
      </c>
      <c r="J1626">
        <v>7805.51</v>
      </c>
    </row>
    <row r="1627" spans="1:10" hidden="1" x14ac:dyDescent="0.35">
      <c r="A1627" t="str">
        <f t="shared" si="25"/>
        <v>Ataléia20201.1</v>
      </c>
      <c r="B1627">
        <v>3104700</v>
      </c>
      <c r="C1627" t="s">
        <v>41</v>
      </c>
      <c r="D1627">
        <v>2020</v>
      </c>
      <c r="E1627">
        <v>6</v>
      </c>
      <c r="F1627">
        <v>24</v>
      </c>
      <c r="G1627" t="s">
        <v>10</v>
      </c>
      <c r="H1627" t="s">
        <v>11</v>
      </c>
      <c r="I1627" s="1" t="s">
        <v>12</v>
      </c>
      <c r="J1627">
        <v>0.315</v>
      </c>
    </row>
    <row r="1628" spans="1:10" hidden="1" x14ac:dyDescent="0.35">
      <c r="A1628" t="str">
        <f t="shared" si="25"/>
        <v>Ataléia20201.2</v>
      </c>
      <c r="B1628">
        <v>3104700</v>
      </c>
      <c r="C1628" t="s">
        <v>41</v>
      </c>
      <c r="D1628">
        <v>2020</v>
      </c>
      <c r="E1628">
        <v>6</v>
      </c>
      <c r="F1628">
        <v>67</v>
      </c>
      <c r="G1628" t="s">
        <v>13</v>
      </c>
      <c r="H1628" t="s">
        <v>11</v>
      </c>
      <c r="I1628" s="1" t="s">
        <v>14</v>
      </c>
      <c r="J1628">
        <v>1</v>
      </c>
    </row>
    <row r="1629" spans="1:10" hidden="1" x14ac:dyDescent="0.35">
      <c r="A1629" t="str">
        <f t="shared" si="25"/>
        <v>Ataléia20201.3</v>
      </c>
      <c r="B1629">
        <v>3104700</v>
      </c>
      <c r="C1629" t="s">
        <v>41</v>
      </c>
      <c r="D1629">
        <v>2020</v>
      </c>
      <c r="E1629">
        <v>6</v>
      </c>
      <c r="F1629">
        <v>68</v>
      </c>
      <c r="G1629" t="s">
        <v>15</v>
      </c>
      <c r="H1629" t="s">
        <v>11</v>
      </c>
      <c r="I1629" s="1" t="s">
        <v>16</v>
      </c>
    </row>
    <row r="1630" spans="1:10" hidden="1" x14ac:dyDescent="0.35">
      <c r="A1630" t="str">
        <f t="shared" si="25"/>
        <v>Ataléia20202.1</v>
      </c>
      <c r="B1630">
        <v>3104700</v>
      </c>
      <c r="C1630" t="s">
        <v>41</v>
      </c>
      <c r="D1630">
        <v>2020</v>
      </c>
      <c r="E1630">
        <v>6</v>
      </c>
      <c r="F1630">
        <v>28</v>
      </c>
      <c r="G1630" t="s">
        <v>17</v>
      </c>
      <c r="H1630" t="s">
        <v>18</v>
      </c>
      <c r="I1630" s="1" t="s">
        <v>19</v>
      </c>
    </row>
    <row r="1631" spans="1:10" hidden="1" x14ac:dyDescent="0.35">
      <c r="A1631" t="str">
        <f t="shared" si="25"/>
        <v>Ataléia20202.2</v>
      </c>
      <c r="B1631">
        <v>3104700</v>
      </c>
      <c r="C1631" t="s">
        <v>41</v>
      </c>
      <c r="D1631">
        <v>2020</v>
      </c>
      <c r="E1631">
        <v>6</v>
      </c>
      <c r="F1631">
        <v>29</v>
      </c>
      <c r="G1631" t="s">
        <v>20</v>
      </c>
      <c r="H1631" t="s">
        <v>18</v>
      </c>
      <c r="I1631" s="1" t="s">
        <v>21</v>
      </c>
      <c r="J1631">
        <v>1</v>
      </c>
    </row>
    <row r="1632" spans="1:10" hidden="1" x14ac:dyDescent="0.35">
      <c r="A1632" t="str">
        <f t="shared" si="25"/>
        <v>Ataléia20202.4</v>
      </c>
      <c r="B1632">
        <v>3104700</v>
      </c>
      <c r="C1632" t="s">
        <v>41</v>
      </c>
      <c r="D1632">
        <v>2020</v>
      </c>
      <c r="E1632">
        <v>6</v>
      </c>
      <c r="F1632">
        <v>31</v>
      </c>
      <c r="G1632" t="s">
        <v>22</v>
      </c>
      <c r="H1632" t="s">
        <v>18</v>
      </c>
      <c r="I1632" s="1" t="s">
        <v>23</v>
      </c>
    </row>
    <row r="1633" spans="1:10" hidden="1" x14ac:dyDescent="0.35">
      <c r="A1633" t="str">
        <f t="shared" si="25"/>
        <v>Ataléia20202.5</v>
      </c>
      <c r="B1633">
        <v>3104700</v>
      </c>
      <c r="C1633" t="s">
        <v>41</v>
      </c>
      <c r="D1633">
        <v>2020</v>
      </c>
      <c r="E1633">
        <v>6</v>
      </c>
      <c r="F1633">
        <v>32</v>
      </c>
      <c r="G1633" t="s">
        <v>24</v>
      </c>
      <c r="H1633" t="s">
        <v>18</v>
      </c>
      <c r="I1633" s="1" t="s">
        <v>25</v>
      </c>
    </row>
    <row r="1634" spans="1:10" hidden="1" x14ac:dyDescent="0.35">
      <c r="A1634" t="str">
        <f t="shared" si="25"/>
        <v>Ataléia20202.8</v>
      </c>
      <c r="B1634">
        <v>3104700</v>
      </c>
      <c r="C1634" t="s">
        <v>41</v>
      </c>
      <c r="D1634">
        <v>2020</v>
      </c>
      <c r="E1634">
        <v>6</v>
      </c>
      <c r="F1634">
        <v>35</v>
      </c>
      <c r="G1634" t="s">
        <v>26</v>
      </c>
      <c r="H1634" t="s">
        <v>18</v>
      </c>
      <c r="I1634" s="1" t="s">
        <v>27</v>
      </c>
    </row>
    <row r="1635" spans="1:10" hidden="1" x14ac:dyDescent="0.35">
      <c r="A1635" t="str">
        <f t="shared" si="25"/>
        <v>Ataléia20204.1</v>
      </c>
      <c r="B1635">
        <v>3104700</v>
      </c>
      <c r="C1635" t="s">
        <v>41</v>
      </c>
      <c r="D1635">
        <v>2020</v>
      </c>
      <c r="E1635">
        <v>6</v>
      </c>
      <c r="F1635">
        <v>44</v>
      </c>
      <c r="G1635" t="s">
        <v>28</v>
      </c>
      <c r="H1635" t="s">
        <v>29</v>
      </c>
      <c r="I1635" s="1" t="s">
        <v>30</v>
      </c>
      <c r="J1635">
        <v>2218.9299999999998</v>
      </c>
    </row>
    <row r="1636" spans="1:10" hidden="1" x14ac:dyDescent="0.35">
      <c r="A1636" t="str">
        <f t="shared" si="25"/>
        <v>Ataléia20204.10</v>
      </c>
      <c r="B1636">
        <v>3104700</v>
      </c>
      <c r="C1636" t="s">
        <v>41</v>
      </c>
      <c r="D1636">
        <v>2020</v>
      </c>
      <c r="E1636">
        <v>6</v>
      </c>
      <c r="F1636">
        <v>58</v>
      </c>
      <c r="G1636" t="s">
        <v>31</v>
      </c>
      <c r="H1636" t="s">
        <v>29</v>
      </c>
      <c r="I1636" s="1" t="s">
        <v>32</v>
      </c>
    </row>
    <row r="1637" spans="1:10" hidden="1" x14ac:dyDescent="0.35">
      <c r="A1637" t="str">
        <f t="shared" si="25"/>
        <v>Ataléia20204.11</v>
      </c>
      <c r="B1637">
        <v>3104700</v>
      </c>
      <c r="C1637" t="s">
        <v>41</v>
      </c>
      <c r="D1637">
        <v>2020</v>
      </c>
      <c r="E1637">
        <v>6</v>
      </c>
      <c r="F1637">
        <v>59</v>
      </c>
      <c r="G1637" t="s">
        <v>33</v>
      </c>
      <c r="H1637" t="s">
        <v>29</v>
      </c>
      <c r="I1637" s="1" t="s">
        <v>34</v>
      </c>
      <c r="J1637">
        <v>8295.7099999999991</v>
      </c>
    </row>
    <row r="1638" spans="1:10" hidden="1" x14ac:dyDescent="0.35">
      <c r="A1638" t="str">
        <f t="shared" si="25"/>
        <v>Ataléia20204.2</v>
      </c>
      <c r="B1638">
        <v>3104700</v>
      </c>
      <c r="C1638" t="s">
        <v>41</v>
      </c>
      <c r="D1638">
        <v>2020</v>
      </c>
      <c r="E1638">
        <v>6</v>
      </c>
      <c r="F1638">
        <v>45</v>
      </c>
      <c r="G1638" t="s">
        <v>35</v>
      </c>
      <c r="H1638" t="s">
        <v>29</v>
      </c>
      <c r="I1638" s="1" t="s">
        <v>36</v>
      </c>
      <c r="J1638">
        <v>12851.98</v>
      </c>
    </row>
    <row r="1639" spans="1:10" hidden="1" x14ac:dyDescent="0.35">
      <c r="A1639" t="str">
        <f t="shared" si="25"/>
        <v>Ataléia20204.8</v>
      </c>
      <c r="B1639">
        <v>3104700</v>
      </c>
      <c r="C1639" t="s">
        <v>41</v>
      </c>
      <c r="D1639">
        <v>2020</v>
      </c>
      <c r="E1639">
        <v>6</v>
      </c>
      <c r="F1639">
        <v>56</v>
      </c>
      <c r="G1639" t="s">
        <v>37</v>
      </c>
      <c r="H1639" t="s">
        <v>29</v>
      </c>
      <c r="I1639" s="1" t="s">
        <v>38</v>
      </c>
      <c r="J1639">
        <v>8295.7099999999991</v>
      </c>
    </row>
    <row r="1640" spans="1:10" hidden="1" x14ac:dyDescent="0.35">
      <c r="A1640" t="str">
        <f t="shared" si="25"/>
        <v>Ataléia20204.9</v>
      </c>
      <c r="B1640">
        <v>3104700</v>
      </c>
      <c r="C1640" t="s">
        <v>41</v>
      </c>
      <c r="D1640">
        <v>2020</v>
      </c>
      <c r="E1640">
        <v>6</v>
      </c>
      <c r="F1640">
        <v>57</v>
      </c>
      <c r="G1640" t="s">
        <v>39</v>
      </c>
      <c r="H1640" t="s">
        <v>29</v>
      </c>
      <c r="I1640" s="1" t="s">
        <v>40</v>
      </c>
      <c r="J1640">
        <v>8295.7099999999991</v>
      </c>
    </row>
    <row r="1641" spans="1:10" hidden="1" x14ac:dyDescent="0.35">
      <c r="A1641" t="str">
        <f t="shared" si="25"/>
        <v>Bertópolis20201.1</v>
      </c>
      <c r="B1641">
        <v>3106606</v>
      </c>
      <c r="C1641" t="s">
        <v>42</v>
      </c>
      <c r="D1641">
        <v>2020</v>
      </c>
      <c r="E1641">
        <v>6</v>
      </c>
      <c r="F1641">
        <v>24</v>
      </c>
      <c r="G1641" t="s">
        <v>10</v>
      </c>
      <c r="H1641" t="s">
        <v>11</v>
      </c>
      <c r="I1641" s="1" t="s">
        <v>12</v>
      </c>
      <c r="J1641">
        <v>0.25040000000000001</v>
      </c>
    </row>
    <row r="1642" spans="1:10" hidden="1" x14ac:dyDescent="0.35">
      <c r="A1642" t="str">
        <f t="shared" si="25"/>
        <v>Bertópolis20201.2</v>
      </c>
      <c r="B1642">
        <v>3106606</v>
      </c>
      <c r="C1642" t="s">
        <v>42</v>
      </c>
      <c r="D1642">
        <v>2020</v>
      </c>
      <c r="E1642">
        <v>6</v>
      </c>
      <c r="F1642">
        <v>67</v>
      </c>
      <c r="G1642" t="s">
        <v>13</v>
      </c>
      <c r="H1642" t="s">
        <v>11</v>
      </c>
      <c r="I1642" s="1" t="s">
        <v>14</v>
      </c>
      <c r="J1642">
        <v>0.61140000000000005</v>
      </c>
    </row>
    <row r="1643" spans="1:10" hidden="1" x14ac:dyDescent="0.35">
      <c r="A1643" t="str">
        <f t="shared" si="25"/>
        <v>Bertópolis20201.3</v>
      </c>
      <c r="B1643">
        <v>3106606</v>
      </c>
      <c r="C1643" t="s">
        <v>42</v>
      </c>
      <c r="D1643">
        <v>2020</v>
      </c>
      <c r="E1643">
        <v>6</v>
      </c>
      <c r="F1643">
        <v>68</v>
      </c>
      <c r="G1643" t="s">
        <v>15</v>
      </c>
      <c r="H1643" t="s">
        <v>11</v>
      </c>
      <c r="I1643" s="1" t="s">
        <v>16</v>
      </c>
      <c r="J1643">
        <v>0.38469999999999999</v>
      </c>
    </row>
    <row r="1644" spans="1:10" hidden="1" x14ac:dyDescent="0.35">
      <c r="A1644" t="str">
        <f t="shared" si="25"/>
        <v>Bertópolis20202.1</v>
      </c>
      <c r="B1644">
        <v>3106606</v>
      </c>
      <c r="C1644" t="s">
        <v>42</v>
      </c>
      <c r="D1644">
        <v>2020</v>
      </c>
      <c r="E1644">
        <v>6</v>
      </c>
      <c r="F1644">
        <v>28</v>
      </c>
      <c r="G1644" t="s">
        <v>17</v>
      </c>
      <c r="H1644" t="s">
        <v>18</v>
      </c>
      <c r="I1644" s="1" t="s">
        <v>19</v>
      </c>
    </row>
    <row r="1645" spans="1:10" hidden="1" x14ac:dyDescent="0.35">
      <c r="A1645" t="str">
        <f t="shared" si="25"/>
        <v>Bertópolis20202.2</v>
      </c>
      <c r="B1645">
        <v>3106606</v>
      </c>
      <c r="C1645" t="s">
        <v>42</v>
      </c>
      <c r="D1645">
        <v>2020</v>
      </c>
      <c r="E1645">
        <v>6</v>
      </c>
      <c r="F1645">
        <v>29</v>
      </c>
      <c r="G1645" t="s">
        <v>20</v>
      </c>
      <c r="H1645" t="s">
        <v>18</v>
      </c>
      <c r="I1645" s="1" t="s">
        <v>21</v>
      </c>
      <c r="J1645">
        <v>0.99609999999999999</v>
      </c>
    </row>
    <row r="1646" spans="1:10" hidden="1" x14ac:dyDescent="0.35">
      <c r="A1646" t="str">
        <f t="shared" si="25"/>
        <v>Bertópolis20202.4</v>
      </c>
      <c r="B1646">
        <v>3106606</v>
      </c>
      <c r="C1646" t="s">
        <v>42</v>
      </c>
      <c r="D1646">
        <v>2020</v>
      </c>
      <c r="E1646">
        <v>6</v>
      </c>
      <c r="F1646">
        <v>31</v>
      </c>
      <c r="G1646" t="s">
        <v>22</v>
      </c>
      <c r="H1646" t="s">
        <v>18</v>
      </c>
      <c r="I1646" s="1" t="s">
        <v>23</v>
      </c>
    </row>
    <row r="1647" spans="1:10" hidden="1" x14ac:dyDescent="0.35">
      <c r="A1647" t="str">
        <f t="shared" si="25"/>
        <v>Bertópolis20202.5</v>
      </c>
      <c r="B1647">
        <v>3106606</v>
      </c>
      <c r="C1647" t="s">
        <v>42</v>
      </c>
      <c r="D1647">
        <v>2020</v>
      </c>
      <c r="E1647">
        <v>6</v>
      </c>
      <c r="F1647">
        <v>32</v>
      </c>
      <c r="G1647" t="s">
        <v>24</v>
      </c>
      <c r="H1647" t="s">
        <v>18</v>
      </c>
      <c r="I1647" s="1" t="s">
        <v>25</v>
      </c>
    </row>
    <row r="1648" spans="1:10" hidden="1" x14ac:dyDescent="0.35">
      <c r="A1648" t="str">
        <f t="shared" si="25"/>
        <v>Bertópolis20202.8</v>
      </c>
      <c r="B1648">
        <v>3106606</v>
      </c>
      <c r="C1648" t="s">
        <v>42</v>
      </c>
      <c r="D1648">
        <v>2020</v>
      </c>
      <c r="E1648">
        <v>6</v>
      </c>
      <c r="F1648">
        <v>35</v>
      </c>
      <c r="G1648" t="s">
        <v>26</v>
      </c>
      <c r="H1648" t="s">
        <v>18</v>
      </c>
      <c r="I1648" s="1" t="s">
        <v>27</v>
      </c>
    </row>
    <row r="1649" spans="1:10" hidden="1" x14ac:dyDescent="0.35">
      <c r="A1649" t="str">
        <f t="shared" si="25"/>
        <v>Bertópolis20204.1</v>
      </c>
      <c r="B1649">
        <v>3106606</v>
      </c>
      <c r="C1649" t="s">
        <v>42</v>
      </c>
      <c r="D1649">
        <v>2020</v>
      </c>
      <c r="E1649">
        <v>6</v>
      </c>
      <c r="F1649">
        <v>44</v>
      </c>
      <c r="G1649" t="s">
        <v>28</v>
      </c>
      <c r="H1649" t="s">
        <v>29</v>
      </c>
      <c r="I1649" s="1" t="s">
        <v>30</v>
      </c>
      <c r="J1649">
        <v>1702.7</v>
      </c>
    </row>
    <row r="1650" spans="1:10" hidden="1" x14ac:dyDescent="0.35">
      <c r="A1650" t="str">
        <f t="shared" si="25"/>
        <v>Bertópolis20204.10</v>
      </c>
      <c r="B1650">
        <v>3106606</v>
      </c>
      <c r="C1650" t="s">
        <v>42</v>
      </c>
      <c r="D1650">
        <v>2020</v>
      </c>
      <c r="E1650">
        <v>6</v>
      </c>
      <c r="F1650">
        <v>58</v>
      </c>
      <c r="G1650" t="s">
        <v>31</v>
      </c>
      <c r="H1650" t="s">
        <v>29</v>
      </c>
      <c r="I1650" s="1" t="s">
        <v>32</v>
      </c>
    </row>
    <row r="1651" spans="1:10" hidden="1" x14ac:dyDescent="0.35">
      <c r="A1651" t="str">
        <f t="shared" si="25"/>
        <v>Bertópolis20204.11</v>
      </c>
      <c r="B1651">
        <v>3106606</v>
      </c>
      <c r="C1651" t="s">
        <v>42</v>
      </c>
      <c r="D1651">
        <v>2020</v>
      </c>
      <c r="E1651">
        <v>6</v>
      </c>
      <c r="F1651">
        <v>59</v>
      </c>
      <c r="G1651" t="s">
        <v>33</v>
      </c>
      <c r="H1651" t="s">
        <v>29</v>
      </c>
      <c r="I1651" s="1" t="s">
        <v>34</v>
      </c>
      <c r="J1651">
        <v>4840.54</v>
      </c>
    </row>
    <row r="1652" spans="1:10" hidden="1" x14ac:dyDescent="0.35">
      <c r="A1652" t="str">
        <f t="shared" si="25"/>
        <v>Bertópolis20204.2</v>
      </c>
      <c r="B1652">
        <v>3106606</v>
      </c>
      <c r="C1652" t="s">
        <v>42</v>
      </c>
      <c r="D1652">
        <v>2020</v>
      </c>
      <c r="E1652">
        <v>6</v>
      </c>
      <c r="F1652">
        <v>45</v>
      </c>
      <c r="G1652" t="s">
        <v>35</v>
      </c>
      <c r="H1652" t="s">
        <v>29</v>
      </c>
      <c r="I1652" s="1" t="s">
        <v>36</v>
      </c>
      <c r="J1652">
        <v>11491.29</v>
      </c>
    </row>
    <row r="1653" spans="1:10" hidden="1" x14ac:dyDescent="0.35">
      <c r="A1653" t="str">
        <f t="shared" si="25"/>
        <v>Bertópolis20204.8</v>
      </c>
      <c r="B1653">
        <v>3106606</v>
      </c>
      <c r="C1653" t="s">
        <v>42</v>
      </c>
      <c r="D1653">
        <v>2020</v>
      </c>
      <c r="E1653">
        <v>6</v>
      </c>
      <c r="F1653">
        <v>56</v>
      </c>
      <c r="G1653" t="s">
        <v>37</v>
      </c>
      <c r="H1653" t="s">
        <v>29</v>
      </c>
      <c r="I1653" s="1" t="s">
        <v>38</v>
      </c>
      <c r="J1653">
        <v>6526.83</v>
      </c>
    </row>
    <row r="1654" spans="1:10" hidden="1" x14ac:dyDescent="0.35">
      <c r="A1654" t="str">
        <f t="shared" si="25"/>
        <v>Bertópolis20204.9</v>
      </c>
      <c r="B1654">
        <v>3106606</v>
      </c>
      <c r="C1654" t="s">
        <v>42</v>
      </c>
      <c r="D1654">
        <v>2020</v>
      </c>
      <c r="E1654">
        <v>6</v>
      </c>
      <c r="F1654">
        <v>57</v>
      </c>
      <c r="G1654" t="s">
        <v>39</v>
      </c>
      <c r="H1654" t="s">
        <v>29</v>
      </c>
      <c r="I1654" s="1" t="s">
        <v>40</v>
      </c>
      <c r="J1654">
        <v>6526.83</v>
      </c>
    </row>
    <row r="1655" spans="1:10" hidden="1" x14ac:dyDescent="0.35">
      <c r="A1655" t="str">
        <f t="shared" si="25"/>
        <v>Carlos Chagas20201.1</v>
      </c>
      <c r="B1655">
        <v>3113701</v>
      </c>
      <c r="C1655" t="s">
        <v>43</v>
      </c>
      <c r="D1655">
        <v>2020</v>
      </c>
      <c r="E1655">
        <v>6</v>
      </c>
      <c r="F1655">
        <v>24</v>
      </c>
      <c r="G1655" t="s">
        <v>10</v>
      </c>
      <c r="H1655" t="s">
        <v>11</v>
      </c>
      <c r="I1655" s="1" t="s">
        <v>12</v>
      </c>
      <c r="J1655">
        <v>0.24349999999999999</v>
      </c>
    </row>
    <row r="1656" spans="1:10" hidden="1" x14ac:dyDescent="0.35">
      <c r="A1656" t="str">
        <f t="shared" si="25"/>
        <v>Carlos Chagas20201.2</v>
      </c>
      <c r="B1656">
        <v>3113701</v>
      </c>
      <c r="C1656" t="s">
        <v>43</v>
      </c>
      <c r="D1656">
        <v>2020</v>
      </c>
      <c r="E1656">
        <v>6</v>
      </c>
      <c r="F1656">
        <v>67</v>
      </c>
      <c r="G1656" t="s">
        <v>13</v>
      </c>
      <c r="H1656" t="s">
        <v>11</v>
      </c>
      <c r="I1656" s="1" t="s">
        <v>14</v>
      </c>
      <c r="J1656">
        <v>0.64629999999999999</v>
      </c>
    </row>
    <row r="1657" spans="1:10" hidden="1" x14ac:dyDescent="0.35">
      <c r="A1657" t="str">
        <f t="shared" si="25"/>
        <v>Carlos Chagas20201.3</v>
      </c>
      <c r="B1657">
        <v>3113701</v>
      </c>
      <c r="C1657" t="s">
        <v>43</v>
      </c>
      <c r="D1657">
        <v>2020</v>
      </c>
      <c r="E1657">
        <v>6</v>
      </c>
      <c r="F1657">
        <v>68</v>
      </c>
      <c r="G1657" t="s">
        <v>15</v>
      </c>
      <c r="H1657" t="s">
        <v>11</v>
      </c>
      <c r="I1657" s="1" t="s">
        <v>16</v>
      </c>
      <c r="J1657">
        <v>0.3473</v>
      </c>
    </row>
    <row r="1658" spans="1:10" hidden="1" x14ac:dyDescent="0.35">
      <c r="A1658" t="str">
        <f t="shared" si="25"/>
        <v>Carlos Chagas20202.1</v>
      </c>
      <c r="B1658">
        <v>3113701</v>
      </c>
      <c r="C1658" t="s">
        <v>43</v>
      </c>
      <c r="D1658">
        <v>2020</v>
      </c>
      <c r="E1658">
        <v>6</v>
      </c>
      <c r="F1658">
        <v>28</v>
      </c>
      <c r="G1658" t="s">
        <v>17</v>
      </c>
      <c r="H1658" t="s">
        <v>18</v>
      </c>
      <c r="I1658" s="1" t="s">
        <v>19</v>
      </c>
      <c r="J1658">
        <v>0.1255</v>
      </c>
    </row>
    <row r="1659" spans="1:10" hidden="1" x14ac:dyDescent="0.35">
      <c r="A1659" t="str">
        <f t="shared" si="25"/>
        <v>Carlos Chagas20202.2</v>
      </c>
      <c r="B1659">
        <v>3113701</v>
      </c>
      <c r="C1659" t="s">
        <v>43</v>
      </c>
      <c r="D1659">
        <v>2020</v>
      </c>
      <c r="E1659">
        <v>6</v>
      </c>
      <c r="F1659">
        <v>29</v>
      </c>
      <c r="G1659" t="s">
        <v>20</v>
      </c>
      <c r="H1659" t="s">
        <v>18</v>
      </c>
      <c r="I1659" s="1" t="s">
        <v>21</v>
      </c>
      <c r="J1659">
        <v>0.86799999999999999</v>
      </c>
    </row>
    <row r="1660" spans="1:10" hidden="1" x14ac:dyDescent="0.35">
      <c r="A1660" t="str">
        <f t="shared" si="25"/>
        <v>Carlos Chagas20202.4</v>
      </c>
      <c r="B1660">
        <v>3113701</v>
      </c>
      <c r="C1660" t="s">
        <v>43</v>
      </c>
      <c r="D1660">
        <v>2020</v>
      </c>
      <c r="E1660">
        <v>6</v>
      </c>
      <c r="F1660">
        <v>31</v>
      </c>
      <c r="G1660" t="s">
        <v>22</v>
      </c>
      <c r="H1660" t="s">
        <v>18</v>
      </c>
      <c r="I1660" s="1" t="s">
        <v>23</v>
      </c>
    </row>
    <row r="1661" spans="1:10" hidden="1" x14ac:dyDescent="0.35">
      <c r="A1661" t="str">
        <f t="shared" si="25"/>
        <v>Carlos Chagas20202.5</v>
      </c>
      <c r="B1661">
        <v>3113701</v>
      </c>
      <c r="C1661" t="s">
        <v>43</v>
      </c>
      <c r="D1661">
        <v>2020</v>
      </c>
      <c r="E1661">
        <v>6</v>
      </c>
      <c r="F1661">
        <v>32</v>
      </c>
      <c r="G1661" t="s">
        <v>24</v>
      </c>
      <c r="H1661" t="s">
        <v>18</v>
      </c>
      <c r="I1661" s="1" t="s">
        <v>25</v>
      </c>
    </row>
    <row r="1662" spans="1:10" hidden="1" x14ac:dyDescent="0.35">
      <c r="A1662" t="str">
        <f t="shared" si="25"/>
        <v>Carlos Chagas20202.8</v>
      </c>
      <c r="B1662">
        <v>3113701</v>
      </c>
      <c r="C1662" t="s">
        <v>43</v>
      </c>
      <c r="D1662">
        <v>2020</v>
      </c>
      <c r="E1662">
        <v>6</v>
      </c>
      <c r="F1662">
        <v>35</v>
      </c>
      <c r="G1662" t="s">
        <v>26</v>
      </c>
      <c r="H1662" t="s">
        <v>18</v>
      </c>
      <c r="I1662" s="1" t="s">
        <v>27</v>
      </c>
    </row>
    <row r="1663" spans="1:10" hidden="1" x14ac:dyDescent="0.35">
      <c r="A1663" t="str">
        <f t="shared" si="25"/>
        <v>Carlos Chagas20204.1</v>
      </c>
      <c r="B1663">
        <v>3113701</v>
      </c>
      <c r="C1663" t="s">
        <v>43</v>
      </c>
      <c r="D1663">
        <v>2020</v>
      </c>
      <c r="E1663">
        <v>6</v>
      </c>
      <c r="F1663">
        <v>44</v>
      </c>
      <c r="G1663" t="s">
        <v>28</v>
      </c>
      <c r="H1663" t="s">
        <v>29</v>
      </c>
      <c r="I1663" s="1" t="s">
        <v>30</v>
      </c>
      <c r="J1663">
        <v>3366.58</v>
      </c>
    </row>
    <row r="1664" spans="1:10" hidden="1" x14ac:dyDescent="0.35">
      <c r="A1664" t="str">
        <f t="shared" si="25"/>
        <v>Carlos Chagas20204.10</v>
      </c>
      <c r="B1664">
        <v>3113701</v>
      </c>
      <c r="C1664" t="s">
        <v>43</v>
      </c>
      <c r="D1664">
        <v>2020</v>
      </c>
      <c r="E1664">
        <v>6</v>
      </c>
      <c r="F1664">
        <v>58</v>
      </c>
      <c r="G1664" t="s">
        <v>31</v>
      </c>
      <c r="H1664" t="s">
        <v>29</v>
      </c>
      <c r="I1664" s="1" t="s">
        <v>32</v>
      </c>
    </row>
    <row r="1665" spans="1:10" hidden="1" x14ac:dyDescent="0.35">
      <c r="A1665" t="str">
        <f t="shared" si="25"/>
        <v>Carlos Chagas20204.11</v>
      </c>
      <c r="B1665">
        <v>3113701</v>
      </c>
      <c r="C1665" t="s">
        <v>43</v>
      </c>
      <c r="D1665">
        <v>2020</v>
      </c>
      <c r="E1665">
        <v>6</v>
      </c>
      <c r="F1665">
        <v>59</v>
      </c>
      <c r="G1665" t="s">
        <v>33</v>
      </c>
      <c r="H1665" t="s">
        <v>29</v>
      </c>
      <c r="I1665" s="1" t="s">
        <v>34</v>
      </c>
      <c r="J1665">
        <v>3411.12</v>
      </c>
    </row>
    <row r="1666" spans="1:10" hidden="1" x14ac:dyDescent="0.35">
      <c r="A1666" t="str">
        <f t="shared" si="25"/>
        <v>Carlos Chagas20204.2</v>
      </c>
      <c r="B1666">
        <v>3113701</v>
      </c>
      <c r="C1666" t="s">
        <v>43</v>
      </c>
      <c r="D1666">
        <v>2020</v>
      </c>
      <c r="E1666">
        <v>6</v>
      </c>
      <c r="F1666">
        <v>45</v>
      </c>
      <c r="G1666" t="s">
        <v>35</v>
      </c>
      <c r="H1666" t="s">
        <v>29</v>
      </c>
      <c r="I1666" s="1" t="s">
        <v>36</v>
      </c>
      <c r="J1666">
        <v>6214.87</v>
      </c>
    </row>
    <row r="1667" spans="1:10" hidden="1" x14ac:dyDescent="0.35">
      <c r="A1667" t="str">
        <f t="shared" si="25"/>
        <v>Carlos Chagas20204.8</v>
      </c>
      <c r="B1667">
        <v>3113701</v>
      </c>
      <c r="C1667" t="s">
        <v>43</v>
      </c>
      <c r="D1667">
        <v>2020</v>
      </c>
      <c r="E1667">
        <v>6</v>
      </c>
      <c r="F1667">
        <v>56</v>
      </c>
      <c r="G1667" t="s">
        <v>37</v>
      </c>
      <c r="H1667" t="s">
        <v>29</v>
      </c>
      <c r="I1667" s="1" t="s">
        <v>38</v>
      </c>
      <c r="J1667">
        <v>5626.27</v>
      </c>
    </row>
    <row r="1668" spans="1:10" hidden="1" x14ac:dyDescent="0.35">
      <c r="A1668" t="str">
        <f t="shared" ref="A1668:A1731" si="26">C1668&amp;D1668&amp;G1668</f>
        <v>Carlos Chagas20204.9</v>
      </c>
      <c r="B1668">
        <v>3113701</v>
      </c>
      <c r="C1668" t="s">
        <v>43</v>
      </c>
      <c r="D1668">
        <v>2020</v>
      </c>
      <c r="E1668">
        <v>6</v>
      </c>
      <c r="F1668">
        <v>57</v>
      </c>
      <c r="G1668" t="s">
        <v>39</v>
      </c>
      <c r="H1668" t="s">
        <v>29</v>
      </c>
      <c r="I1668" s="1" t="s">
        <v>40</v>
      </c>
      <c r="J1668">
        <v>5626.27</v>
      </c>
    </row>
    <row r="1669" spans="1:10" hidden="1" x14ac:dyDescent="0.35">
      <c r="A1669" t="str">
        <f t="shared" si="26"/>
        <v>Catuji20201.1</v>
      </c>
      <c r="B1669">
        <v>3115458</v>
      </c>
      <c r="C1669" t="s">
        <v>44</v>
      </c>
      <c r="D1669">
        <v>2020</v>
      </c>
      <c r="E1669">
        <v>6</v>
      </c>
      <c r="F1669">
        <v>24</v>
      </c>
      <c r="G1669" t="s">
        <v>10</v>
      </c>
      <c r="H1669" t="s">
        <v>11</v>
      </c>
      <c r="I1669" s="1" t="s">
        <v>12</v>
      </c>
      <c r="J1669">
        <v>0.28120000000000001</v>
      </c>
    </row>
    <row r="1670" spans="1:10" hidden="1" x14ac:dyDescent="0.35">
      <c r="A1670" t="str">
        <f t="shared" si="26"/>
        <v>Catuji20201.2</v>
      </c>
      <c r="B1670">
        <v>3115458</v>
      </c>
      <c r="C1670" t="s">
        <v>44</v>
      </c>
      <c r="D1670">
        <v>2020</v>
      </c>
      <c r="E1670">
        <v>6</v>
      </c>
      <c r="F1670">
        <v>67</v>
      </c>
      <c r="G1670" t="s">
        <v>13</v>
      </c>
      <c r="H1670" t="s">
        <v>11</v>
      </c>
      <c r="I1670" s="1" t="s">
        <v>14</v>
      </c>
      <c r="J1670">
        <v>0.61170000000000002</v>
      </c>
    </row>
    <row r="1671" spans="1:10" hidden="1" x14ac:dyDescent="0.35">
      <c r="A1671" t="str">
        <f t="shared" si="26"/>
        <v>Catuji20201.3</v>
      </c>
      <c r="B1671">
        <v>3115458</v>
      </c>
      <c r="C1671" t="s">
        <v>44</v>
      </c>
      <c r="D1671">
        <v>2020</v>
      </c>
      <c r="E1671">
        <v>6</v>
      </c>
      <c r="F1671">
        <v>68</v>
      </c>
      <c r="G1671" t="s">
        <v>15</v>
      </c>
      <c r="H1671" t="s">
        <v>11</v>
      </c>
      <c r="I1671" s="1" t="s">
        <v>16</v>
      </c>
      <c r="J1671">
        <v>0.35520000000000002</v>
      </c>
    </row>
    <row r="1672" spans="1:10" hidden="1" x14ac:dyDescent="0.35">
      <c r="A1672" t="str">
        <f t="shared" si="26"/>
        <v>Catuji20202.1</v>
      </c>
      <c r="B1672">
        <v>3115458</v>
      </c>
      <c r="C1672" t="s">
        <v>44</v>
      </c>
      <c r="D1672">
        <v>2020</v>
      </c>
      <c r="E1672">
        <v>6</v>
      </c>
      <c r="F1672">
        <v>28</v>
      </c>
      <c r="G1672" t="s">
        <v>17</v>
      </c>
      <c r="H1672" t="s">
        <v>18</v>
      </c>
      <c r="I1672" s="1" t="s">
        <v>19</v>
      </c>
      <c r="J1672">
        <v>9.9400000000000002E-2</v>
      </c>
    </row>
    <row r="1673" spans="1:10" hidden="1" x14ac:dyDescent="0.35">
      <c r="A1673" t="str">
        <f t="shared" si="26"/>
        <v>Catuji20202.2</v>
      </c>
      <c r="B1673">
        <v>3115458</v>
      </c>
      <c r="C1673" t="s">
        <v>44</v>
      </c>
      <c r="D1673">
        <v>2020</v>
      </c>
      <c r="E1673">
        <v>6</v>
      </c>
      <c r="F1673">
        <v>29</v>
      </c>
      <c r="G1673" t="s">
        <v>20</v>
      </c>
      <c r="H1673" t="s">
        <v>18</v>
      </c>
      <c r="I1673" s="1" t="s">
        <v>21</v>
      </c>
      <c r="J1673">
        <v>0.86750000000000005</v>
      </c>
    </row>
    <row r="1674" spans="1:10" hidden="1" x14ac:dyDescent="0.35">
      <c r="A1674" t="str">
        <f t="shared" si="26"/>
        <v>Catuji20202.4</v>
      </c>
      <c r="B1674">
        <v>3115458</v>
      </c>
      <c r="C1674" t="s">
        <v>44</v>
      </c>
      <c r="D1674">
        <v>2020</v>
      </c>
      <c r="E1674">
        <v>6</v>
      </c>
      <c r="F1674">
        <v>31</v>
      </c>
      <c r="G1674" t="s">
        <v>22</v>
      </c>
      <c r="H1674" t="s">
        <v>18</v>
      </c>
      <c r="I1674" s="1" t="s">
        <v>23</v>
      </c>
    </row>
    <row r="1675" spans="1:10" hidden="1" x14ac:dyDescent="0.35">
      <c r="A1675" t="str">
        <f t="shared" si="26"/>
        <v>Catuji20202.5</v>
      </c>
      <c r="B1675">
        <v>3115458</v>
      </c>
      <c r="C1675" t="s">
        <v>44</v>
      </c>
      <c r="D1675">
        <v>2020</v>
      </c>
      <c r="E1675">
        <v>6</v>
      </c>
      <c r="F1675">
        <v>32</v>
      </c>
      <c r="G1675" t="s">
        <v>24</v>
      </c>
      <c r="H1675" t="s">
        <v>18</v>
      </c>
      <c r="I1675" s="1" t="s">
        <v>25</v>
      </c>
    </row>
    <row r="1676" spans="1:10" hidden="1" x14ac:dyDescent="0.35">
      <c r="A1676" t="str">
        <f t="shared" si="26"/>
        <v>Catuji20202.8</v>
      </c>
      <c r="B1676">
        <v>3115458</v>
      </c>
      <c r="C1676" t="s">
        <v>44</v>
      </c>
      <c r="D1676">
        <v>2020</v>
      </c>
      <c r="E1676">
        <v>6</v>
      </c>
      <c r="F1676">
        <v>35</v>
      </c>
      <c r="G1676" t="s">
        <v>26</v>
      </c>
      <c r="H1676" t="s">
        <v>18</v>
      </c>
      <c r="I1676" s="1" t="s">
        <v>27</v>
      </c>
    </row>
    <row r="1677" spans="1:10" hidden="1" x14ac:dyDescent="0.35">
      <c r="A1677" t="str">
        <f t="shared" si="26"/>
        <v>Catuji20204.1</v>
      </c>
      <c r="B1677">
        <v>3115458</v>
      </c>
      <c r="C1677" t="s">
        <v>44</v>
      </c>
      <c r="D1677">
        <v>2020</v>
      </c>
      <c r="E1677">
        <v>6</v>
      </c>
      <c r="F1677">
        <v>44</v>
      </c>
      <c r="G1677" t="s">
        <v>28</v>
      </c>
      <c r="H1677" t="s">
        <v>29</v>
      </c>
      <c r="I1677" s="1" t="s">
        <v>30</v>
      </c>
      <c r="J1677">
        <v>2684.56</v>
      </c>
    </row>
    <row r="1678" spans="1:10" hidden="1" x14ac:dyDescent="0.35">
      <c r="A1678" t="str">
        <f t="shared" si="26"/>
        <v>Catuji20204.10</v>
      </c>
      <c r="B1678">
        <v>3115458</v>
      </c>
      <c r="C1678" t="s">
        <v>44</v>
      </c>
      <c r="D1678">
        <v>2020</v>
      </c>
      <c r="E1678">
        <v>6</v>
      </c>
      <c r="F1678">
        <v>58</v>
      </c>
      <c r="G1678" t="s">
        <v>31</v>
      </c>
      <c r="H1678" t="s">
        <v>29</v>
      </c>
      <c r="I1678" s="1" t="s">
        <v>32</v>
      </c>
    </row>
    <row r="1679" spans="1:10" hidden="1" x14ac:dyDescent="0.35">
      <c r="A1679" t="str">
        <f t="shared" si="26"/>
        <v>Catuji20204.11</v>
      </c>
      <c r="B1679">
        <v>3115458</v>
      </c>
      <c r="C1679" t="s">
        <v>44</v>
      </c>
      <c r="D1679">
        <v>2020</v>
      </c>
      <c r="E1679">
        <v>6</v>
      </c>
      <c r="F1679">
        <v>59</v>
      </c>
      <c r="G1679" t="s">
        <v>33</v>
      </c>
      <c r="H1679" t="s">
        <v>29</v>
      </c>
      <c r="I1679" s="1" t="s">
        <v>34</v>
      </c>
      <c r="J1679">
        <v>4739.71</v>
      </c>
    </row>
    <row r="1680" spans="1:10" hidden="1" x14ac:dyDescent="0.35">
      <c r="A1680" t="str">
        <f t="shared" si="26"/>
        <v>Catuji20204.2</v>
      </c>
      <c r="B1680">
        <v>3115458</v>
      </c>
      <c r="C1680" t="s">
        <v>44</v>
      </c>
      <c r="D1680">
        <v>2020</v>
      </c>
      <c r="E1680">
        <v>6</v>
      </c>
      <c r="F1680">
        <v>45</v>
      </c>
      <c r="G1680" t="s">
        <v>35</v>
      </c>
      <c r="H1680" t="s">
        <v>29</v>
      </c>
      <c r="I1680" s="1" t="s">
        <v>36</v>
      </c>
      <c r="J1680">
        <v>8610.6</v>
      </c>
    </row>
    <row r="1681" spans="1:10" hidden="1" x14ac:dyDescent="0.35">
      <c r="A1681" t="str">
        <f t="shared" si="26"/>
        <v>Catuji20204.8</v>
      </c>
      <c r="B1681">
        <v>3115458</v>
      </c>
      <c r="C1681" t="s">
        <v>44</v>
      </c>
      <c r="D1681">
        <v>2020</v>
      </c>
      <c r="E1681">
        <v>6</v>
      </c>
      <c r="F1681">
        <v>56</v>
      </c>
      <c r="G1681" t="s">
        <v>37</v>
      </c>
      <c r="H1681" t="s">
        <v>29</v>
      </c>
      <c r="I1681" s="1" t="s">
        <v>38</v>
      </c>
      <c r="J1681">
        <v>6384.74</v>
      </c>
    </row>
    <row r="1682" spans="1:10" hidden="1" x14ac:dyDescent="0.35">
      <c r="A1682" t="str">
        <f t="shared" si="26"/>
        <v>Catuji20204.9</v>
      </c>
      <c r="B1682">
        <v>3115458</v>
      </c>
      <c r="C1682" t="s">
        <v>44</v>
      </c>
      <c r="D1682">
        <v>2020</v>
      </c>
      <c r="E1682">
        <v>6</v>
      </c>
      <c r="F1682">
        <v>57</v>
      </c>
      <c r="G1682" t="s">
        <v>39</v>
      </c>
      <c r="H1682" t="s">
        <v>29</v>
      </c>
      <c r="I1682" s="1" t="s">
        <v>40</v>
      </c>
      <c r="J1682">
        <v>6384.74</v>
      </c>
    </row>
    <row r="1683" spans="1:10" hidden="1" x14ac:dyDescent="0.35">
      <c r="A1683" t="str">
        <f t="shared" si="26"/>
        <v>Crisólita20201.1</v>
      </c>
      <c r="B1683">
        <v>3120151</v>
      </c>
      <c r="C1683" t="s">
        <v>45</v>
      </c>
      <c r="D1683">
        <v>2020</v>
      </c>
      <c r="E1683">
        <v>6</v>
      </c>
      <c r="F1683">
        <v>24</v>
      </c>
      <c r="G1683" t="s">
        <v>10</v>
      </c>
      <c r="H1683" t="s">
        <v>11</v>
      </c>
      <c r="I1683" s="1" t="s">
        <v>12</v>
      </c>
      <c r="J1683">
        <v>0.25819999999999999</v>
      </c>
    </row>
    <row r="1684" spans="1:10" hidden="1" x14ac:dyDescent="0.35">
      <c r="A1684" t="str">
        <f t="shared" si="26"/>
        <v>Crisólita20201.2</v>
      </c>
      <c r="B1684">
        <v>3120151</v>
      </c>
      <c r="C1684" t="s">
        <v>45</v>
      </c>
      <c r="D1684">
        <v>2020</v>
      </c>
      <c r="E1684">
        <v>6</v>
      </c>
      <c r="F1684">
        <v>67</v>
      </c>
      <c r="G1684" t="s">
        <v>13</v>
      </c>
      <c r="H1684" t="s">
        <v>11</v>
      </c>
      <c r="I1684" s="1" t="s">
        <v>14</v>
      </c>
      <c r="J1684">
        <v>0.63080000000000003</v>
      </c>
    </row>
    <row r="1685" spans="1:10" hidden="1" x14ac:dyDescent="0.35">
      <c r="A1685" t="str">
        <f t="shared" si="26"/>
        <v>Crisólita20201.3</v>
      </c>
      <c r="B1685">
        <v>3120151</v>
      </c>
      <c r="C1685" t="s">
        <v>45</v>
      </c>
      <c r="D1685">
        <v>2020</v>
      </c>
      <c r="E1685">
        <v>6</v>
      </c>
      <c r="F1685">
        <v>68</v>
      </c>
      <c r="G1685" t="s">
        <v>15</v>
      </c>
      <c r="H1685" t="s">
        <v>11</v>
      </c>
      <c r="I1685" s="1" t="s">
        <v>16</v>
      </c>
      <c r="J1685">
        <v>0.34420000000000001</v>
      </c>
    </row>
    <row r="1686" spans="1:10" hidden="1" x14ac:dyDescent="0.35">
      <c r="A1686" t="str">
        <f t="shared" si="26"/>
        <v>Crisólita20202.1</v>
      </c>
      <c r="B1686">
        <v>3120151</v>
      </c>
      <c r="C1686" t="s">
        <v>45</v>
      </c>
      <c r="D1686">
        <v>2020</v>
      </c>
      <c r="E1686">
        <v>6</v>
      </c>
      <c r="F1686">
        <v>28</v>
      </c>
      <c r="G1686" t="s">
        <v>17</v>
      </c>
      <c r="H1686" t="s">
        <v>18</v>
      </c>
      <c r="I1686" s="1" t="s">
        <v>19</v>
      </c>
      <c r="J1686">
        <v>0.13289999999999999</v>
      </c>
    </row>
    <row r="1687" spans="1:10" hidden="1" x14ac:dyDescent="0.35">
      <c r="A1687" t="str">
        <f t="shared" si="26"/>
        <v>Crisólita20202.2</v>
      </c>
      <c r="B1687">
        <v>3120151</v>
      </c>
      <c r="C1687" t="s">
        <v>45</v>
      </c>
      <c r="D1687">
        <v>2020</v>
      </c>
      <c r="E1687">
        <v>6</v>
      </c>
      <c r="F1687">
        <v>29</v>
      </c>
      <c r="G1687" t="s">
        <v>20</v>
      </c>
      <c r="H1687" t="s">
        <v>18</v>
      </c>
      <c r="I1687" s="1" t="s">
        <v>21</v>
      </c>
      <c r="J1687">
        <v>0.84209999999999996</v>
      </c>
    </row>
    <row r="1688" spans="1:10" hidden="1" x14ac:dyDescent="0.35">
      <c r="A1688" t="str">
        <f t="shared" si="26"/>
        <v>Crisólita20202.4</v>
      </c>
      <c r="B1688">
        <v>3120151</v>
      </c>
      <c r="C1688" t="s">
        <v>45</v>
      </c>
      <c r="D1688">
        <v>2020</v>
      </c>
      <c r="E1688">
        <v>6</v>
      </c>
      <c r="F1688">
        <v>31</v>
      </c>
      <c r="G1688" t="s">
        <v>22</v>
      </c>
      <c r="H1688" t="s">
        <v>18</v>
      </c>
      <c r="I1688" s="1" t="s">
        <v>23</v>
      </c>
    </row>
    <row r="1689" spans="1:10" hidden="1" x14ac:dyDescent="0.35">
      <c r="A1689" t="str">
        <f t="shared" si="26"/>
        <v>Crisólita20202.5</v>
      </c>
      <c r="B1689">
        <v>3120151</v>
      </c>
      <c r="C1689" t="s">
        <v>45</v>
      </c>
      <c r="D1689">
        <v>2020</v>
      </c>
      <c r="E1689">
        <v>6</v>
      </c>
      <c r="F1689">
        <v>32</v>
      </c>
      <c r="G1689" t="s">
        <v>24</v>
      </c>
      <c r="H1689" t="s">
        <v>18</v>
      </c>
      <c r="I1689" s="1" t="s">
        <v>25</v>
      </c>
    </row>
    <row r="1690" spans="1:10" hidden="1" x14ac:dyDescent="0.35">
      <c r="A1690" t="str">
        <f t="shared" si="26"/>
        <v>Crisólita20202.8</v>
      </c>
      <c r="B1690">
        <v>3120151</v>
      </c>
      <c r="C1690" t="s">
        <v>45</v>
      </c>
      <c r="D1690">
        <v>2020</v>
      </c>
      <c r="E1690">
        <v>6</v>
      </c>
      <c r="F1690">
        <v>35</v>
      </c>
      <c r="G1690" t="s">
        <v>26</v>
      </c>
      <c r="H1690" t="s">
        <v>18</v>
      </c>
      <c r="I1690" s="1" t="s">
        <v>27</v>
      </c>
    </row>
    <row r="1691" spans="1:10" hidden="1" x14ac:dyDescent="0.35">
      <c r="A1691" t="str">
        <f t="shared" si="26"/>
        <v>Crisólita20204.1</v>
      </c>
      <c r="B1691">
        <v>3120151</v>
      </c>
      <c r="C1691" t="s">
        <v>45</v>
      </c>
      <c r="D1691">
        <v>2020</v>
      </c>
      <c r="E1691">
        <v>6</v>
      </c>
      <c r="F1691">
        <v>44</v>
      </c>
      <c r="G1691" t="s">
        <v>28</v>
      </c>
      <c r="H1691" t="s">
        <v>29</v>
      </c>
      <c r="I1691" s="1" t="s">
        <v>30</v>
      </c>
      <c r="J1691">
        <v>3505.41</v>
      </c>
    </row>
    <row r="1692" spans="1:10" hidden="1" x14ac:dyDescent="0.35">
      <c r="A1692" t="str">
        <f t="shared" si="26"/>
        <v>Crisólita20204.10</v>
      </c>
      <c r="B1692">
        <v>3120151</v>
      </c>
      <c r="C1692" t="s">
        <v>45</v>
      </c>
      <c r="D1692">
        <v>2020</v>
      </c>
      <c r="E1692">
        <v>6</v>
      </c>
      <c r="F1692">
        <v>58</v>
      </c>
      <c r="G1692" t="s">
        <v>31</v>
      </c>
      <c r="H1692" t="s">
        <v>29</v>
      </c>
      <c r="I1692" s="1" t="s">
        <v>32</v>
      </c>
    </row>
    <row r="1693" spans="1:10" hidden="1" x14ac:dyDescent="0.35">
      <c r="A1693" t="str">
        <f t="shared" si="26"/>
        <v>Crisólita20204.11</v>
      </c>
      <c r="B1693">
        <v>3120151</v>
      </c>
      <c r="C1693" t="s">
        <v>45</v>
      </c>
      <c r="D1693">
        <v>2020</v>
      </c>
      <c r="E1693">
        <v>6</v>
      </c>
      <c r="F1693">
        <v>59</v>
      </c>
      <c r="G1693" t="s">
        <v>33</v>
      </c>
      <c r="H1693" t="s">
        <v>29</v>
      </c>
      <c r="I1693" s="1" t="s">
        <v>34</v>
      </c>
      <c r="J1693">
        <v>3700.52</v>
      </c>
    </row>
    <row r="1694" spans="1:10" hidden="1" x14ac:dyDescent="0.35">
      <c r="A1694" t="str">
        <f t="shared" si="26"/>
        <v>Crisólita20204.2</v>
      </c>
      <c r="B1694">
        <v>3120151</v>
      </c>
      <c r="C1694" t="s">
        <v>45</v>
      </c>
      <c r="D1694">
        <v>2020</v>
      </c>
      <c r="E1694">
        <v>6</v>
      </c>
      <c r="F1694">
        <v>45</v>
      </c>
      <c r="G1694" t="s">
        <v>35</v>
      </c>
      <c r="H1694" t="s">
        <v>29</v>
      </c>
      <c r="I1694" s="1" t="s">
        <v>36</v>
      </c>
      <c r="J1694">
        <v>6965.67</v>
      </c>
    </row>
    <row r="1695" spans="1:10" hidden="1" x14ac:dyDescent="0.35">
      <c r="A1695" t="str">
        <f t="shared" si="26"/>
        <v>Crisólita20204.8</v>
      </c>
      <c r="B1695">
        <v>3120151</v>
      </c>
      <c r="C1695" t="s">
        <v>45</v>
      </c>
      <c r="D1695">
        <v>2020</v>
      </c>
      <c r="E1695">
        <v>6</v>
      </c>
      <c r="F1695">
        <v>56</v>
      </c>
      <c r="G1695" t="s">
        <v>37</v>
      </c>
      <c r="H1695" t="s">
        <v>29</v>
      </c>
      <c r="I1695" s="1" t="s">
        <v>38</v>
      </c>
      <c r="J1695">
        <v>5972.18</v>
      </c>
    </row>
    <row r="1696" spans="1:10" hidden="1" x14ac:dyDescent="0.35">
      <c r="A1696" t="str">
        <f t="shared" si="26"/>
        <v>Crisólita20204.9</v>
      </c>
      <c r="B1696">
        <v>3120151</v>
      </c>
      <c r="C1696" t="s">
        <v>45</v>
      </c>
      <c r="D1696">
        <v>2020</v>
      </c>
      <c r="E1696">
        <v>6</v>
      </c>
      <c r="F1696">
        <v>57</v>
      </c>
      <c r="G1696" t="s">
        <v>39</v>
      </c>
      <c r="H1696" t="s">
        <v>29</v>
      </c>
      <c r="I1696" s="1" t="s">
        <v>40</v>
      </c>
      <c r="J1696">
        <v>5972.18</v>
      </c>
    </row>
    <row r="1697" spans="1:10" hidden="1" x14ac:dyDescent="0.35">
      <c r="A1697" t="str">
        <f t="shared" si="26"/>
        <v>Franciscópolis20201.1</v>
      </c>
      <c r="B1697">
        <v>3126752</v>
      </c>
      <c r="C1697" t="s">
        <v>46</v>
      </c>
      <c r="D1697">
        <v>2020</v>
      </c>
      <c r="E1697">
        <v>6</v>
      </c>
      <c r="F1697">
        <v>24</v>
      </c>
      <c r="G1697" t="s">
        <v>10</v>
      </c>
      <c r="H1697" t="s">
        <v>11</v>
      </c>
      <c r="I1697" s="1" t="s">
        <v>12</v>
      </c>
      <c r="J1697">
        <v>0.29670000000000002</v>
      </c>
    </row>
    <row r="1698" spans="1:10" hidden="1" x14ac:dyDescent="0.35">
      <c r="A1698" t="str">
        <f t="shared" si="26"/>
        <v>Franciscópolis20201.2</v>
      </c>
      <c r="B1698">
        <v>3126752</v>
      </c>
      <c r="C1698" t="s">
        <v>46</v>
      </c>
      <c r="D1698">
        <v>2020</v>
      </c>
      <c r="E1698">
        <v>6</v>
      </c>
      <c r="F1698">
        <v>67</v>
      </c>
      <c r="G1698" t="s">
        <v>13</v>
      </c>
      <c r="H1698" t="s">
        <v>11</v>
      </c>
      <c r="I1698" s="1" t="s">
        <v>14</v>
      </c>
      <c r="J1698">
        <v>0.89280000000000004</v>
      </c>
    </row>
    <row r="1699" spans="1:10" hidden="1" x14ac:dyDescent="0.35">
      <c r="A1699" t="str">
        <f t="shared" si="26"/>
        <v>Franciscópolis20201.3</v>
      </c>
      <c r="B1699">
        <v>3126752</v>
      </c>
      <c r="C1699" t="s">
        <v>46</v>
      </c>
      <c r="D1699">
        <v>2020</v>
      </c>
      <c r="E1699">
        <v>6</v>
      </c>
      <c r="F1699">
        <v>68</v>
      </c>
      <c r="G1699" t="s">
        <v>15</v>
      </c>
      <c r="H1699" t="s">
        <v>11</v>
      </c>
      <c r="I1699" s="1" t="s">
        <v>16</v>
      </c>
      <c r="J1699">
        <v>0.1028</v>
      </c>
    </row>
    <row r="1700" spans="1:10" hidden="1" x14ac:dyDescent="0.35">
      <c r="A1700" t="str">
        <f t="shared" si="26"/>
        <v>Franciscópolis20202.1</v>
      </c>
      <c r="B1700">
        <v>3126752</v>
      </c>
      <c r="C1700" t="s">
        <v>46</v>
      </c>
      <c r="D1700">
        <v>2020</v>
      </c>
      <c r="E1700">
        <v>6</v>
      </c>
      <c r="F1700">
        <v>28</v>
      </c>
      <c r="G1700" t="s">
        <v>17</v>
      </c>
      <c r="H1700" t="s">
        <v>18</v>
      </c>
      <c r="I1700" s="1" t="s">
        <v>19</v>
      </c>
      <c r="J1700">
        <v>0.32400000000000001</v>
      </c>
    </row>
    <row r="1701" spans="1:10" hidden="1" x14ac:dyDescent="0.35">
      <c r="A1701" t="str">
        <f t="shared" si="26"/>
        <v>Franciscópolis20202.2</v>
      </c>
      <c r="B1701">
        <v>3126752</v>
      </c>
      <c r="C1701" t="s">
        <v>46</v>
      </c>
      <c r="D1701">
        <v>2020</v>
      </c>
      <c r="E1701">
        <v>6</v>
      </c>
      <c r="F1701">
        <v>29</v>
      </c>
      <c r="G1701" t="s">
        <v>20</v>
      </c>
      <c r="H1701" t="s">
        <v>18</v>
      </c>
      <c r="I1701" s="1" t="s">
        <v>21</v>
      </c>
      <c r="J1701">
        <v>0.67159999999999997</v>
      </c>
    </row>
    <row r="1702" spans="1:10" hidden="1" x14ac:dyDescent="0.35">
      <c r="A1702" t="str">
        <f t="shared" si="26"/>
        <v>Franciscópolis20202.4</v>
      </c>
      <c r="B1702">
        <v>3126752</v>
      </c>
      <c r="C1702" t="s">
        <v>46</v>
      </c>
      <c r="D1702">
        <v>2020</v>
      </c>
      <c r="E1702">
        <v>6</v>
      </c>
      <c r="F1702">
        <v>31</v>
      </c>
      <c r="G1702" t="s">
        <v>22</v>
      </c>
      <c r="H1702" t="s">
        <v>18</v>
      </c>
      <c r="I1702" s="1" t="s">
        <v>23</v>
      </c>
    </row>
    <row r="1703" spans="1:10" hidden="1" x14ac:dyDescent="0.35">
      <c r="A1703" t="str">
        <f t="shared" si="26"/>
        <v>Franciscópolis20202.5</v>
      </c>
      <c r="B1703">
        <v>3126752</v>
      </c>
      <c r="C1703" t="s">
        <v>46</v>
      </c>
      <c r="D1703">
        <v>2020</v>
      </c>
      <c r="E1703">
        <v>6</v>
      </c>
      <c r="F1703">
        <v>32</v>
      </c>
      <c r="G1703" t="s">
        <v>24</v>
      </c>
      <c r="H1703" t="s">
        <v>18</v>
      </c>
      <c r="I1703" s="1" t="s">
        <v>25</v>
      </c>
    </row>
    <row r="1704" spans="1:10" hidden="1" x14ac:dyDescent="0.35">
      <c r="A1704" t="str">
        <f t="shared" si="26"/>
        <v>Franciscópolis20202.8</v>
      </c>
      <c r="B1704">
        <v>3126752</v>
      </c>
      <c r="C1704" t="s">
        <v>46</v>
      </c>
      <c r="D1704">
        <v>2020</v>
      </c>
      <c r="E1704">
        <v>6</v>
      </c>
      <c r="F1704">
        <v>35</v>
      </c>
      <c r="G1704" t="s">
        <v>26</v>
      </c>
      <c r="H1704" t="s">
        <v>18</v>
      </c>
      <c r="I1704" s="1" t="s">
        <v>27</v>
      </c>
    </row>
    <row r="1705" spans="1:10" hidden="1" x14ac:dyDescent="0.35">
      <c r="A1705" t="str">
        <f t="shared" si="26"/>
        <v>Franciscópolis20204.1</v>
      </c>
      <c r="B1705">
        <v>3126752</v>
      </c>
      <c r="C1705" t="s">
        <v>46</v>
      </c>
      <c r="D1705">
        <v>2020</v>
      </c>
      <c r="E1705">
        <v>6</v>
      </c>
      <c r="F1705">
        <v>44</v>
      </c>
      <c r="G1705" t="s">
        <v>28</v>
      </c>
      <c r="H1705" t="s">
        <v>29</v>
      </c>
      <c r="I1705" s="1" t="s">
        <v>30</v>
      </c>
      <c r="J1705">
        <v>7743.86</v>
      </c>
    </row>
    <row r="1706" spans="1:10" hidden="1" x14ac:dyDescent="0.35">
      <c r="A1706" t="str">
        <f t="shared" si="26"/>
        <v>Franciscópolis20204.10</v>
      </c>
      <c r="B1706">
        <v>3126752</v>
      </c>
      <c r="C1706" t="s">
        <v>46</v>
      </c>
      <c r="D1706">
        <v>2020</v>
      </c>
      <c r="E1706">
        <v>6</v>
      </c>
      <c r="F1706">
        <v>58</v>
      </c>
      <c r="G1706" t="s">
        <v>31</v>
      </c>
      <c r="H1706" t="s">
        <v>29</v>
      </c>
      <c r="I1706" s="1" t="s">
        <v>32</v>
      </c>
    </row>
    <row r="1707" spans="1:10" hidden="1" x14ac:dyDescent="0.35">
      <c r="A1707" t="str">
        <f t="shared" si="26"/>
        <v>Franciscópolis20204.11</v>
      </c>
      <c r="B1707">
        <v>3126752</v>
      </c>
      <c r="C1707" t="s">
        <v>46</v>
      </c>
      <c r="D1707">
        <v>2020</v>
      </c>
      <c r="E1707">
        <v>6</v>
      </c>
      <c r="F1707">
        <v>59</v>
      </c>
      <c r="G1707" t="s">
        <v>33</v>
      </c>
      <c r="H1707" t="s">
        <v>29</v>
      </c>
      <c r="I1707" s="1" t="s">
        <v>34</v>
      </c>
      <c r="J1707">
        <v>7619.63</v>
      </c>
    </row>
    <row r="1708" spans="1:10" hidden="1" x14ac:dyDescent="0.35">
      <c r="A1708" t="str">
        <f t="shared" si="26"/>
        <v>Franciscópolis20204.2</v>
      </c>
      <c r="B1708">
        <v>3126752</v>
      </c>
      <c r="C1708" t="s">
        <v>46</v>
      </c>
      <c r="D1708">
        <v>2020</v>
      </c>
      <c r="E1708">
        <v>6</v>
      </c>
      <c r="F1708">
        <v>45</v>
      </c>
      <c r="G1708" t="s">
        <v>35</v>
      </c>
      <c r="H1708" t="s">
        <v>29</v>
      </c>
      <c r="I1708" s="1" t="s">
        <v>36</v>
      </c>
      <c r="J1708">
        <v>10608.11</v>
      </c>
    </row>
    <row r="1709" spans="1:10" hidden="1" x14ac:dyDescent="0.35">
      <c r="A1709" t="str">
        <f t="shared" si="26"/>
        <v>Franciscópolis20204.8</v>
      </c>
      <c r="B1709">
        <v>3126752</v>
      </c>
      <c r="C1709" t="s">
        <v>46</v>
      </c>
      <c r="D1709">
        <v>2020</v>
      </c>
      <c r="E1709">
        <v>6</v>
      </c>
      <c r="F1709">
        <v>56</v>
      </c>
      <c r="G1709" t="s">
        <v>37</v>
      </c>
      <c r="H1709" t="s">
        <v>29</v>
      </c>
      <c r="I1709" s="1" t="s">
        <v>38</v>
      </c>
      <c r="J1709">
        <v>9571.4</v>
      </c>
    </row>
    <row r="1710" spans="1:10" hidden="1" x14ac:dyDescent="0.35">
      <c r="A1710" t="str">
        <f t="shared" si="26"/>
        <v>Franciscópolis20204.9</v>
      </c>
      <c r="B1710">
        <v>3126752</v>
      </c>
      <c r="C1710" t="s">
        <v>46</v>
      </c>
      <c r="D1710">
        <v>2020</v>
      </c>
      <c r="E1710">
        <v>6</v>
      </c>
      <c r="F1710">
        <v>57</v>
      </c>
      <c r="G1710" t="s">
        <v>39</v>
      </c>
      <c r="H1710" t="s">
        <v>29</v>
      </c>
      <c r="I1710" s="1" t="s">
        <v>40</v>
      </c>
      <c r="J1710">
        <v>9571.4</v>
      </c>
    </row>
    <row r="1711" spans="1:10" hidden="1" x14ac:dyDescent="0.35">
      <c r="A1711" t="str">
        <f t="shared" si="26"/>
        <v>Frei Gaspar20201.1</v>
      </c>
      <c r="B1711">
        <v>3126802</v>
      </c>
      <c r="C1711" t="s">
        <v>47</v>
      </c>
      <c r="D1711">
        <v>2020</v>
      </c>
      <c r="E1711">
        <v>6</v>
      </c>
      <c r="F1711">
        <v>24</v>
      </c>
      <c r="G1711" t="s">
        <v>10</v>
      </c>
      <c r="H1711" t="s">
        <v>11</v>
      </c>
      <c r="I1711" s="1" t="s">
        <v>12</v>
      </c>
      <c r="J1711">
        <v>0.29830000000000001</v>
      </c>
    </row>
    <row r="1712" spans="1:10" hidden="1" x14ac:dyDescent="0.35">
      <c r="A1712" t="str">
        <f t="shared" si="26"/>
        <v>Frei Gaspar20201.2</v>
      </c>
      <c r="B1712">
        <v>3126802</v>
      </c>
      <c r="C1712" t="s">
        <v>47</v>
      </c>
      <c r="D1712">
        <v>2020</v>
      </c>
      <c r="E1712">
        <v>6</v>
      </c>
      <c r="F1712">
        <v>67</v>
      </c>
      <c r="G1712" t="s">
        <v>13</v>
      </c>
      <c r="H1712" t="s">
        <v>11</v>
      </c>
      <c r="I1712" s="1" t="s">
        <v>14</v>
      </c>
      <c r="J1712">
        <v>0.75800000000000001</v>
      </c>
    </row>
    <row r="1713" spans="1:10" hidden="1" x14ac:dyDescent="0.35">
      <c r="A1713" t="str">
        <f t="shared" si="26"/>
        <v>Frei Gaspar20201.3</v>
      </c>
      <c r="B1713">
        <v>3126802</v>
      </c>
      <c r="C1713" t="s">
        <v>47</v>
      </c>
      <c r="D1713">
        <v>2020</v>
      </c>
      <c r="E1713">
        <v>6</v>
      </c>
      <c r="F1713">
        <v>68</v>
      </c>
      <c r="G1713" t="s">
        <v>15</v>
      </c>
      <c r="H1713" t="s">
        <v>11</v>
      </c>
      <c r="I1713" s="1" t="s">
        <v>16</v>
      </c>
      <c r="J1713">
        <v>0.24199999999999999</v>
      </c>
    </row>
    <row r="1714" spans="1:10" hidden="1" x14ac:dyDescent="0.35">
      <c r="A1714" t="str">
        <f t="shared" si="26"/>
        <v>Frei Gaspar20202.1</v>
      </c>
      <c r="B1714">
        <v>3126802</v>
      </c>
      <c r="C1714" t="s">
        <v>47</v>
      </c>
      <c r="D1714">
        <v>2020</v>
      </c>
      <c r="E1714">
        <v>6</v>
      </c>
      <c r="F1714">
        <v>28</v>
      </c>
      <c r="G1714" t="s">
        <v>17</v>
      </c>
      <c r="H1714" t="s">
        <v>18</v>
      </c>
      <c r="I1714" s="1" t="s">
        <v>19</v>
      </c>
    </row>
    <row r="1715" spans="1:10" hidden="1" x14ac:dyDescent="0.35">
      <c r="A1715" t="str">
        <f t="shared" si="26"/>
        <v>Frei Gaspar20202.2</v>
      </c>
      <c r="B1715">
        <v>3126802</v>
      </c>
      <c r="C1715" t="s">
        <v>47</v>
      </c>
      <c r="D1715">
        <v>2020</v>
      </c>
      <c r="E1715">
        <v>6</v>
      </c>
      <c r="F1715">
        <v>29</v>
      </c>
      <c r="G1715" t="s">
        <v>20</v>
      </c>
      <c r="H1715" t="s">
        <v>18</v>
      </c>
      <c r="I1715" s="1" t="s">
        <v>21</v>
      </c>
      <c r="J1715">
        <v>1.0510999999999999</v>
      </c>
    </row>
    <row r="1716" spans="1:10" hidden="1" x14ac:dyDescent="0.35">
      <c r="A1716" t="str">
        <f t="shared" si="26"/>
        <v>Frei Gaspar20202.4</v>
      </c>
      <c r="B1716">
        <v>3126802</v>
      </c>
      <c r="C1716" t="s">
        <v>47</v>
      </c>
      <c r="D1716">
        <v>2020</v>
      </c>
      <c r="E1716">
        <v>6</v>
      </c>
      <c r="F1716">
        <v>31</v>
      </c>
      <c r="G1716" t="s">
        <v>22</v>
      </c>
      <c r="H1716" t="s">
        <v>18</v>
      </c>
      <c r="I1716" s="1" t="s">
        <v>23</v>
      </c>
    </row>
    <row r="1717" spans="1:10" hidden="1" x14ac:dyDescent="0.35">
      <c r="A1717" t="str">
        <f t="shared" si="26"/>
        <v>Frei Gaspar20202.5</v>
      </c>
      <c r="B1717">
        <v>3126802</v>
      </c>
      <c r="C1717" t="s">
        <v>47</v>
      </c>
      <c r="D1717">
        <v>2020</v>
      </c>
      <c r="E1717">
        <v>6</v>
      </c>
      <c r="F1717">
        <v>32</v>
      </c>
      <c r="G1717" t="s">
        <v>24</v>
      </c>
      <c r="H1717" t="s">
        <v>18</v>
      </c>
      <c r="I1717" s="1" t="s">
        <v>25</v>
      </c>
    </row>
    <row r="1718" spans="1:10" hidden="1" x14ac:dyDescent="0.35">
      <c r="A1718" t="str">
        <f t="shared" si="26"/>
        <v>Frei Gaspar20202.8</v>
      </c>
      <c r="B1718">
        <v>3126802</v>
      </c>
      <c r="C1718" t="s">
        <v>47</v>
      </c>
      <c r="D1718">
        <v>2020</v>
      </c>
      <c r="E1718">
        <v>6</v>
      </c>
      <c r="F1718">
        <v>35</v>
      </c>
      <c r="G1718" t="s">
        <v>26</v>
      </c>
      <c r="H1718" t="s">
        <v>18</v>
      </c>
      <c r="I1718" s="1" t="s">
        <v>27</v>
      </c>
    </row>
    <row r="1719" spans="1:10" hidden="1" x14ac:dyDescent="0.35">
      <c r="A1719" t="str">
        <f t="shared" si="26"/>
        <v>Frei Gaspar20204.1</v>
      </c>
      <c r="B1719">
        <v>3126802</v>
      </c>
      <c r="C1719" t="s">
        <v>47</v>
      </c>
      <c r="D1719">
        <v>2020</v>
      </c>
      <c r="E1719">
        <v>6</v>
      </c>
      <c r="F1719">
        <v>44</v>
      </c>
      <c r="G1719" t="s">
        <v>28</v>
      </c>
      <c r="H1719" t="s">
        <v>29</v>
      </c>
      <c r="I1719" s="1" t="s">
        <v>30</v>
      </c>
      <c r="J1719">
        <v>3076.92</v>
      </c>
    </row>
    <row r="1720" spans="1:10" hidden="1" x14ac:dyDescent="0.35">
      <c r="A1720" t="str">
        <f t="shared" si="26"/>
        <v>Frei Gaspar20204.10</v>
      </c>
      <c r="B1720">
        <v>3126802</v>
      </c>
      <c r="C1720" t="s">
        <v>47</v>
      </c>
      <c r="D1720">
        <v>2020</v>
      </c>
      <c r="E1720">
        <v>6</v>
      </c>
      <c r="F1720">
        <v>58</v>
      </c>
      <c r="G1720" t="s">
        <v>31</v>
      </c>
      <c r="H1720" t="s">
        <v>29</v>
      </c>
      <c r="I1720" s="1" t="s">
        <v>32</v>
      </c>
    </row>
    <row r="1721" spans="1:10" hidden="1" x14ac:dyDescent="0.35">
      <c r="A1721" t="str">
        <f t="shared" si="26"/>
        <v>Frei Gaspar20204.11</v>
      </c>
      <c r="B1721">
        <v>3126802</v>
      </c>
      <c r="C1721" t="s">
        <v>47</v>
      </c>
      <c r="D1721">
        <v>2020</v>
      </c>
      <c r="E1721">
        <v>6</v>
      </c>
      <c r="F1721">
        <v>59</v>
      </c>
      <c r="G1721" t="s">
        <v>33</v>
      </c>
      <c r="H1721" t="s">
        <v>29</v>
      </c>
      <c r="I1721" s="1" t="s">
        <v>34</v>
      </c>
      <c r="J1721">
        <v>5877.53</v>
      </c>
    </row>
    <row r="1722" spans="1:10" hidden="1" x14ac:dyDescent="0.35">
      <c r="A1722" t="str">
        <f t="shared" si="26"/>
        <v>Frei Gaspar20204.2</v>
      </c>
      <c r="B1722">
        <v>3126802</v>
      </c>
      <c r="C1722" t="s">
        <v>47</v>
      </c>
      <c r="D1722">
        <v>2020</v>
      </c>
      <c r="E1722">
        <v>6</v>
      </c>
      <c r="F1722">
        <v>45</v>
      </c>
      <c r="G1722" t="s">
        <v>35</v>
      </c>
      <c r="H1722" t="s">
        <v>29</v>
      </c>
      <c r="I1722" s="1" t="s">
        <v>36</v>
      </c>
      <c r="J1722">
        <v>8332.42</v>
      </c>
    </row>
    <row r="1723" spans="1:10" hidden="1" x14ac:dyDescent="0.35">
      <c r="A1723" t="str">
        <f t="shared" si="26"/>
        <v>Frei Gaspar20204.8</v>
      </c>
      <c r="B1723">
        <v>3126802</v>
      </c>
      <c r="C1723" t="s">
        <v>47</v>
      </c>
      <c r="D1723">
        <v>2020</v>
      </c>
      <c r="E1723">
        <v>6</v>
      </c>
      <c r="F1723">
        <v>56</v>
      </c>
      <c r="G1723" t="s">
        <v>37</v>
      </c>
      <c r="H1723" t="s">
        <v>29</v>
      </c>
      <c r="I1723" s="1" t="s">
        <v>38</v>
      </c>
      <c r="J1723">
        <v>7022.48</v>
      </c>
    </row>
    <row r="1724" spans="1:10" hidden="1" x14ac:dyDescent="0.35">
      <c r="A1724" t="str">
        <f t="shared" si="26"/>
        <v>Frei Gaspar20204.9</v>
      </c>
      <c r="B1724">
        <v>3126802</v>
      </c>
      <c r="C1724" t="s">
        <v>47</v>
      </c>
      <c r="D1724">
        <v>2020</v>
      </c>
      <c r="E1724">
        <v>6</v>
      </c>
      <c r="F1724">
        <v>57</v>
      </c>
      <c r="G1724" t="s">
        <v>39</v>
      </c>
      <c r="H1724" t="s">
        <v>29</v>
      </c>
      <c r="I1724" s="1" t="s">
        <v>40</v>
      </c>
      <c r="J1724">
        <v>7022.48</v>
      </c>
    </row>
    <row r="1725" spans="1:10" hidden="1" x14ac:dyDescent="0.35">
      <c r="A1725" t="str">
        <f t="shared" si="26"/>
        <v>Fronteira dos Vales20201.1</v>
      </c>
      <c r="B1725">
        <v>3127057</v>
      </c>
      <c r="C1725" t="s">
        <v>48</v>
      </c>
      <c r="D1725">
        <v>2020</v>
      </c>
      <c r="E1725">
        <v>6</v>
      </c>
      <c r="F1725">
        <v>24</v>
      </c>
      <c r="G1725" t="s">
        <v>10</v>
      </c>
      <c r="H1725" t="s">
        <v>11</v>
      </c>
      <c r="I1725" s="1" t="s">
        <v>12</v>
      </c>
      <c r="J1725">
        <v>0.28920000000000001</v>
      </c>
    </row>
    <row r="1726" spans="1:10" hidden="1" x14ac:dyDescent="0.35">
      <c r="A1726" t="str">
        <f t="shared" si="26"/>
        <v>Fronteira dos Vales20201.2</v>
      </c>
      <c r="B1726">
        <v>3127057</v>
      </c>
      <c r="C1726" t="s">
        <v>48</v>
      </c>
      <c r="D1726">
        <v>2020</v>
      </c>
      <c r="E1726">
        <v>6</v>
      </c>
      <c r="F1726">
        <v>67</v>
      </c>
      <c r="G1726" t="s">
        <v>13</v>
      </c>
      <c r="H1726" t="s">
        <v>11</v>
      </c>
      <c r="I1726" s="1" t="s">
        <v>14</v>
      </c>
      <c r="J1726">
        <v>0.61470000000000002</v>
      </c>
    </row>
    <row r="1727" spans="1:10" hidden="1" x14ac:dyDescent="0.35">
      <c r="A1727" t="str">
        <f t="shared" si="26"/>
        <v>Fronteira dos Vales20201.3</v>
      </c>
      <c r="B1727">
        <v>3127057</v>
      </c>
      <c r="C1727" t="s">
        <v>48</v>
      </c>
      <c r="D1727">
        <v>2020</v>
      </c>
      <c r="E1727">
        <v>6</v>
      </c>
      <c r="F1727">
        <v>68</v>
      </c>
      <c r="G1727" t="s">
        <v>15</v>
      </c>
      <c r="H1727" t="s">
        <v>11</v>
      </c>
      <c r="I1727" s="1" t="s">
        <v>16</v>
      </c>
      <c r="J1727">
        <v>0.35949999999999999</v>
      </c>
    </row>
    <row r="1728" spans="1:10" hidden="1" x14ac:dyDescent="0.35">
      <c r="A1728" t="str">
        <f t="shared" si="26"/>
        <v>Fronteira dos Vales20202.1</v>
      </c>
      <c r="B1728">
        <v>3127057</v>
      </c>
      <c r="C1728" t="s">
        <v>48</v>
      </c>
      <c r="D1728">
        <v>2020</v>
      </c>
      <c r="E1728">
        <v>6</v>
      </c>
      <c r="F1728">
        <v>28</v>
      </c>
      <c r="G1728" t="s">
        <v>17</v>
      </c>
      <c r="H1728" t="s">
        <v>18</v>
      </c>
      <c r="I1728" s="1" t="s">
        <v>19</v>
      </c>
      <c r="J1728">
        <v>5.9299999999999999E-2</v>
      </c>
    </row>
    <row r="1729" spans="1:10" hidden="1" x14ac:dyDescent="0.35">
      <c r="A1729" t="str">
        <f t="shared" si="26"/>
        <v>Fronteira dos Vales20202.2</v>
      </c>
      <c r="B1729">
        <v>3127057</v>
      </c>
      <c r="C1729" t="s">
        <v>48</v>
      </c>
      <c r="D1729">
        <v>2020</v>
      </c>
      <c r="E1729">
        <v>6</v>
      </c>
      <c r="F1729">
        <v>29</v>
      </c>
      <c r="G1729" t="s">
        <v>20</v>
      </c>
      <c r="H1729" t="s">
        <v>18</v>
      </c>
      <c r="I1729" s="1" t="s">
        <v>21</v>
      </c>
      <c r="J1729">
        <v>0.95779999999999998</v>
      </c>
    </row>
    <row r="1730" spans="1:10" hidden="1" x14ac:dyDescent="0.35">
      <c r="A1730" t="str">
        <f t="shared" si="26"/>
        <v>Fronteira dos Vales20202.4</v>
      </c>
      <c r="B1730">
        <v>3127057</v>
      </c>
      <c r="C1730" t="s">
        <v>48</v>
      </c>
      <c r="D1730">
        <v>2020</v>
      </c>
      <c r="E1730">
        <v>6</v>
      </c>
      <c r="F1730">
        <v>31</v>
      </c>
      <c r="G1730" t="s">
        <v>22</v>
      </c>
      <c r="H1730" t="s">
        <v>18</v>
      </c>
      <c r="I1730" s="1" t="s">
        <v>23</v>
      </c>
    </row>
    <row r="1731" spans="1:10" hidden="1" x14ac:dyDescent="0.35">
      <c r="A1731" t="str">
        <f t="shared" si="26"/>
        <v>Fronteira dos Vales20202.5</v>
      </c>
      <c r="B1731">
        <v>3127057</v>
      </c>
      <c r="C1731" t="s">
        <v>48</v>
      </c>
      <c r="D1731">
        <v>2020</v>
      </c>
      <c r="E1731">
        <v>6</v>
      </c>
      <c r="F1731">
        <v>32</v>
      </c>
      <c r="G1731" t="s">
        <v>24</v>
      </c>
      <c r="H1731" t="s">
        <v>18</v>
      </c>
      <c r="I1731" s="1" t="s">
        <v>25</v>
      </c>
    </row>
    <row r="1732" spans="1:10" hidden="1" x14ac:dyDescent="0.35">
      <c r="A1732" t="str">
        <f t="shared" ref="A1732:A1795" si="27">C1732&amp;D1732&amp;G1732</f>
        <v>Fronteira dos Vales20202.8</v>
      </c>
      <c r="B1732">
        <v>3127057</v>
      </c>
      <c r="C1732" t="s">
        <v>48</v>
      </c>
      <c r="D1732">
        <v>2020</v>
      </c>
      <c r="E1732">
        <v>6</v>
      </c>
      <c r="F1732">
        <v>35</v>
      </c>
      <c r="G1732" t="s">
        <v>26</v>
      </c>
      <c r="H1732" t="s">
        <v>18</v>
      </c>
      <c r="I1732" s="1" t="s">
        <v>27</v>
      </c>
    </row>
    <row r="1733" spans="1:10" hidden="1" x14ac:dyDescent="0.35">
      <c r="A1733" t="str">
        <f t="shared" si="27"/>
        <v>Fronteira dos Vales20204.1</v>
      </c>
      <c r="B1733">
        <v>3127057</v>
      </c>
      <c r="C1733" t="s">
        <v>48</v>
      </c>
      <c r="D1733">
        <v>2020</v>
      </c>
      <c r="E1733">
        <v>6</v>
      </c>
      <c r="F1733">
        <v>44</v>
      </c>
      <c r="G1733" t="s">
        <v>28</v>
      </c>
      <c r="H1733" t="s">
        <v>29</v>
      </c>
      <c r="I1733" s="1" t="s">
        <v>30</v>
      </c>
      <c r="J1733">
        <v>3163.38</v>
      </c>
    </row>
    <row r="1734" spans="1:10" hidden="1" x14ac:dyDescent="0.35">
      <c r="A1734" t="str">
        <f t="shared" si="27"/>
        <v>Fronteira dos Vales20204.10</v>
      </c>
      <c r="B1734">
        <v>3127057</v>
      </c>
      <c r="C1734" t="s">
        <v>48</v>
      </c>
      <c r="D1734">
        <v>2020</v>
      </c>
      <c r="E1734">
        <v>6</v>
      </c>
      <c r="F1734">
        <v>58</v>
      </c>
      <c r="G1734" t="s">
        <v>31</v>
      </c>
      <c r="H1734" t="s">
        <v>29</v>
      </c>
      <c r="I1734" s="1" t="s">
        <v>32</v>
      </c>
    </row>
    <row r="1735" spans="1:10" hidden="1" x14ac:dyDescent="0.35">
      <c r="A1735" t="str">
        <f t="shared" si="27"/>
        <v>Fronteira dos Vales20204.11</v>
      </c>
      <c r="B1735">
        <v>3127057</v>
      </c>
      <c r="C1735" t="s">
        <v>48</v>
      </c>
      <c r="D1735">
        <v>2020</v>
      </c>
      <c r="E1735">
        <v>6</v>
      </c>
      <c r="F1735">
        <v>59</v>
      </c>
      <c r="G1735" t="s">
        <v>33</v>
      </c>
      <c r="H1735" t="s">
        <v>29</v>
      </c>
      <c r="I1735" s="1" t="s">
        <v>34</v>
      </c>
      <c r="J1735">
        <v>5618.79</v>
      </c>
    </row>
    <row r="1736" spans="1:10" hidden="1" x14ac:dyDescent="0.35">
      <c r="A1736" t="str">
        <f t="shared" si="27"/>
        <v>Fronteira dos Vales20204.2</v>
      </c>
      <c r="B1736">
        <v>3127057</v>
      </c>
      <c r="C1736" t="s">
        <v>48</v>
      </c>
      <c r="D1736">
        <v>2020</v>
      </c>
      <c r="E1736">
        <v>6</v>
      </c>
      <c r="F1736">
        <v>45</v>
      </c>
      <c r="G1736" t="s">
        <v>35</v>
      </c>
      <c r="H1736" t="s">
        <v>29</v>
      </c>
      <c r="I1736" s="1" t="s">
        <v>36</v>
      </c>
      <c r="J1736">
        <v>9014.91</v>
      </c>
    </row>
    <row r="1737" spans="1:10" hidden="1" x14ac:dyDescent="0.35">
      <c r="A1737" t="str">
        <f t="shared" si="27"/>
        <v>Fronteira dos Vales20204.8</v>
      </c>
      <c r="B1737">
        <v>3127057</v>
      </c>
      <c r="C1737" t="s">
        <v>48</v>
      </c>
      <c r="D1737">
        <v>2020</v>
      </c>
      <c r="E1737">
        <v>6</v>
      </c>
      <c r="F1737">
        <v>56</v>
      </c>
      <c r="G1737" t="s">
        <v>37</v>
      </c>
      <c r="H1737" t="s">
        <v>29</v>
      </c>
      <c r="I1737" s="1" t="s">
        <v>38</v>
      </c>
      <c r="J1737">
        <v>7734.88</v>
      </c>
    </row>
    <row r="1738" spans="1:10" hidden="1" x14ac:dyDescent="0.35">
      <c r="A1738" t="str">
        <f t="shared" si="27"/>
        <v>Fronteira dos Vales20204.9</v>
      </c>
      <c r="B1738">
        <v>3127057</v>
      </c>
      <c r="C1738" t="s">
        <v>48</v>
      </c>
      <c r="D1738">
        <v>2020</v>
      </c>
      <c r="E1738">
        <v>6</v>
      </c>
      <c r="F1738">
        <v>57</v>
      </c>
      <c r="G1738" t="s">
        <v>39</v>
      </c>
      <c r="H1738" t="s">
        <v>29</v>
      </c>
      <c r="I1738" s="1" t="s">
        <v>40</v>
      </c>
      <c r="J1738">
        <v>7734.88</v>
      </c>
    </row>
    <row r="1739" spans="1:10" hidden="1" x14ac:dyDescent="0.35">
      <c r="A1739" t="str">
        <f t="shared" si="27"/>
        <v>Itaipé20201.1</v>
      </c>
      <c r="B1739">
        <v>3132305</v>
      </c>
      <c r="C1739" t="s">
        <v>49</v>
      </c>
      <c r="D1739">
        <v>2020</v>
      </c>
      <c r="E1739">
        <v>6</v>
      </c>
      <c r="F1739">
        <v>24</v>
      </c>
      <c r="G1739" t="s">
        <v>10</v>
      </c>
      <c r="H1739" t="s">
        <v>11</v>
      </c>
      <c r="I1739" s="1" t="s">
        <v>12</v>
      </c>
      <c r="J1739">
        <v>0.25659999999999999</v>
      </c>
    </row>
    <row r="1740" spans="1:10" hidden="1" x14ac:dyDescent="0.35">
      <c r="A1740" t="str">
        <f t="shared" si="27"/>
        <v>Itaipé20201.2</v>
      </c>
      <c r="B1740">
        <v>3132305</v>
      </c>
      <c r="C1740" t="s">
        <v>49</v>
      </c>
      <c r="D1740">
        <v>2020</v>
      </c>
      <c r="E1740">
        <v>6</v>
      </c>
      <c r="F1740">
        <v>67</v>
      </c>
      <c r="G1740" t="s">
        <v>13</v>
      </c>
      <c r="H1740" t="s">
        <v>11</v>
      </c>
      <c r="I1740" s="1" t="s">
        <v>14</v>
      </c>
      <c r="J1740">
        <v>0.75680000000000003</v>
      </c>
    </row>
    <row r="1741" spans="1:10" hidden="1" x14ac:dyDescent="0.35">
      <c r="A1741" t="str">
        <f t="shared" si="27"/>
        <v>Itaipé20201.3</v>
      </c>
      <c r="B1741">
        <v>3132305</v>
      </c>
      <c r="C1741" t="s">
        <v>49</v>
      </c>
      <c r="D1741">
        <v>2020</v>
      </c>
      <c r="E1741">
        <v>6</v>
      </c>
      <c r="F1741">
        <v>68</v>
      </c>
      <c r="G1741" t="s">
        <v>15</v>
      </c>
      <c r="H1741" t="s">
        <v>11</v>
      </c>
      <c r="I1741" s="1" t="s">
        <v>16</v>
      </c>
      <c r="J1741">
        <v>0.2432</v>
      </c>
    </row>
    <row r="1742" spans="1:10" hidden="1" x14ac:dyDescent="0.35">
      <c r="A1742" t="str">
        <f t="shared" si="27"/>
        <v>Itaipé20202.1</v>
      </c>
      <c r="B1742">
        <v>3132305</v>
      </c>
      <c r="C1742" t="s">
        <v>49</v>
      </c>
      <c r="D1742">
        <v>2020</v>
      </c>
      <c r="E1742">
        <v>6</v>
      </c>
      <c r="F1742">
        <v>28</v>
      </c>
      <c r="G1742" t="s">
        <v>17</v>
      </c>
      <c r="H1742" t="s">
        <v>18</v>
      </c>
      <c r="I1742" s="1" t="s">
        <v>19</v>
      </c>
    </row>
    <row r="1743" spans="1:10" hidden="1" x14ac:dyDescent="0.35">
      <c r="A1743" t="str">
        <f t="shared" si="27"/>
        <v>Itaipé20202.2</v>
      </c>
      <c r="B1743">
        <v>3132305</v>
      </c>
      <c r="C1743" t="s">
        <v>49</v>
      </c>
      <c r="D1743">
        <v>2020</v>
      </c>
      <c r="E1743">
        <v>6</v>
      </c>
      <c r="F1743">
        <v>29</v>
      </c>
      <c r="G1743" t="s">
        <v>20</v>
      </c>
      <c r="H1743" t="s">
        <v>18</v>
      </c>
      <c r="I1743" s="1" t="s">
        <v>21</v>
      </c>
      <c r="J1743">
        <v>1.0026999999999999</v>
      </c>
    </row>
    <row r="1744" spans="1:10" hidden="1" x14ac:dyDescent="0.35">
      <c r="A1744" t="str">
        <f t="shared" si="27"/>
        <v>Itaipé20202.4</v>
      </c>
      <c r="B1744">
        <v>3132305</v>
      </c>
      <c r="C1744" t="s">
        <v>49</v>
      </c>
      <c r="D1744">
        <v>2020</v>
      </c>
      <c r="E1744">
        <v>6</v>
      </c>
      <c r="F1744">
        <v>31</v>
      </c>
      <c r="G1744" t="s">
        <v>22</v>
      </c>
      <c r="H1744" t="s">
        <v>18</v>
      </c>
      <c r="I1744" s="1" t="s">
        <v>23</v>
      </c>
    </row>
    <row r="1745" spans="1:10" hidden="1" x14ac:dyDescent="0.35">
      <c r="A1745" t="str">
        <f t="shared" si="27"/>
        <v>Itaipé20202.5</v>
      </c>
      <c r="B1745">
        <v>3132305</v>
      </c>
      <c r="C1745" t="s">
        <v>49</v>
      </c>
      <c r="D1745">
        <v>2020</v>
      </c>
      <c r="E1745">
        <v>6</v>
      </c>
      <c r="F1745">
        <v>32</v>
      </c>
      <c r="G1745" t="s">
        <v>24</v>
      </c>
      <c r="H1745" t="s">
        <v>18</v>
      </c>
      <c r="I1745" s="1" t="s">
        <v>25</v>
      </c>
    </row>
    <row r="1746" spans="1:10" hidden="1" x14ac:dyDescent="0.35">
      <c r="A1746" t="str">
        <f t="shared" si="27"/>
        <v>Itaipé20202.8</v>
      </c>
      <c r="B1746">
        <v>3132305</v>
      </c>
      <c r="C1746" t="s">
        <v>49</v>
      </c>
      <c r="D1746">
        <v>2020</v>
      </c>
      <c r="E1746">
        <v>6</v>
      </c>
      <c r="F1746">
        <v>35</v>
      </c>
      <c r="G1746" t="s">
        <v>26</v>
      </c>
      <c r="H1746" t="s">
        <v>18</v>
      </c>
      <c r="I1746" s="1" t="s">
        <v>27</v>
      </c>
    </row>
    <row r="1747" spans="1:10" hidden="1" x14ac:dyDescent="0.35">
      <c r="A1747" t="str">
        <f t="shared" si="27"/>
        <v>Itaipé20204.1</v>
      </c>
      <c r="B1747">
        <v>3132305</v>
      </c>
      <c r="C1747" t="s">
        <v>49</v>
      </c>
      <c r="D1747">
        <v>2020</v>
      </c>
      <c r="E1747">
        <v>6</v>
      </c>
      <c r="F1747">
        <v>44</v>
      </c>
      <c r="G1747" t="s">
        <v>28</v>
      </c>
      <c r="H1747" t="s">
        <v>29</v>
      </c>
      <c r="I1747" s="1" t="s">
        <v>30</v>
      </c>
      <c r="J1747">
        <v>1859.41</v>
      </c>
    </row>
    <row r="1748" spans="1:10" hidden="1" x14ac:dyDescent="0.35">
      <c r="A1748" t="str">
        <f t="shared" si="27"/>
        <v>Itaipé20204.10</v>
      </c>
      <c r="B1748">
        <v>3132305</v>
      </c>
      <c r="C1748" t="s">
        <v>49</v>
      </c>
      <c r="D1748">
        <v>2020</v>
      </c>
      <c r="E1748">
        <v>6</v>
      </c>
      <c r="F1748">
        <v>58</v>
      </c>
      <c r="G1748" t="s">
        <v>31</v>
      </c>
      <c r="H1748" t="s">
        <v>29</v>
      </c>
      <c r="I1748" s="1" t="s">
        <v>32</v>
      </c>
    </row>
    <row r="1749" spans="1:10" hidden="1" x14ac:dyDescent="0.35">
      <c r="A1749" t="str">
        <f t="shared" si="27"/>
        <v>Itaipé20204.11</v>
      </c>
      <c r="B1749">
        <v>3132305</v>
      </c>
      <c r="C1749" t="s">
        <v>49</v>
      </c>
      <c r="D1749">
        <v>2020</v>
      </c>
      <c r="E1749">
        <v>6</v>
      </c>
      <c r="F1749">
        <v>59</v>
      </c>
      <c r="G1749" t="s">
        <v>33</v>
      </c>
      <c r="H1749" t="s">
        <v>29</v>
      </c>
      <c r="I1749" s="1" t="s">
        <v>34</v>
      </c>
      <c r="J1749">
        <v>4233.49</v>
      </c>
    </row>
    <row r="1750" spans="1:10" hidden="1" x14ac:dyDescent="0.35">
      <c r="A1750" t="str">
        <f t="shared" si="27"/>
        <v>Itaipé20204.2</v>
      </c>
      <c r="B1750">
        <v>3132305</v>
      </c>
      <c r="C1750" t="s">
        <v>49</v>
      </c>
      <c r="D1750">
        <v>2020</v>
      </c>
      <c r="E1750">
        <v>6</v>
      </c>
      <c r="F1750">
        <v>45</v>
      </c>
      <c r="G1750" t="s">
        <v>35</v>
      </c>
      <c r="H1750" t="s">
        <v>29</v>
      </c>
      <c r="I1750" s="1" t="s">
        <v>36</v>
      </c>
      <c r="J1750">
        <v>6981.65</v>
      </c>
    </row>
    <row r="1751" spans="1:10" hidden="1" x14ac:dyDescent="0.35">
      <c r="A1751" t="str">
        <f t="shared" si="27"/>
        <v>Itaipé20204.8</v>
      </c>
      <c r="B1751">
        <v>3132305</v>
      </c>
      <c r="C1751" t="s">
        <v>49</v>
      </c>
      <c r="D1751">
        <v>2020</v>
      </c>
      <c r="E1751">
        <v>6</v>
      </c>
      <c r="F1751">
        <v>56</v>
      </c>
      <c r="G1751" t="s">
        <v>37</v>
      </c>
      <c r="H1751" t="s">
        <v>29</v>
      </c>
      <c r="I1751" s="1" t="s">
        <v>38</v>
      </c>
      <c r="J1751">
        <v>5323.75</v>
      </c>
    </row>
    <row r="1752" spans="1:10" hidden="1" x14ac:dyDescent="0.35">
      <c r="A1752" t="str">
        <f t="shared" si="27"/>
        <v>Itaipé20204.9</v>
      </c>
      <c r="B1752">
        <v>3132305</v>
      </c>
      <c r="C1752" t="s">
        <v>49</v>
      </c>
      <c r="D1752">
        <v>2020</v>
      </c>
      <c r="E1752">
        <v>6</v>
      </c>
      <c r="F1752">
        <v>57</v>
      </c>
      <c r="G1752" t="s">
        <v>39</v>
      </c>
      <c r="H1752" t="s">
        <v>29</v>
      </c>
      <c r="I1752" s="1" t="s">
        <v>40</v>
      </c>
      <c r="J1752">
        <v>5323.75</v>
      </c>
    </row>
    <row r="1753" spans="1:10" hidden="1" x14ac:dyDescent="0.35">
      <c r="A1753" t="str">
        <f t="shared" si="27"/>
        <v>Ladainha20201.1</v>
      </c>
      <c r="B1753">
        <v>3137007</v>
      </c>
      <c r="C1753" t="s">
        <v>50</v>
      </c>
      <c r="D1753">
        <v>2020</v>
      </c>
      <c r="E1753">
        <v>6</v>
      </c>
      <c r="F1753">
        <v>24</v>
      </c>
      <c r="G1753" t="s">
        <v>10</v>
      </c>
      <c r="H1753" t="s">
        <v>11</v>
      </c>
      <c r="I1753" s="1" t="s">
        <v>12</v>
      </c>
      <c r="J1753">
        <v>0.27710000000000001</v>
      </c>
    </row>
    <row r="1754" spans="1:10" hidden="1" x14ac:dyDescent="0.35">
      <c r="A1754" t="str">
        <f t="shared" si="27"/>
        <v>Ladainha20201.2</v>
      </c>
      <c r="B1754">
        <v>3137007</v>
      </c>
      <c r="C1754" t="s">
        <v>50</v>
      </c>
      <c r="D1754">
        <v>2020</v>
      </c>
      <c r="E1754">
        <v>6</v>
      </c>
      <c r="F1754">
        <v>67</v>
      </c>
      <c r="G1754" t="s">
        <v>13</v>
      </c>
      <c r="H1754" t="s">
        <v>11</v>
      </c>
      <c r="I1754" s="1" t="s">
        <v>14</v>
      </c>
      <c r="J1754">
        <v>0.84130000000000005</v>
      </c>
    </row>
    <row r="1755" spans="1:10" hidden="1" x14ac:dyDescent="0.35">
      <c r="A1755" t="str">
        <f t="shared" si="27"/>
        <v>Ladainha20201.3</v>
      </c>
      <c r="B1755">
        <v>3137007</v>
      </c>
      <c r="C1755" t="s">
        <v>50</v>
      </c>
      <c r="D1755">
        <v>2020</v>
      </c>
      <c r="E1755">
        <v>6</v>
      </c>
      <c r="F1755">
        <v>68</v>
      </c>
      <c r="G1755" t="s">
        <v>15</v>
      </c>
      <c r="H1755" t="s">
        <v>11</v>
      </c>
      <c r="I1755" s="1" t="s">
        <v>16</v>
      </c>
      <c r="J1755">
        <v>0.15859999999999999</v>
      </c>
    </row>
    <row r="1756" spans="1:10" hidden="1" x14ac:dyDescent="0.35">
      <c r="A1756" t="str">
        <f t="shared" si="27"/>
        <v>Ladainha20202.1</v>
      </c>
      <c r="B1756">
        <v>3137007</v>
      </c>
      <c r="C1756" t="s">
        <v>50</v>
      </c>
      <c r="D1756">
        <v>2020</v>
      </c>
      <c r="E1756">
        <v>6</v>
      </c>
      <c r="F1756">
        <v>28</v>
      </c>
      <c r="G1756" t="s">
        <v>17</v>
      </c>
      <c r="H1756" t="s">
        <v>18</v>
      </c>
      <c r="I1756" s="1" t="s">
        <v>19</v>
      </c>
      <c r="J1756">
        <v>0.20019999999999999</v>
      </c>
    </row>
    <row r="1757" spans="1:10" hidden="1" x14ac:dyDescent="0.35">
      <c r="A1757" t="str">
        <f t="shared" si="27"/>
        <v>Ladainha20202.2</v>
      </c>
      <c r="B1757">
        <v>3137007</v>
      </c>
      <c r="C1757" t="s">
        <v>50</v>
      </c>
      <c r="D1757">
        <v>2020</v>
      </c>
      <c r="E1757">
        <v>6</v>
      </c>
      <c r="F1757">
        <v>29</v>
      </c>
      <c r="G1757" t="s">
        <v>20</v>
      </c>
      <c r="H1757" t="s">
        <v>18</v>
      </c>
      <c r="I1757" s="1" t="s">
        <v>21</v>
      </c>
      <c r="J1757">
        <v>0.81620000000000004</v>
      </c>
    </row>
    <row r="1758" spans="1:10" hidden="1" x14ac:dyDescent="0.35">
      <c r="A1758" t="str">
        <f t="shared" si="27"/>
        <v>Ladainha20202.4</v>
      </c>
      <c r="B1758">
        <v>3137007</v>
      </c>
      <c r="C1758" t="s">
        <v>50</v>
      </c>
      <c r="D1758">
        <v>2020</v>
      </c>
      <c r="E1758">
        <v>6</v>
      </c>
      <c r="F1758">
        <v>31</v>
      </c>
      <c r="G1758" t="s">
        <v>22</v>
      </c>
      <c r="H1758" t="s">
        <v>18</v>
      </c>
      <c r="I1758" s="1" t="s">
        <v>23</v>
      </c>
    </row>
    <row r="1759" spans="1:10" hidden="1" x14ac:dyDescent="0.35">
      <c r="A1759" t="str">
        <f t="shared" si="27"/>
        <v>Ladainha20202.5</v>
      </c>
      <c r="B1759">
        <v>3137007</v>
      </c>
      <c r="C1759" t="s">
        <v>50</v>
      </c>
      <c r="D1759">
        <v>2020</v>
      </c>
      <c r="E1759">
        <v>6</v>
      </c>
      <c r="F1759">
        <v>32</v>
      </c>
      <c r="G1759" t="s">
        <v>24</v>
      </c>
      <c r="H1759" t="s">
        <v>18</v>
      </c>
      <c r="I1759" s="1" t="s">
        <v>25</v>
      </c>
    </row>
    <row r="1760" spans="1:10" hidden="1" x14ac:dyDescent="0.35">
      <c r="A1760" t="str">
        <f t="shared" si="27"/>
        <v>Ladainha20202.8</v>
      </c>
      <c r="B1760">
        <v>3137007</v>
      </c>
      <c r="C1760" t="s">
        <v>50</v>
      </c>
      <c r="D1760">
        <v>2020</v>
      </c>
      <c r="E1760">
        <v>6</v>
      </c>
      <c r="F1760">
        <v>35</v>
      </c>
      <c r="G1760" t="s">
        <v>26</v>
      </c>
      <c r="H1760" t="s">
        <v>18</v>
      </c>
      <c r="I1760" s="1" t="s">
        <v>27</v>
      </c>
    </row>
    <row r="1761" spans="1:10" hidden="1" x14ac:dyDescent="0.35">
      <c r="A1761" t="str">
        <f t="shared" si="27"/>
        <v>Ladainha20204.1</v>
      </c>
      <c r="B1761">
        <v>3137007</v>
      </c>
      <c r="C1761" t="s">
        <v>50</v>
      </c>
      <c r="D1761">
        <v>2020</v>
      </c>
      <c r="E1761">
        <v>6</v>
      </c>
      <c r="F1761">
        <v>44</v>
      </c>
      <c r="G1761" t="s">
        <v>28</v>
      </c>
      <c r="H1761" t="s">
        <v>29</v>
      </c>
      <c r="I1761" s="1" t="s">
        <v>30</v>
      </c>
      <c r="J1761">
        <v>4702.46</v>
      </c>
    </row>
    <row r="1762" spans="1:10" hidden="1" x14ac:dyDescent="0.35">
      <c r="A1762" t="str">
        <f t="shared" si="27"/>
        <v>Ladainha20204.10</v>
      </c>
      <c r="B1762">
        <v>3137007</v>
      </c>
      <c r="C1762" t="s">
        <v>50</v>
      </c>
      <c r="D1762">
        <v>2020</v>
      </c>
      <c r="E1762">
        <v>6</v>
      </c>
      <c r="F1762">
        <v>58</v>
      </c>
      <c r="G1762" t="s">
        <v>31</v>
      </c>
      <c r="H1762" t="s">
        <v>29</v>
      </c>
      <c r="I1762" s="1" t="s">
        <v>32</v>
      </c>
    </row>
    <row r="1763" spans="1:10" hidden="1" x14ac:dyDescent="0.35">
      <c r="A1763" t="str">
        <f t="shared" si="27"/>
        <v>Ladainha20204.11</v>
      </c>
      <c r="B1763">
        <v>3137007</v>
      </c>
      <c r="C1763" t="s">
        <v>50</v>
      </c>
      <c r="D1763">
        <v>2020</v>
      </c>
      <c r="E1763">
        <v>6</v>
      </c>
      <c r="F1763">
        <v>59</v>
      </c>
      <c r="G1763" t="s">
        <v>33</v>
      </c>
      <c r="H1763" t="s">
        <v>29</v>
      </c>
      <c r="I1763" s="1" t="s">
        <v>34</v>
      </c>
      <c r="J1763">
        <v>6309.75</v>
      </c>
    </row>
    <row r="1764" spans="1:10" hidden="1" x14ac:dyDescent="0.35">
      <c r="A1764" t="str">
        <f t="shared" si="27"/>
        <v>Ladainha20204.2</v>
      </c>
      <c r="B1764">
        <v>3137007</v>
      </c>
      <c r="C1764" t="s">
        <v>50</v>
      </c>
      <c r="D1764">
        <v>2020</v>
      </c>
      <c r="E1764">
        <v>6</v>
      </c>
      <c r="F1764">
        <v>45</v>
      </c>
      <c r="G1764" t="s">
        <v>35</v>
      </c>
      <c r="H1764" t="s">
        <v>29</v>
      </c>
      <c r="I1764" s="1" t="s">
        <v>36</v>
      </c>
      <c r="J1764">
        <v>8691.14</v>
      </c>
    </row>
    <row r="1765" spans="1:10" hidden="1" x14ac:dyDescent="0.35">
      <c r="A1765" t="str">
        <f t="shared" si="27"/>
        <v>Ladainha20204.8</v>
      </c>
      <c r="B1765">
        <v>3137007</v>
      </c>
      <c r="C1765" t="s">
        <v>50</v>
      </c>
      <c r="D1765">
        <v>2020</v>
      </c>
      <c r="E1765">
        <v>6</v>
      </c>
      <c r="F1765">
        <v>56</v>
      </c>
      <c r="G1765" t="s">
        <v>37</v>
      </c>
      <c r="H1765" t="s">
        <v>29</v>
      </c>
      <c r="I1765" s="1" t="s">
        <v>38</v>
      </c>
      <c r="J1765">
        <v>7292.15</v>
      </c>
    </row>
    <row r="1766" spans="1:10" hidden="1" x14ac:dyDescent="0.35">
      <c r="A1766" t="str">
        <f t="shared" si="27"/>
        <v>Ladainha20204.9</v>
      </c>
      <c r="B1766">
        <v>3137007</v>
      </c>
      <c r="C1766" t="s">
        <v>50</v>
      </c>
      <c r="D1766">
        <v>2020</v>
      </c>
      <c r="E1766">
        <v>6</v>
      </c>
      <c r="F1766">
        <v>57</v>
      </c>
      <c r="G1766" t="s">
        <v>39</v>
      </c>
      <c r="H1766" t="s">
        <v>29</v>
      </c>
      <c r="I1766" s="1" t="s">
        <v>40</v>
      </c>
      <c r="J1766">
        <v>7307.19</v>
      </c>
    </row>
    <row r="1767" spans="1:10" hidden="1" x14ac:dyDescent="0.35">
      <c r="A1767" t="str">
        <f t="shared" si="27"/>
        <v>Machacalis20201.1</v>
      </c>
      <c r="B1767">
        <v>3138906</v>
      </c>
      <c r="C1767" t="s">
        <v>51</v>
      </c>
      <c r="D1767">
        <v>2020</v>
      </c>
      <c r="E1767">
        <v>6</v>
      </c>
      <c r="F1767">
        <v>24</v>
      </c>
      <c r="G1767" t="s">
        <v>10</v>
      </c>
      <c r="H1767" t="s">
        <v>11</v>
      </c>
      <c r="I1767" s="1" t="s">
        <v>12</v>
      </c>
      <c r="J1767">
        <v>0.27910000000000001</v>
      </c>
    </row>
    <row r="1768" spans="1:10" hidden="1" x14ac:dyDescent="0.35">
      <c r="A1768" t="str">
        <f t="shared" si="27"/>
        <v>Machacalis20201.2</v>
      </c>
      <c r="B1768">
        <v>3138906</v>
      </c>
      <c r="C1768" t="s">
        <v>51</v>
      </c>
      <c r="D1768">
        <v>2020</v>
      </c>
      <c r="E1768">
        <v>6</v>
      </c>
      <c r="F1768">
        <v>67</v>
      </c>
      <c r="G1768" t="s">
        <v>13</v>
      </c>
      <c r="H1768" t="s">
        <v>11</v>
      </c>
      <c r="I1768" s="1" t="s">
        <v>14</v>
      </c>
      <c r="J1768">
        <v>0.79339999999999999</v>
      </c>
    </row>
    <row r="1769" spans="1:10" hidden="1" x14ac:dyDescent="0.35">
      <c r="A1769" t="str">
        <f t="shared" si="27"/>
        <v>Machacalis20201.3</v>
      </c>
      <c r="B1769">
        <v>3138906</v>
      </c>
      <c r="C1769" t="s">
        <v>51</v>
      </c>
      <c r="D1769">
        <v>2020</v>
      </c>
      <c r="E1769">
        <v>6</v>
      </c>
      <c r="F1769">
        <v>68</v>
      </c>
      <c r="G1769" t="s">
        <v>15</v>
      </c>
      <c r="H1769" t="s">
        <v>11</v>
      </c>
      <c r="I1769" s="1" t="s">
        <v>16</v>
      </c>
      <c r="J1769">
        <v>0.20660000000000001</v>
      </c>
    </row>
    <row r="1770" spans="1:10" hidden="1" x14ac:dyDescent="0.35">
      <c r="A1770" t="str">
        <f t="shared" si="27"/>
        <v>Machacalis20202.1</v>
      </c>
      <c r="B1770">
        <v>3138906</v>
      </c>
      <c r="C1770" t="s">
        <v>51</v>
      </c>
      <c r="D1770">
        <v>2020</v>
      </c>
      <c r="E1770">
        <v>6</v>
      </c>
      <c r="F1770">
        <v>28</v>
      </c>
      <c r="G1770" t="s">
        <v>17</v>
      </c>
      <c r="H1770" t="s">
        <v>18</v>
      </c>
      <c r="I1770" s="1" t="s">
        <v>19</v>
      </c>
    </row>
    <row r="1771" spans="1:10" hidden="1" x14ac:dyDescent="0.35">
      <c r="A1771" t="str">
        <f t="shared" si="27"/>
        <v>Machacalis20202.2</v>
      </c>
      <c r="B1771">
        <v>3138906</v>
      </c>
      <c r="C1771" t="s">
        <v>51</v>
      </c>
      <c r="D1771">
        <v>2020</v>
      </c>
      <c r="E1771">
        <v>6</v>
      </c>
      <c r="F1771">
        <v>29</v>
      </c>
      <c r="G1771" t="s">
        <v>20</v>
      </c>
      <c r="H1771" t="s">
        <v>18</v>
      </c>
      <c r="I1771" s="1" t="s">
        <v>21</v>
      </c>
      <c r="J1771">
        <v>1.0228999999999999</v>
      </c>
    </row>
    <row r="1772" spans="1:10" hidden="1" x14ac:dyDescent="0.35">
      <c r="A1772" t="str">
        <f t="shared" si="27"/>
        <v>Machacalis20202.4</v>
      </c>
      <c r="B1772">
        <v>3138906</v>
      </c>
      <c r="C1772" t="s">
        <v>51</v>
      </c>
      <c r="D1772">
        <v>2020</v>
      </c>
      <c r="E1772">
        <v>6</v>
      </c>
      <c r="F1772">
        <v>31</v>
      </c>
      <c r="G1772" t="s">
        <v>22</v>
      </c>
      <c r="H1772" t="s">
        <v>18</v>
      </c>
      <c r="I1772" s="1" t="s">
        <v>23</v>
      </c>
    </row>
    <row r="1773" spans="1:10" hidden="1" x14ac:dyDescent="0.35">
      <c r="A1773" t="str">
        <f t="shared" si="27"/>
        <v>Machacalis20202.5</v>
      </c>
      <c r="B1773">
        <v>3138906</v>
      </c>
      <c r="C1773" t="s">
        <v>51</v>
      </c>
      <c r="D1773">
        <v>2020</v>
      </c>
      <c r="E1773">
        <v>6</v>
      </c>
      <c r="F1773">
        <v>32</v>
      </c>
      <c r="G1773" t="s">
        <v>24</v>
      </c>
      <c r="H1773" t="s">
        <v>18</v>
      </c>
      <c r="I1773" s="1" t="s">
        <v>25</v>
      </c>
    </row>
    <row r="1774" spans="1:10" hidden="1" x14ac:dyDescent="0.35">
      <c r="A1774" t="str">
        <f t="shared" si="27"/>
        <v>Machacalis20202.8</v>
      </c>
      <c r="B1774">
        <v>3138906</v>
      </c>
      <c r="C1774" t="s">
        <v>51</v>
      </c>
      <c r="D1774">
        <v>2020</v>
      </c>
      <c r="E1774">
        <v>6</v>
      </c>
      <c r="F1774">
        <v>35</v>
      </c>
      <c r="G1774" t="s">
        <v>26</v>
      </c>
      <c r="H1774" t="s">
        <v>18</v>
      </c>
      <c r="I1774" s="1" t="s">
        <v>27</v>
      </c>
    </row>
    <row r="1775" spans="1:10" hidden="1" x14ac:dyDescent="0.35">
      <c r="A1775" t="str">
        <f t="shared" si="27"/>
        <v>Machacalis20204.1</v>
      </c>
      <c r="B1775">
        <v>3138906</v>
      </c>
      <c r="C1775" t="s">
        <v>51</v>
      </c>
      <c r="D1775">
        <v>2020</v>
      </c>
      <c r="E1775">
        <v>6</v>
      </c>
      <c r="F1775">
        <v>44</v>
      </c>
      <c r="G1775" t="s">
        <v>28</v>
      </c>
      <c r="H1775" t="s">
        <v>29</v>
      </c>
      <c r="I1775" s="1" t="s">
        <v>30</v>
      </c>
      <c r="J1775">
        <v>1914.89</v>
      </c>
    </row>
    <row r="1776" spans="1:10" hidden="1" x14ac:dyDescent="0.35">
      <c r="A1776" t="str">
        <f t="shared" si="27"/>
        <v>Machacalis20204.10</v>
      </c>
      <c r="B1776">
        <v>3138906</v>
      </c>
      <c r="C1776" t="s">
        <v>51</v>
      </c>
      <c r="D1776">
        <v>2020</v>
      </c>
      <c r="E1776">
        <v>6</v>
      </c>
      <c r="F1776">
        <v>58</v>
      </c>
      <c r="G1776" t="s">
        <v>31</v>
      </c>
      <c r="H1776" t="s">
        <v>29</v>
      </c>
      <c r="I1776" s="1" t="s">
        <v>32</v>
      </c>
    </row>
    <row r="1777" spans="1:10" hidden="1" x14ac:dyDescent="0.35">
      <c r="A1777" t="str">
        <f t="shared" si="27"/>
        <v>Machacalis20204.11</v>
      </c>
      <c r="B1777">
        <v>3138906</v>
      </c>
      <c r="C1777" t="s">
        <v>51</v>
      </c>
      <c r="D1777">
        <v>2020</v>
      </c>
      <c r="E1777">
        <v>6</v>
      </c>
      <c r="F1777">
        <v>59</v>
      </c>
      <c r="G1777" t="s">
        <v>33</v>
      </c>
      <c r="H1777" t="s">
        <v>29</v>
      </c>
      <c r="I1777" s="1" t="s">
        <v>34</v>
      </c>
      <c r="J1777">
        <v>6140.45</v>
      </c>
    </row>
    <row r="1778" spans="1:10" hidden="1" x14ac:dyDescent="0.35">
      <c r="A1778" t="str">
        <f t="shared" si="27"/>
        <v>Machacalis20204.2</v>
      </c>
      <c r="B1778">
        <v>3138906</v>
      </c>
      <c r="C1778" t="s">
        <v>51</v>
      </c>
      <c r="D1778">
        <v>2020</v>
      </c>
      <c r="E1778">
        <v>6</v>
      </c>
      <c r="F1778">
        <v>45</v>
      </c>
      <c r="G1778" t="s">
        <v>35</v>
      </c>
      <c r="H1778" t="s">
        <v>29</v>
      </c>
      <c r="I1778" s="1" t="s">
        <v>36</v>
      </c>
      <c r="J1778">
        <v>10708.95</v>
      </c>
    </row>
    <row r="1779" spans="1:10" hidden="1" x14ac:dyDescent="0.35">
      <c r="A1779" t="str">
        <f t="shared" si="27"/>
        <v>Machacalis20204.8</v>
      </c>
      <c r="B1779">
        <v>3138906</v>
      </c>
      <c r="C1779" t="s">
        <v>51</v>
      </c>
      <c r="D1779">
        <v>2020</v>
      </c>
      <c r="E1779">
        <v>6</v>
      </c>
      <c r="F1779">
        <v>56</v>
      </c>
      <c r="G1779" t="s">
        <v>37</v>
      </c>
      <c r="H1779" t="s">
        <v>29</v>
      </c>
      <c r="I1779" s="1" t="s">
        <v>38</v>
      </c>
      <c r="J1779">
        <v>7076.96</v>
      </c>
    </row>
    <row r="1780" spans="1:10" hidden="1" x14ac:dyDescent="0.35">
      <c r="A1780" t="str">
        <f t="shared" si="27"/>
        <v>Machacalis20204.9</v>
      </c>
      <c r="B1780">
        <v>3138906</v>
      </c>
      <c r="C1780" t="s">
        <v>51</v>
      </c>
      <c r="D1780">
        <v>2020</v>
      </c>
      <c r="E1780">
        <v>6</v>
      </c>
      <c r="F1780">
        <v>57</v>
      </c>
      <c r="G1780" t="s">
        <v>39</v>
      </c>
      <c r="H1780" t="s">
        <v>29</v>
      </c>
      <c r="I1780" s="1" t="s">
        <v>40</v>
      </c>
      <c r="J1780">
        <v>7076.96</v>
      </c>
    </row>
    <row r="1781" spans="1:10" hidden="1" x14ac:dyDescent="0.35">
      <c r="A1781" t="str">
        <f t="shared" si="27"/>
        <v>Malacacheta20201.1</v>
      </c>
      <c r="B1781">
        <v>3139201</v>
      </c>
      <c r="C1781" t="s">
        <v>52</v>
      </c>
      <c r="D1781">
        <v>2020</v>
      </c>
      <c r="E1781">
        <v>6</v>
      </c>
      <c r="F1781">
        <v>24</v>
      </c>
      <c r="G1781" t="s">
        <v>10</v>
      </c>
      <c r="H1781" t="s">
        <v>11</v>
      </c>
      <c r="I1781" s="1" t="s">
        <v>12</v>
      </c>
      <c r="J1781">
        <v>0.26829999999999998</v>
      </c>
    </row>
    <row r="1782" spans="1:10" hidden="1" x14ac:dyDescent="0.35">
      <c r="A1782" t="str">
        <f t="shared" si="27"/>
        <v>Malacacheta20201.2</v>
      </c>
      <c r="B1782">
        <v>3139201</v>
      </c>
      <c r="C1782" t="s">
        <v>52</v>
      </c>
      <c r="D1782">
        <v>2020</v>
      </c>
      <c r="E1782">
        <v>6</v>
      </c>
      <c r="F1782">
        <v>67</v>
      </c>
      <c r="G1782" t="s">
        <v>13</v>
      </c>
      <c r="H1782" t="s">
        <v>11</v>
      </c>
      <c r="I1782" s="1" t="s">
        <v>14</v>
      </c>
      <c r="J1782">
        <v>0.65690000000000004</v>
      </c>
    </row>
    <row r="1783" spans="1:10" hidden="1" x14ac:dyDescent="0.35">
      <c r="A1783" t="str">
        <f t="shared" si="27"/>
        <v>Malacacheta20201.3</v>
      </c>
      <c r="B1783">
        <v>3139201</v>
      </c>
      <c r="C1783" t="s">
        <v>52</v>
      </c>
      <c r="D1783">
        <v>2020</v>
      </c>
      <c r="E1783">
        <v>6</v>
      </c>
      <c r="F1783">
        <v>68</v>
      </c>
      <c r="G1783" t="s">
        <v>15</v>
      </c>
      <c r="H1783" t="s">
        <v>11</v>
      </c>
      <c r="I1783" s="1" t="s">
        <v>16</v>
      </c>
      <c r="J1783">
        <v>0.33810000000000001</v>
      </c>
    </row>
    <row r="1784" spans="1:10" hidden="1" x14ac:dyDescent="0.35">
      <c r="A1784" t="str">
        <f t="shared" si="27"/>
        <v>Malacacheta20202.1</v>
      </c>
      <c r="B1784">
        <v>3139201</v>
      </c>
      <c r="C1784" t="s">
        <v>52</v>
      </c>
      <c r="D1784">
        <v>2020</v>
      </c>
      <c r="E1784">
        <v>6</v>
      </c>
      <c r="F1784">
        <v>28</v>
      </c>
      <c r="G1784" t="s">
        <v>17</v>
      </c>
      <c r="H1784" t="s">
        <v>18</v>
      </c>
      <c r="I1784" s="1" t="s">
        <v>19</v>
      </c>
      <c r="J1784">
        <v>0.53410000000000002</v>
      </c>
    </row>
    <row r="1785" spans="1:10" hidden="1" x14ac:dyDescent="0.35">
      <c r="A1785" t="str">
        <f t="shared" si="27"/>
        <v>Malacacheta20202.2</v>
      </c>
      <c r="B1785">
        <v>3139201</v>
      </c>
      <c r="C1785" t="s">
        <v>52</v>
      </c>
      <c r="D1785">
        <v>2020</v>
      </c>
      <c r="E1785">
        <v>6</v>
      </c>
      <c r="F1785">
        <v>29</v>
      </c>
      <c r="G1785" t="s">
        <v>20</v>
      </c>
      <c r="H1785" t="s">
        <v>18</v>
      </c>
      <c r="I1785" s="1" t="s">
        <v>21</v>
      </c>
      <c r="J1785">
        <v>0.46089999999999998</v>
      </c>
    </row>
    <row r="1786" spans="1:10" hidden="1" x14ac:dyDescent="0.35">
      <c r="A1786" t="str">
        <f t="shared" si="27"/>
        <v>Malacacheta20202.4</v>
      </c>
      <c r="B1786">
        <v>3139201</v>
      </c>
      <c r="C1786" t="s">
        <v>52</v>
      </c>
      <c r="D1786">
        <v>2020</v>
      </c>
      <c r="E1786">
        <v>6</v>
      </c>
      <c r="F1786">
        <v>31</v>
      </c>
      <c r="G1786" t="s">
        <v>22</v>
      </c>
      <c r="H1786" t="s">
        <v>18</v>
      </c>
      <c r="I1786" s="1" t="s">
        <v>23</v>
      </c>
    </row>
    <row r="1787" spans="1:10" hidden="1" x14ac:dyDescent="0.35">
      <c r="A1787" t="str">
        <f t="shared" si="27"/>
        <v>Malacacheta20202.5</v>
      </c>
      <c r="B1787">
        <v>3139201</v>
      </c>
      <c r="C1787" t="s">
        <v>52</v>
      </c>
      <c r="D1787">
        <v>2020</v>
      </c>
      <c r="E1787">
        <v>6</v>
      </c>
      <c r="F1787">
        <v>32</v>
      </c>
      <c r="G1787" t="s">
        <v>24</v>
      </c>
      <c r="H1787" t="s">
        <v>18</v>
      </c>
      <c r="I1787" s="1" t="s">
        <v>25</v>
      </c>
    </row>
    <row r="1788" spans="1:10" hidden="1" x14ac:dyDescent="0.35">
      <c r="A1788" t="str">
        <f t="shared" si="27"/>
        <v>Malacacheta20202.8</v>
      </c>
      <c r="B1788">
        <v>3139201</v>
      </c>
      <c r="C1788" t="s">
        <v>52</v>
      </c>
      <c r="D1788">
        <v>2020</v>
      </c>
      <c r="E1788">
        <v>6</v>
      </c>
      <c r="F1788">
        <v>35</v>
      </c>
      <c r="G1788" t="s">
        <v>26</v>
      </c>
      <c r="H1788" t="s">
        <v>18</v>
      </c>
      <c r="I1788" s="1" t="s">
        <v>27</v>
      </c>
    </row>
    <row r="1789" spans="1:10" hidden="1" x14ac:dyDescent="0.35">
      <c r="A1789" t="str">
        <f t="shared" si="27"/>
        <v>Malacacheta20204.1</v>
      </c>
      <c r="B1789">
        <v>3139201</v>
      </c>
      <c r="C1789" t="s">
        <v>52</v>
      </c>
      <c r="D1789">
        <v>2020</v>
      </c>
      <c r="E1789">
        <v>6</v>
      </c>
      <c r="F1789">
        <v>44</v>
      </c>
      <c r="G1789" t="s">
        <v>28</v>
      </c>
      <c r="H1789" t="s">
        <v>29</v>
      </c>
      <c r="I1789" s="1" t="s">
        <v>30</v>
      </c>
      <c r="J1789">
        <v>5266.92</v>
      </c>
    </row>
    <row r="1790" spans="1:10" hidden="1" x14ac:dyDescent="0.35">
      <c r="A1790" t="str">
        <f t="shared" si="27"/>
        <v>Malacacheta20204.10</v>
      </c>
      <c r="B1790">
        <v>3139201</v>
      </c>
      <c r="C1790" t="s">
        <v>52</v>
      </c>
      <c r="D1790">
        <v>2020</v>
      </c>
      <c r="E1790">
        <v>6</v>
      </c>
      <c r="F1790">
        <v>58</v>
      </c>
      <c r="G1790" t="s">
        <v>31</v>
      </c>
      <c r="H1790" t="s">
        <v>29</v>
      </c>
      <c r="I1790" s="1" t="s">
        <v>32</v>
      </c>
    </row>
    <row r="1791" spans="1:10" hidden="1" x14ac:dyDescent="0.35">
      <c r="A1791" t="str">
        <f t="shared" si="27"/>
        <v>Malacacheta20204.11</v>
      </c>
      <c r="B1791">
        <v>3139201</v>
      </c>
      <c r="C1791" t="s">
        <v>52</v>
      </c>
      <c r="D1791">
        <v>2020</v>
      </c>
      <c r="E1791">
        <v>6</v>
      </c>
      <c r="F1791">
        <v>59</v>
      </c>
      <c r="G1791" t="s">
        <v>33</v>
      </c>
      <c r="H1791" t="s">
        <v>29</v>
      </c>
      <c r="I1791" s="1" t="s">
        <v>34</v>
      </c>
      <c r="J1791">
        <v>3863.72</v>
      </c>
    </row>
    <row r="1792" spans="1:10" hidden="1" x14ac:dyDescent="0.35">
      <c r="A1792" t="str">
        <f t="shared" si="27"/>
        <v>Malacacheta20204.2</v>
      </c>
      <c r="B1792">
        <v>3139201</v>
      </c>
      <c r="C1792" t="s">
        <v>52</v>
      </c>
      <c r="D1792">
        <v>2020</v>
      </c>
      <c r="E1792">
        <v>6</v>
      </c>
      <c r="F1792">
        <v>45</v>
      </c>
      <c r="G1792" t="s">
        <v>35</v>
      </c>
      <c r="H1792" t="s">
        <v>29</v>
      </c>
      <c r="I1792" s="1" t="s">
        <v>36</v>
      </c>
      <c r="J1792">
        <v>8830.34</v>
      </c>
    </row>
    <row r="1793" spans="1:10" hidden="1" x14ac:dyDescent="0.35">
      <c r="A1793" t="str">
        <f t="shared" si="27"/>
        <v>Malacacheta20204.8</v>
      </c>
      <c r="B1793">
        <v>3139201</v>
      </c>
      <c r="C1793" t="s">
        <v>52</v>
      </c>
      <c r="D1793">
        <v>2020</v>
      </c>
      <c r="E1793">
        <v>6</v>
      </c>
      <c r="F1793">
        <v>56</v>
      </c>
      <c r="G1793" t="s">
        <v>37</v>
      </c>
      <c r="H1793" t="s">
        <v>29</v>
      </c>
      <c r="I1793" s="1" t="s">
        <v>38</v>
      </c>
      <c r="J1793">
        <v>6427.93</v>
      </c>
    </row>
    <row r="1794" spans="1:10" hidden="1" x14ac:dyDescent="0.35">
      <c r="A1794" t="str">
        <f t="shared" si="27"/>
        <v>Malacacheta20204.9</v>
      </c>
      <c r="B1794">
        <v>3139201</v>
      </c>
      <c r="C1794" t="s">
        <v>52</v>
      </c>
      <c r="D1794">
        <v>2020</v>
      </c>
      <c r="E1794">
        <v>6</v>
      </c>
      <c r="F1794">
        <v>57</v>
      </c>
      <c r="G1794" t="s">
        <v>39</v>
      </c>
      <c r="H1794" t="s">
        <v>29</v>
      </c>
      <c r="I1794" s="1" t="s">
        <v>40</v>
      </c>
      <c r="J1794">
        <v>6427.93</v>
      </c>
    </row>
    <row r="1795" spans="1:10" hidden="1" x14ac:dyDescent="0.35">
      <c r="A1795" t="str">
        <f t="shared" si="27"/>
        <v>Nanuque20201.1</v>
      </c>
      <c r="B1795">
        <v>3144300</v>
      </c>
      <c r="C1795" t="s">
        <v>53</v>
      </c>
      <c r="D1795">
        <v>2020</v>
      </c>
      <c r="E1795">
        <v>6</v>
      </c>
      <c r="F1795">
        <v>24</v>
      </c>
      <c r="G1795" t="s">
        <v>10</v>
      </c>
      <c r="H1795" t="s">
        <v>11</v>
      </c>
      <c r="I1795" s="1" t="s">
        <v>12</v>
      </c>
      <c r="J1795">
        <v>0.26729999999999998</v>
      </c>
    </row>
    <row r="1796" spans="1:10" hidden="1" x14ac:dyDescent="0.35">
      <c r="A1796" t="str">
        <f t="shared" ref="A1796:A1859" si="28">C1796&amp;D1796&amp;G1796</f>
        <v>Nanuque20201.2</v>
      </c>
      <c r="B1796">
        <v>3144300</v>
      </c>
      <c r="C1796" t="s">
        <v>53</v>
      </c>
      <c r="D1796">
        <v>2020</v>
      </c>
      <c r="E1796">
        <v>6</v>
      </c>
      <c r="F1796">
        <v>67</v>
      </c>
      <c r="G1796" t="s">
        <v>13</v>
      </c>
      <c r="H1796" t="s">
        <v>11</v>
      </c>
      <c r="I1796" s="1" t="s">
        <v>14</v>
      </c>
      <c r="J1796">
        <v>0.89790000000000003</v>
      </c>
    </row>
    <row r="1797" spans="1:10" hidden="1" x14ac:dyDescent="0.35">
      <c r="A1797" t="str">
        <f t="shared" si="28"/>
        <v>Nanuque20201.3</v>
      </c>
      <c r="B1797">
        <v>3144300</v>
      </c>
      <c r="C1797" t="s">
        <v>53</v>
      </c>
      <c r="D1797">
        <v>2020</v>
      </c>
      <c r="E1797">
        <v>6</v>
      </c>
      <c r="F1797">
        <v>68</v>
      </c>
      <c r="G1797" t="s">
        <v>15</v>
      </c>
      <c r="H1797" t="s">
        <v>11</v>
      </c>
      <c r="I1797" s="1" t="s">
        <v>16</v>
      </c>
      <c r="J1797">
        <v>7.1800000000000003E-2</v>
      </c>
    </row>
    <row r="1798" spans="1:10" hidden="1" x14ac:dyDescent="0.35">
      <c r="A1798" t="str">
        <f t="shared" si="28"/>
        <v>Nanuque20202.1</v>
      </c>
      <c r="B1798">
        <v>3144300</v>
      </c>
      <c r="C1798" t="s">
        <v>53</v>
      </c>
      <c r="D1798">
        <v>2020</v>
      </c>
      <c r="E1798">
        <v>6</v>
      </c>
      <c r="F1798">
        <v>28</v>
      </c>
      <c r="G1798" t="s">
        <v>17</v>
      </c>
      <c r="H1798" t="s">
        <v>18</v>
      </c>
      <c r="I1798" s="1" t="s">
        <v>19</v>
      </c>
      <c r="J1798">
        <v>0.29120000000000001</v>
      </c>
    </row>
    <row r="1799" spans="1:10" hidden="1" x14ac:dyDescent="0.35">
      <c r="A1799" t="str">
        <f t="shared" si="28"/>
        <v>Nanuque20202.2</v>
      </c>
      <c r="B1799">
        <v>3144300</v>
      </c>
      <c r="C1799" t="s">
        <v>53</v>
      </c>
      <c r="D1799">
        <v>2020</v>
      </c>
      <c r="E1799">
        <v>6</v>
      </c>
      <c r="F1799">
        <v>29</v>
      </c>
      <c r="G1799" t="s">
        <v>20</v>
      </c>
      <c r="H1799" t="s">
        <v>18</v>
      </c>
      <c r="I1799" s="1" t="s">
        <v>21</v>
      </c>
      <c r="J1799">
        <v>0.67849999999999999</v>
      </c>
    </row>
    <row r="1800" spans="1:10" hidden="1" x14ac:dyDescent="0.35">
      <c r="A1800" t="str">
        <f t="shared" si="28"/>
        <v>Nanuque20202.4</v>
      </c>
      <c r="B1800">
        <v>3144300</v>
      </c>
      <c r="C1800" t="s">
        <v>53</v>
      </c>
      <c r="D1800">
        <v>2020</v>
      </c>
      <c r="E1800">
        <v>6</v>
      </c>
      <c r="F1800">
        <v>31</v>
      </c>
      <c r="G1800" t="s">
        <v>22</v>
      </c>
      <c r="H1800" t="s">
        <v>18</v>
      </c>
      <c r="I1800" s="1" t="s">
        <v>23</v>
      </c>
    </row>
    <row r="1801" spans="1:10" hidden="1" x14ac:dyDescent="0.35">
      <c r="A1801" t="str">
        <f t="shared" si="28"/>
        <v>Nanuque20202.5</v>
      </c>
      <c r="B1801">
        <v>3144300</v>
      </c>
      <c r="C1801" t="s">
        <v>53</v>
      </c>
      <c r="D1801">
        <v>2020</v>
      </c>
      <c r="E1801">
        <v>6</v>
      </c>
      <c r="F1801">
        <v>32</v>
      </c>
      <c r="G1801" t="s">
        <v>24</v>
      </c>
      <c r="H1801" t="s">
        <v>18</v>
      </c>
      <c r="I1801" s="1" t="s">
        <v>25</v>
      </c>
    </row>
    <row r="1802" spans="1:10" hidden="1" x14ac:dyDescent="0.35">
      <c r="A1802" t="str">
        <f t="shared" si="28"/>
        <v>Nanuque20202.8</v>
      </c>
      <c r="B1802">
        <v>3144300</v>
      </c>
      <c r="C1802" t="s">
        <v>53</v>
      </c>
      <c r="D1802">
        <v>2020</v>
      </c>
      <c r="E1802">
        <v>6</v>
      </c>
      <c r="F1802">
        <v>35</v>
      </c>
      <c r="G1802" t="s">
        <v>26</v>
      </c>
      <c r="H1802" t="s">
        <v>18</v>
      </c>
      <c r="I1802" s="1" t="s">
        <v>27</v>
      </c>
    </row>
    <row r="1803" spans="1:10" hidden="1" x14ac:dyDescent="0.35">
      <c r="A1803" t="str">
        <f t="shared" si="28"/>
        <v>Nanuque20204.1</v>
      </c>
      <c r="B1803">
        <v>3144300</v>
      </c>
      <c r="C1803" t="s">
        <v>53</v>
      </c>
      <c r="D1803">
        <v>2020</v>
      </c>
      <c r="E1803">
        <v>6</v>
      </c>
      <c r="F1803">
        <v>44</v>
      </c>
      <c r="G1803" t="s">
        <v>28</v>
      </c>
      <c r="H1803" t="s">
        <v>29</v>
      </c>
      <c r="I1803" s="1" t="s">
        <v>30</v>
      </c>
      <c r="J1803">
        <v>5002.47</v>
      </c>
    </row>
    <row r="1804" spans="1:10" hidden="1" x14ac:dyDescent="0.35">
      <c r="A1804" t="str">
        <f t="shared" si="28"/>
        <v>Nanuque20204.10</v>
      </c>
      <c r="B1804">
        <v>3144300</v>
      </c>
      <c r="C1804" t="s">
        <v>53</v>
      </c>
      <c r="D1804">
        <v>2020</v>
      </c>
      <c r="E1804">
        <v>6</v>
      </c>
      <c r="F1804">
        <v>58</v>
      </c>
      <c r="G1804" t="s">
        <v>31</v>
      </c>
      <c r="H1804" t="s">
        <v>29</v>
      </c>
      <c r="I1804" s="1" t="s">
        <v>32</v>
      </c>
    </row>
    <row r="1805" spans="1:10" hidden="1" x14ac:dyDescent="0.35">
      <c r="A1805" t="str">
        <f t="shared" si="28"/>
        <v>Nanuque20204.11</v>
      </c>
      <c r="B1805">
        <v>3144300</v>
      </c>
      <c r="C1805" t="s">
        <v>53</v>
      </c>
      <c r="D1805">
        <v>2020</v>
      </c>
      <c r="E1805">
        <v>6</v>
      </c>
      <c r="F1805">
        <v>59</v>
      </c>
      <c r="G1805" t="s">
        <v>33</v>
      </c>
      <c r="H1805" t="s">
        <v>29</v>
      </c>
      <c r="I1805" s="1" t="s">
        <v>34</v>
      </c>
      <c r="J1805">
        <v>6605.37</v>
      </c>
    </row>
    <row r="1806" spans="1:10" hidden="1" x14ac:dyDescent="0.35">
      <c r="A1806" t="str">
        <f t="shared" si="28"/>
        <v>Nanuque20204.2</v>
      </c>
      <c r="B1806">
        <v>3144300</v>
      </c>
      <c r="C1806" t="s">
        <v>53</v>
      </c>
      <c r="D1806">
        <v>2020</v>
      </c>
      <c r="E1806">
        <v>6</v>
      </c>
      <c r="F1806">
        <v>45</v>
      </c>
      <c r="G1806" t="s">
        <v>35</v>
      </c>
      <c r="H1806" t="s">
        <v>29</v>
      </c>
      <c r="I1806" s="1" t="s">
        <v>36</v>
      </c>
      <c r="J1806">
        <v>8428.68</v>
      </c>
    </row>
    <row r="1807" spans="1:10" hidden="1" x14ac:dyDescent="0.35">
      <c r="A1807" t="str">
        <f t="shared" si="28"/>
        <v>Nanuque20204.8</v>
      </c>
      <c r="B1807">
        <v>3144300</v>
      </c>
      <c r="C1807" t="s">
        <v>53</v>
      </c>
      <c r="D1807">
        <v>2020</v>
      </c>
      <c r="E1807">
        <v>6</v>
      </c>
      <c r="F1807">
        <v>56</v>
      </c>
      <c r="G1807" t="s">
        <v>37</v>
      </c>
      <c r="H1807" t="s">
        <v>29</v>
      </c>
      <c r="I1807" s="1" t="s">
        <v>38</v>
      </c>
      <c r="J1807">
        <v>7108.04</v>
      </c>
    </row>
    <row r="1808" spans="1:10" hidden="1" x14ac:dyDescent="0.35">
      <c r="A1808" t="str">
        <f t="shared" si="28"/>
        <v>Nanuque20204.9</v>
      </c>
      <c r="B1808">
        <v>3144300</v>
      </c>
      <c r="C1808" t="s">
        <v>53</v>
      </c>
      <c r="D1808">
        <v>2020</v>
      </c>
      <c r="E1808">
        <v>6</v>
      </c>
      <c r="F1808">
        <v>57</v>
      </c>
      <c r="G1808" t="s">
        <v>39</v>
      </c>
      <c r="H1808" t="s">
        <v>29</v>
      </c>
      <c r="I1808" s="1" t="s">
        <v>40</v>
      </c>
      <c r="J1808">
        <v>7108.04</v>
      </c>
    </row>
    <row r="1809" spans="1:10" hidden="1" x14ac:dyDescent="0.35">
      <c r="A1809" t="str">
        <f t="shared" si="28"/>
        <v>Novo Oriente de Minas20201.1</v>
      </c>
      <c r="B1809">
        <v>3145356</v>
      </c>
      <c r="C1809" t="s">
        <v>54</v>
      </c>
      <c r="D1809">
        <v>2020</v>
      </c>
      <c r="E1809">
        <v>6</v>
      </c>
      <c r="F1809">
        <v>24</v>
      </c>
      <c r="G1809" t="s">
        <v>10</v>
      </c>
      <c r="H1809" t="s">
        <v>11</v>
      </c>
      <c r="I1809" s="1" t="s">
        <v>12</v>
      </c>
      <c r="J1809">
        <v>0.33910000000000001</v>
      </c>
    </row>
    <row r="1810" spans="1:10" hidden="1" x14ac:dyDescent="0.35">
      <c r="A1810" t="str">
        <f t="shared" si="28"/>
        <v>Novo Oriente de Minas20201.2</v>
      </c>
      <c r="B1810">
        <v>3145356</v>
      </c>
      <c r="C1810" t="s">
        <v>54</v>
      </c>
      <c r="D1810">
        <v>2020</v>
      </c>
      <c r="E1810">
        <v>6</v>
      </c>
      <c r="F1810">
        <v>67</v>
      </c>
      <c r="G1810" t="s">
        <v>13</v>
      </c>
      <c r="H1810" t="s">
        <v>11</v>
      </c>
      <c r="I1810" s="1" t="s">
        <v>14</v>
      </c>
      <c r="J1810">
        <v>0.70830000000000004</v>
      </c>
    </row>
    <row r="1811" spans="1:10" hidden="1" x14ac:dyDescent="0.35">
      <c r="A1811" t="str">
        <f t="shared" si="28"/>
        <v>Novo Oriente de Minas20201.3</v>
      </c>
      <c r="B1811">
        <v>3145356</v>
      </c>
      <c r="C1811" t="s">
        <v>54</v>
      </c>
      <c r="D1811">
        <v>2020</v>
      </c>
      <c r="E1811">
        <v>6</v>
      </c>
      <c r="F1811">
        <v>68</v>
      </c>
      <c r="G1811" t="s">
        <v>15</v>
      </c>
      <c r="H1811" t="s">
        <v>11</v>
      </c>
      <c r="I1811" s="1" t="s">
        <v>16</v>
      </c>
      <c r="J1811">
        <v>0.28860000000000002</v>
      </c>
    </row>
    <row r="1812" spans="1:10" hidden="1" x14ac:dyDescent="0.35">
      <c r="A1812" t="str">
        <f t="shared" si="28"/>
        <v>Novo Oriente de Minas20202.1</v>
      </c>
      <c r="B1812">
        <v>3145356</v>
      </c>
      <c r="C1812" t="s">
        <v>54</v>
      </c>
      <c r="D1812">
        <v>2020</v>
      </c>
      <c r="E1812">
        <v>6</v>
      </c>
      <c r="F1812">
        <v>28</v>
      </c>
      <c r="G1812" t="s">
        <v>17</v>
      </c>
      <c r="H1812" t="s">
        <v>18</v>
      </c>
      <c r="I1812" s="1" t="s">
        <v>19</v>
      </c>
    </row>
    <row r="1813" spans="1:10" hidden="1" x14ac:dyDescent="0.35">
      <c r="A1813" t="str">
        <f t="shared" si="28"/>
        <v>Novo Oriente de Minas20202.2</v>
      </c>
      <c r="B1813">
        <v>3145356</v>
      </c>
      <c r="C1813" t="s">
        <v>54</v>
      </c>
      <c r="D1813">
        <v>2020</v>
      </c>
      <c r="E1813">
        <v>6</v>
      </c>
      <c r="F1813">
        <v>29</v>
      </c>
      <c r="G1813" t="s">
        <v>20</v>
      </c>
      <c r="H1813" t="s">
        <v>18</v>
      </c>
      <c r="I1813" s="1" t="s">
        <v>21</v>
      </c>
      <c r="J1813">
        <v>0.99690000000000001</v>
      </c>
    </row>
    <row r="1814" spans="1:10" hidden="1" x14ac:dyDescent="0.35">
      <c r="A1814" t="str">
        <f t="shared" si="28"/>
        <v>Novo Oriente de Minas20202.4</v>
      </c>
      <c r="B1814">
        <v>3145356</v>
      </c>
      <c r="C1814" t="s">
        <v>54</v>
      </c>
      <c r="D1814">
        <v>2020</v>
      </c>
      <c r="E1814">
        <v>6</v>
      </c>
      <c r="F1814">
        <v>31</v>
      </c>
      <c r="G1814" t="s">
        <v>22</v>
      </c>
      <c r="H1814" t="s">
        <v>18</v>
      </c>
      <c r="I1814" s="1" t="s">
        <v>23</v>
      </c>
    </row>
    <row r="1815" spans="1:10" hidden="1" x14ac:dyDescent="0.35">
      <c r="A1815" t="str">
        <f t="shared" si="28"/>
        <v>Novo Oriente de Minas20202.5</v>
      </c>
      <c r="B1815">
        <v>3145356</v>
      </c>
      <c r="C1815" t="s">
        <v>54</v>
      </c>
      <c r="D1815">
        <v>2020</v>
      </c>
      <c r="E1815">
        <v>6</v>
      </c>
      <c r="F1815">
        <v>32</v>
      </c>
      <c r="G1815" t="s">
        <v>24</v>
      </c>
      <c r="H1815" t="s">
        <v>18</v>
      </c>
      <c r="I1815" s="1" t="s">
        <v>25</v>
      </c>
    </row>
    <row r="1816" spans="1:10" hidden="1" x14ac:dyDescent="0.35">
      <c r="A1816" t="str">
        <f t="shared" si="28"/>
        <v>Novo Oriente de Minas20202.8</v>
      </c>
      <c r="B1816">
        <v>3145356</v>
      </c>
      <c r="C1816" t="s">
        <v>54</v>
      </c>
      <c r="D1816">
        <v>2020</v>
      </c>
      <c r="E1816">
        <v>6</v>
      </c>
      <c r="F1816">
        <v>35</v>
      </c>
      <c r="G1816" t="s">
        <v>26</v>
      </c>
      <c r="H1816" t="s">
        <v>18</v>
      </c>
      <c r="I1816" s="1" t="s">
        <v>27</v>
      </c>
    </row>
    <row r="1817" spans="1:10" hidden="1" x14ac:dyDescent="0.35">
      <c r="A1817" t="str">
        <f t="shared" si="28"/>
        <v>Novo Oriente de Minas20204.1</v>
      </c>
      <c r="B1817">
        <v>3145356</v>
      </c>
      <c r="C1817" t="s">
        <v>54</v>
      </c>
      <c r="D1817">
        <v>2020</v>
      </c>
      <c r="E1817">
        <v>6</v>
      </c>
      <c r="F1817">
        <v>44</v>
      </c>
      <c r="G1817" t="s">
        <v>28</v>
      </c>
      <c r="H1817" t="s">
        <v>29</v>
      </c>
      <c r="I1817" s="1" t="s">
        <v>30</v>
      </c>
      <c r="J1817">
        <v>1737.97</v>
      </c>
    </row>
    <row r="1818" spans="1:10" hidden="1" x14ac:dyDescent="0.35">
      <c r="A1818" t="str">
        <f t="shared" si="28"/>
        <v>Novo Oriente de Minas20204.10</v>
      </c>
      <c r="B1818">
        <v>3145356</v>
      </c>
      <c r="C1818" t="s">
        <v>54</v>
      </c>
      <c r="D1818">
        <v>2020</v>
      </c>
      <c r="E1818">
        <v>6</v>
      </c>
      <c r="F1818">
        <v>58</v>
      </c>
      <c r="G1818" t="s">
        <v>31</v>
      </c>
      <c r="H1818" t="s">
        <v>29</v>
      </c>
      <c r="I1818" s="1" t="s">
        <v>32</v>
      </c>
    </row>
    <row r="1819" spans="1:10" hidden="1" x14ac:dyDescent="0.35">
      <c r="A1819" t="str">
        <f t="shared" si="28"/>
        <v>Novo Oriente de Minas20204.11</v>
      </c>
      <c r="B1819">
        <v>3145356</v>
      </c>
      <c r="C1819" t="s">
        <v>54</v>
      </c>
      <c r="D1819">
        <v>2020</v>
      </c>
      <c r="E1819">
        <v>6</v>
      </c>
      <c r="F1819">
        <v>59</v>
      </c>
      <c r="G1819" t="s">
        <v>33</v>
      </c>
      <c r="H1819" t="s">
        <v>29</v>
      </c>
      <c r="I1819" s="1" t="s">
        <v>34</v>
      </c>
      <c r="J1819">
        <v>6255.46</v>
      </c>
    </row>
    <row r="1820" spans="1:10" hidden="1" x14ac:dyDescent="0.35">
      <c r="A1820" t="str">
        <f t="shared" si="28"/>
        <v>Novo Oriente de Minas20204.2</v>
      </c>
      <c r="B1820">
        <v>3145356</v>
      </c>
      <c r="C1820" t="s">
        <v>54</v>
      </c>
      <c r="D1820">
        <v>2020</v>
      </c>
      <c r="E1820">
        <v>6</v>
      </c>
      <c r="F1820">
        <v>45</v>
      </c>
      <c r="G1820" t="s">
        <v>35</v>
      </c>
      <c r="H1820" t="s">
        <v>29</v>
      </c>
      <c r="I1820" s="1" t="s">
        <v>36</v>
      </c>
      <c r="J1820">
        <v>11465.3</v>
      </c>
    </row>
    <row r="1821" spans="1:10" hidden="1" x14ac:dyDescent="0.35">
      <c r="A1821" t="str">
        <f t="shared" si="28"/>
        <v>Novo Oriente de Minas20204.8</v>
      </c>
      <c r="B1821">
        <v>3145356</v>
      </c>
      <c r="C1821" t="s">
        <v>54</v>
      </c>
      <c r="D1821">
        <v>2020</v>
      </c>
      <c r="E1821">
        <v>6</v>
      </c>
      <c r="F1821">
        <v>56</v>
      </c>
      <c r="G1821" t="s">
        <v>37</v>
      </c>
      <c r="H1821" t="s">
        <v>29</v>
      </c>
      <c r="I1821" s="1" t="s">
        <v>38</v>
      </c>
      <c r="J1821">
        <v>7630.33</v>
      </c>
    </row>
    <row r="1822" spans="1:10" hidden="1" x14ac:dyDescent="0.35">
      <c r="A1822" t="str">
        <f t="shared" si="28"/>
        <v>Novo Oriente de Minas20204.9</v>
      </c>
      <c r="B1822">
        <v>3145356</v>
      </c>
      <c r="C1822" t="s">
        <v>54</v>
      </c>
      <c r="D1822">
        <v>2020</v>
      </c>
      <c r="E1822">
        <v>6</v>
      </c>
      <c r="F1822">
        <v>57</v>
      </c>
      <c r="G1822" t="s">
        <v>39</v>
      </c>
      <c r="H1822" t="s">
        <v>29</v>
      </c>
      <c r="I1822" s="1" t="s">
        <v>40</v>
      </c>
      <c r="J1822">
        <v>7630.33</v>
      </c>
    </row>
    <row r="1823" spans="1:10" hidden="1" x14ac:dyDescent="0.35">
      <c r="A1823" t="str">
        <f t="shared" si="28"/>
        <v>Ouro Verde de Minas20201.1</v>
      </c>
      <c r="B1823">
        <v>3146206</v>
      </c>
      <c r="C1823" t="s">
        <v>55</v>
      </c>
      <c r="D1823">
        <v>2020</v>
      </c>
      <c r="E1823">
        <v>6</v>
      </c>
      <c r="F1823">
        <v>24</v>
      </c>
      <c r="G1823" t="s">
        <v>10</v>
      </c>
      <c r="H1823" t="s">
        <v>11</v>
      </c>
      <c r="I1823" s="1" t="s">
        <v>12</v>
      </c>
      <c r="J1823">
        <v>0.2767</v>
      </c>
    </row>
    <row r="1824" spans="1:10" hidden="1" x14ac:dyDescent="0.35">
      <c r="A1824" t="str">
        <f t="shared" si="28"/>
        <v>Ouro Verde de Minas20201.2</v>
      </c>
      <c r="B1824">
        <v>3146206</v>
      </c>
      <c r="C1824" t="s">
        <v>55</v>
      </c>
      <c r="D1824">
        <v>2020</v>
      </c>
      <c r="E1824">
        <v>6</v>
      </c>
      <c r="F1824">
        <v>67</v>
      </c>
      <c r="G1824" t="s">
        <v>13</v>
      </c>
      <c r="H1824" t="s">
        <v>11</v>
      </c>
      <c r="I1824" s="1" t="s">
        <v>14</v>
      </c>
      <c r="J1824">
        <v>0.79120000000000001</v>
      </c>
    </row>
    <row r="1825" spans="1:10" hidden="1" x14ac:dyDescent="0.35">
      <c r="A1825" t="str">
        <f t="shared" si="28"/>
        <v>Ouro Verde de Minas20201.3</v>
      </c>
      <c r="B1825">
        <v>3146206</v>
      </c>
      <c r="C1825" t="s">
        <v>55</v>
      </c>
      <c r="D1825">
        <v>2020</v>
      </c>
      <c r="E1825">
        <v>6</v>
      </c>
      <c r="F1825">
        <v>68</v>
      </c>
      <c r="G1825" t="s">
        <v>15</v>
      </c>
      <c r="H1825" t="s">
        <v>11</v>
      </c>
      <c r="I1825" s="1" t="s">
        <v>16</v>
      </c>
      <c r="J1825">
        <v>0.20880000000000001</v>
      </c>
    </row>
    <row r="1826" spans="1:10" hidden="1" x14ac:dyDescent="0.35">
      <c r="A1826" t="str">
        <f t="shared" si="28"/>
        <v>Ouro Verde de Minas20202.1</v>
      </c>
      <c r="B1826">
        <v>3146206</v>
      </c>
      <c r="C1826" t="s">
        <v>55</v>
      </c>
      <c r="D1826">
        <v>2020</v>
      </c>
      <c r="E1826">
        <v>6</v>
      </c>
      <c r="F1826">
        <v>28</v>
      </c>
      <c r="G1826" t="s">
        <v>17</v>
      </c>
      <c r="H1826" t="s">
        <v>18</v>
      </c>
      <c r="I1826" s="1" t="s">
        <v>19</v>
      </c>
      <c r="J1826">
        <v>0.42130000000000001</v>
      </c>
    </row>
    <row r="1827" spans="1:10" hidden="1" x14ac:dyDescent="0.35">
      <c r="A1827" t="str">
        <f t="shared" si="28"/>
        <v>Ouro Verde de Minas20202.2</v>
      </c>
      <c r="B1827">
        <v>3146206</v>
      </c>
      <c r="C1827" t="s">
        <v>55</v>
      </c>
      <c r="D1827">
        <v>2020</v>
      </c>
      <c r="E1827">
        <v>6</v>
      </c>
      <c r="F1827">
        <v>29</v>
      </c>
      <c r="G1827" t="s">
        <v>20</v>
      </c>
      <c r="H1827" t="s">
        <v>18</v>
      </c>
      <c r="I1827" s="1" t="s">
        <v>21</v>
      </c>
      <c r="J1827">
        <v>0.58899999999999997</v>
      </c>
    </row>
    <row r="1828" spans="1:10" hidden="1" x14ac:dyDescent="0.35">
      <c r="A1828" t="str">
        <f t="shared" si="28"/>
        <v>Ouro Verde de Minas20202.4</v>
      </c>
      <c r="B1828">
        <v>3146206</v>
      </c>
      <c r="C1828" t="s">
        <v>55</v>
      </c>
      <c r="D1828">
        <v>2020</v>
      </c>
      <c r="E1828">
        <v>6</v>
      </c>
      <c r="F1828">
        <v>31</v>
      </c>
      <c r="G1828" t="s">
        <v>22</v>
      </c>
      <c r="H1828" t="s">
        <v>18</v>
      </c>
      <c r="I1828" s="1" t="s">
        <v>23</v>
      </c>
    </row>
    <row r="1829" spans="1:10" hidden="1" x14ac:dyDescent="0.35">
      <c r="A1829" t="str">
        <f t="shared" si="28"/>
        <v>Ouro Verde de Minas20202.5</v>
      </c>
      <c r="B1829">
        <v>3146206</v>
      </c>
      <c r="C1829" t="s">
        <v>55</v>
      </c>
      <c r="D1829">
        <v>2020</v>
      </c>
      <c r="E1829">
        <v>6</v>
      </c>
      <c r="F1829">
        <v>32</v>
      </c>
      <c r="G1829" t="s">
        <v>24</v>
      </c>
      <c r="H1829" t="s">
        <v>18</v>
      </c>
      <c r="I1829" s="1" t="s">
        <v>25</v>
      </c>
    </row>
    <row r="1830" spans="1:10" hidden="1" x14ac:dyDescent="0.35">
      <c r="A1830" t="str">
        <f t="shared" si="28"/>
        <v>Ouro Verde de Minas20202.8</v>
      </c>
      <c r="B1830">
        <v>3146206</v>
      </c>
      <c r="C1830" t="s">
        <v>55</v>
      </c>
      <c r="D1830">
        <v>2020</v>
      </c>
      <c r="E1830">
        <v>6</v>
      </c>
      <c r="F1830">
        <v>35</v>
      </c>
      <c r="G1830" t="s">
        <v>26</v>
      </c>
      <c r="H1830" t="s">
        <v>18</v>
      </c>
      <c r="I1830" s="1" t="s">
        <v>27</v>
      </c>
    </row>
    <row r="1831" spans="1:10" hidden="1" x14ac:dyDescent="0.35">
      <c r="A1831" t="str">
        <f t="shared" si="28"/>
        <v>Ouro Verde de Minas20204.1</v>
      </c>
      <c r="B1831">
        <v>3146206</v>
      </c>
      <c r="C1831" t="s">
        <v>55</v>
      </c>
      <c r="D1831">
        <v>2020</v>
      </c>
      <c r="E1831">
        <v>6</v>
      </c>
      <c r="F1831">
        <v>44</v>
      </c>
      <c r="G1831" t="s">
        <v>28</v>
      </c>
      <c r="H1831" t="s">
        <v>29</v>
      </c>
      <c r="I1831" s="1" t="s">
        <v>30</v>
      </c>
      <c r="J1831">
        <v>4545.63</v>
      </c>
    </row>
    <row r="1832" spans="1:10" hidden="1" x14ac:dyDescent="0.35">
      <c r="A1832" t="str">
        <f t="shared" si="28"/>
        <v>Ouro Verde de Minas20204.10</v>
      </c>
      <c r="B1832">
        <v>3146206</v>
      </c>
      <c r="C1832" t="s">
        <v>55</v>
      </c>
      <c r="D1832">
        <v>2020</v>
      </c>
      <c r="E1832">
        <v>6</v>
      </c>
      <c r="F1832">
        <v>58</v>
      </c>
      <c r="G1832" t="s">
        <v>31</v>
      </c>
      <c r="H1832" t="s">
        <v>29</v>
      </c>
      <c r="I1832" s="1" t="s">
        <v>32</v>
      </c>
    </row>
    <row r="1833" spans="1:10" hidden="1" x14ac:dyDescent="0.35">
      <c r="A1833" t="str">
        <f t="shared" si="28"/>
        <v>Ouro Verde de Minas20204.11</v>
      </c>
      <c r="B1833">
        <v>3146206</v>
      </c>
      <c r="C1833" t="s">
        <v>55</v>
      </c>
      <c r="D1833">
        <v>2020</v>
      </c>
      <c r="E1833">
        <v>6</v>
      </c>
      <c r="F1833">
        <v>59</v>
      </c>
      <c r="G1833" t="s">
        <v>33</v>
      </c>
      <c r="H1833" t="s">
        <v>29</v>
      </c>
      <c r="I1833" s="1" t="s">
        <v>34</v>
      </c>
      <c r="J1833">
        <v>5800.86</v>
      </c>
    </row>
    <row r="1834" spans="1:10" hidden="1" x14ac:dyDescent="0.35">
      <c r="A1834" t="str">
        <f t="shared" si="28"/>
        <v>Ouro Verde de Minas20204.2</v>
      </c>
      <c r="B1834">
        <v>3146206</v>
      </c>
      <c r="C1834" t="s">
        <v>55</v>
      </c>
      <c r="D1834">
        <v>2020</v>
      </c>
      <c r="E1834">
        <v>6</v>
      </c>
      <c r="F1834">
        <v>45</v>
      </c>
      <c r="G1834" t="s">
        <v>35</v>
      </c>
      <c r="H1834" t="s">
        <v>29</v>
      </c>
      <c r="I1834" s="1" t="s">
        <v>36</v>
      </c>
      <c r="J1834">
        <v>9043.43</v>
      </c>
    </row>
    <row r="1835" spans="1:10" hidden="1" x14ac:dyDescent="0.35">
      <c r="A1835" t="str">
        <f t="shared" si="28"/>
        <v>Ouro Verde de Minas20204.8</v>
      </c>
      <c r="B1835">
        <v>3146206</v>
      </c>
      <c r="C1835" t="s">
        <v>55</v>
      </c>
      <c r="D1835">
        <v>2020</v>
      </c>
      <c r="E1835">
        <v>6</v>
      </c>
      <c r="F1835">
        <v>56</v>
      </c>
      <c r="G1835" t="s">
        <v>37</v>
      </c>
      <c r="H1835" t="s">
        <v>29</v>
      </c>
      <c r="I1835" s="1" t="s">
        <v>38</v>
      </c>
      <c r="J1835">
        <v>7096.62</v>
      </c>
    </row>
    <row r="1836" spans="1:10" hidden="1" x14ac:dyDescent="0.35">
      <c r="A1836" t="str">
        <f t="shared" si="28"/>
        <v>Ouro Verde de Minas20204.9</v>
      </c>
      <c r="B1836">
        <v>3146206</v>
      </c>
      <c r="C1836" t="s">
        <v>55</v>
      </c>
      <c r="D1836">
        <v>2020</v>
      </c>
      <c r="E1836">
        <v>6</v>
      </c>
      <c r="F1836">
        <v>57</v>
      </c>
      <c r="G1836" t="s">
        <v>39</v>
      </c>
      <c r="H1836" t="s">
        <v>29</v>
      </c>
      <c r="I1836" s="1" t="s">
        <v>40</v>
      </c>
      <c r="J1836">
        <v>7096.62</v>
      </c>
    </row>
    <row r="1837" spans="1:10" hidden="1" x14ac:dyDescent="0.35">
      <c r="A1837" t="str">
        <f t="shared" si="28"/>
        <v>Pavão20201.1</v>
      </c>
      <c r="B1837">
        <v>3148509</v>
      </c>
      <c r="C1837" t="s">
        <v>56</v>
      </c>
      <c r="D1837">
        <v>2020</v>
      </c>
      <c r="E1837">
        <v>6</v>
      </c>
      <c r="F1837">
        <v>24</v>
      </c>
      <c r="G1837" t="s">
        <v>10</v>
      </c>
      <c r="H1837" t="s">
        <v>11</v>
      </c>
      <c r="I1837" s="1" t="s">
        <v>12</v>
      </c>
      <c r="J1837">
        <v>0.25580000000000003</v>
      </c>
    </row>
    <row r="1838" spans="1:10" hidden="1" x14ac:dyDescent="0.35">
      <c r="A1838" t="str">
        <f t="shared" si="28"/>
        <v>Pavão20201.2</v>
      </c>
      <c r="B1838">
        <v>3148509</v>
      </c>
      <c r="C1838" t="s">
        <v>56</v>
      </c>
      <c r="D1838">
        <v>2020</v>
      </c>
      <c r="E1838">
        <v>6</v>
      </c>
      <c r="F1838">
        <v>67</v>
      </c>
      <c r="G1838" t="s">
        <v>13</v>
      </c>
      <c r="H1838" t="s">
        <v>11</v>
      </c>
      <c r="I1838" s="1" t="s">
        <v>14</v>
      </c>
      <c r="J1838">
        <v>0.77190000000000003</v>
      </c>
    </row>
    <row r="1839" spans="1:10" hidden="1" x14ac:dyDescent="0.35">
      <c r="A1839" t="str">
        <f t="shared" si="28"/>
        <v>Pavão20201.3</v>
      </c>
      <c r="B1839">
        <v>3148509</v>
      </c>
      <c r="C1839" t="s">
        <v>56</v>
      </c>
      <c r="D1839">
        <v>2020</v>
      </c>
      <c r="E1839">
        <v>6</v>
      </c>
      <c r="F1839">
        <v>68</v>
      </c>
      <c r="G1839" t="s">
        <v>15</v>
      </c>
      <c r="H1839" t="s">
        <v>11</v>
      </c>
      <c r="I1839" s="1" t="s">
        <v>16</v>
      </c>
      <c r="J1839">
        <v>0.1978</v>
      </c>
    </row>
    <row r="1840" spans="1:10" hidden="1" x14ac:dyDescent="0.35">
      <c r="A1840" t="str">
        <f t="shared" si="28"/>
        <v>Pavão20202.1</v>
      </c>
      <c r="B1840">
        <v>3148509</v>
      </c>
      <c r="C1840" t="s">
        <v>56</v>
      </c>
      <c r="D1840">
        <v>2020</v>
      </c>
      <c r="E1840">
        <v>6</v>
      </c>
      <c r="F1840">
        <v>28</v>
      </c>
      <c r="G1840" t="s">
        <v>17</v>
      </c>
      <c r="H1840" t="s">
        <v>18</v>
      </c>
      <c r="I1840" s="1" t="s">
        <v>19</v>
      </c>
      <c r="J1840">
        <v>1.7299999999999999E-2</v>
      </c>
    </row>
    <row r="1841" spans="1:10" hidden="1" x14ac:dyDescent="0.35">
      <c r="A1841" t="str">
        <f t="shared" si="28"/>
        <v>Pavão20202.2</v>
      </c>
      <c r="B1841">
        <v>3148509</v>
      </c>
      <c r="C1841" t="s">
        <v>56</v>
      </c>
      <c r="D1841">
        <v>2020</v>
      </c>
      <c r="E1841">
        <v>6</v>
      </c>
      <c r="F1841">
        <v>29</v>
      </c>
      <c r="G1841" t="s">
        <v>20</v>
      </c>
      <c r="H1841" t="s">
        <v>18</v>
      </c>
      <c r="I1841" s="1" t="s">
        <v>21</v>
      </c>
      <c r="J1841">
        <v>0.95250000000000001</v>
      </c>
    </row>
    <row r="1842" spans="1:10" hidden="1" x14ac:dyDescent="0.35">
      <c r="A1842" t="str">
        <f t="shared" si="28"/>
        <v>Pavão20202.4</v>
      </c>
      <c r="B1842">
        <v>3148509</v>
      </c>
      <c r="C1842" t="s">
        <v>56</v>
      </c>
      <c r="D1842">
        <v>2020</v>
      </c>
      <c r="E1842">
        <v>6</v>
      </c>
      <c r="F1842">
        <v>31</v>
      </c>
      <c r="G1842" t="s">
        <v>22</v>
      </c>
      <c r="H1842" t="s">
        <v>18</v>
      </c>
      <c r="I1842" s="1" t="s">
        <v>23</v>
      </c>
    </row>
    <row r="1843" spans="1:10" hidden="1" x14ac:dyDescent="0.35">
      <c r="A1843" t="str">
        <f t="shared" si="28"/>
        <v>Pavão20202.5</v>
      </c>
      <c r="B1843">
        <v>3148509</v>
      </c>
      <c r="C1843" t="s">
        <v>56</v>
      </c>
      <c r="D1843">
        <v>2020</v>
      </c>
      <c r="E1843">
        <v>6</v>
      </c>
      <c r="F1843">
        <v>32</v>
      </c>
      <c r="G1843" t="s">
        <v>24</v>
      </c>
      <c r="H1843" t="s">
        <v>18</v>
      </c>
      <c r="I1843" s="1" t="s">
        <v>25</v>
      </c>
    </row>
    <row r="1844" spans="1:10" hidden="1" x14ac:dyDescent="0.35">
      <c r="A1844" t="str">
        <f t="shared" si="28"/>
        <v>Pavão20202.8</v>
      </c>
      <c r="B1844">
        <v>3148509</v>
      </c>
      <c r="C1844" t="s">
        <v>56</v>
      </c>
      <c r="D1844">
        <v>2020</v>
      </c>
      <c r="E1844">
        <v>6</v>
      </c>
      <c r="F1844">
        <v>35</v>
      </c>
      <c r="G1844" t="s">
        <v>26</v>
      </c>
      <c r="H1844" t="s">
        <v>18</v>
      </c>
      <c r="I1844" s="1" t="s">
        <v>27</v>
      </c>
    </row>
    <row r="1845" spans="1:10" hidden="1" x14ac:dyDescent="0.35">
      <c r="A1845" t="str">
        <f t="shared" si="28"/>
        <v>Pavão20204.1</v>
      </c>
      <c r="B1845">
        <v>3148509</v>
      </c>
      <c r="C1845" t="s">
        <v>56</v>
      </c>
      <c r="D1845">
        <v>2020</v>
      </c>
      <c r="E1845">
        <v>6</v>
      </c>
      <c r="F1845">
        <v>44</v>
      </c>
      <c r="G1845" t="s">
        <v>28</v>
      </c>
      <c r="H1845" t="s">
        <v>29</v>
      </c>
      <c r="I1845" s="1" t="s">
        <v>30</v>
      </c>
      <c r="J1845">
        <v>2248.67</v>
      </c>
    </row>
    <row r="1846" spans="1:10" hidden="1" x14ac:dyDescent="0.35">
      <c r="A1846" t="str">
        <f t="shared" si="28"/>
        <v>Pavão20204.10</v>
      </c>
      <c r="B1846">
        <v>3148509</v>
      </c>
      <c r="C1846" t="s">
        <v>56</v>
      </c>
      <c r="D1846">
        <v>2020</v>
      </c>
      <c r="E1846">
        <v>6</v>
      </c>
      <c r="F1846">
        <v>58</v>
      </c>
      <c r="G1846" t="s">
        <v>31</v>
      </c>
      <c r="H1846" t="s">
        <v>29</v>
      </c>
      <c r="I1846" s="1" t="s">
        <v>32</v>
      </c>
    </row>
    <row r="1847" spans="1:10" hidden="1" x14ac:dyDescent="0.35">
      <c r="A1847" t="str">
        <f t="shared" si="28"/>
        <v>Pavão20204.11</v>
      </c>
      <c r="B1847">
        <v>3148509</v>
      </c>
      <c r="C1847" t="s">
        <v>56</v>
      </c>
      <c r="D1847">
        <v>2020</v>
      </c>
      <c r="E1847">
        <v>6</v>
      </c>
      <c r="F1847">
        <v>59</v>
      </c>
      <c r="G1847" t="s">
        <v>33</v>
      </c>
      <c r="H1847" t="s">
        <v>29</v>
      </c>
      <c r="I1847" s="1" t="s">
        <v>34</v>
      </c>
      <c r="J1847">
        <v>6106.53</v>
      </c>
    </row>
    <row r="1848" spans="1:10" hidden="1" x14ac:dyDescent="0.35">
      <c r="A1848" t="str">
        <f t="shared" si="28"/>
        <v>Pavão20204.2</v>
      </c>
      <c r="B1848">
        <v>3148509</v>
      </c>
      <c r="C1848" t="s">
        <v>56</v>
      </c>
      <c r="D1848">
        <v>2020</v>
      </c>
      <c r="E1848">
        <v>6</v>
      </c>
      <c r="F1848">
        <v>45</v>
      </c>
      <c r="G1848" t="s">
        <v>35</v>
      </c>
      <c r="H1848" t="s">
        <v>29</v>
      </c>
      <c r="I1848" s="1" t="s">
        <v>36</v>
      </c>
      <c r="J1848">
        <v>10812.7</v>
      </c>
    </row>
    <row r="1849" spans="1:10" hidden="1" x14ac:dyDescent="0.35">
      <c r="A1849" t="str">
        <f t="shared" si="28"/>
        <v>Pavão20204.8</v>
      </c>
      <c r="B1849">
        <v>3148509</v>
      </c>
      <c r="C1849" t="s">
        <v>56</v>
      </c>
      <c r="D1849">
        <v>2020</v>
      </c>
      <c r="E1849">
        <v>6</v>
      </c>
      <c r="F1849">
        <v>56</v>
      </c>
      <c r="G1849" t="s">
        <v>37</v>
      </c>
      <c r="H1849" t="s">
        <v>29</v>
      </c>
      <c r="I1849" s="1" t="s">
        <v>38</v>
      </c>
      <c r="J1849">
        <v>7004.27</v>
      </c>
    </row>
    <row r="1850" spans="1:10" hidden="1" x14ac:dyDescent="0.35">
      <c r="A1850" t="str">
        <f t="shared" si="28"/>
        <v>Pavão20204.9</v>
      </c>
      <c r="B1850">
        <v>3148509</v>
      </c>
      <c r="C1850" t="s">
        <v>56</v>
      </c>
      <c r="D1850">
        <v>2020</v>
      </c>
      <c r="E1850">
        <v>6</v>
      </c>
      <c r="F1850">
        <v>57</v>
      </c>
      <c r="G1850" t="s">
        <v>39</v>
      </c>
      <c r="H1850" t="s">
        <v>29</v>
      </c>
      <c r="I1850" s="1" t="s">
        <v>40</v>
      </c>
      <c r="J1850">
        <v>7004.27</v>
      </c>
    </row>
    <row r="1851" spans="1:10" hidden="1" x14ac:dyDescent="0.35">
      <c r="A1851" t="str">
        <f t="shared" si="28"/>
        <v>Poté20201.1</v>
      </c>
      <c r="B1851">
        <v>3152402</v>
      </c>
      <c r="C1851" t="s">
        <v>57</v>
      </c>
      <c r="D1851">
        <v>2020</v>
      </c>
      <c r="E1851">
        <v>6</v>
      </c>
      <c r="F1851">
        <v>24</v>
      </c>
      <c r="G1851" t="s">
        <v>10</v>
      </c>
      <c r="H1851" t="s">
        <v>11</v>
      </c>
      <c r="I1851" s="1" t="s">
        <v>12</v>
      </c>
      <c r="J1851">
        <v>0.25130000000000002</v>
      </c>
    </row>
    <row r="1852" spans="1:10" hidden="1" x14ac:dyDescent="0.35">
      <c r="A1852" t="str">
        <f t="shared" si="28"/>
        <v>Poté20201.2</v>
      </c>
      <c r="B1852">
        <v>3152402</v>
      </c>
      <c r="C1852" t="s">
        <v>57</v>
      </c>
      <c r="D1852">
        <v>2020</v>
      </c>
      <c r="E1852">
        <v>6</v>
      </c>
      <c r="F1852">
        <v>67</v>
      </c>
      <c r="G1852" t="s">
        <v>13</v>
      </c>
      <c r="H1852" t="s">
        <v>11</v>
      </c>
      <c r="I1852" s="1" t="s">
        <v>14</v>
      </c>
      <c r="J1852">
        <v>0.6522</v>
      </c>
    </row>
    <row r="1853" spans="1:10" hidden="1" x14ac:dyDescent="0.35">
      <c r="A1853" t="str">
        <f t="shared" si="28"/>
        <v>Poté20201.3</v>
      </c>
      <c r="B1853">
        <v>3152402</v>
      </c>
      <c r="C1853" t="s">
        <v>57</v>
      </c>
      <c r="D1853">
        <v>2020</v>
      </c>
      <c r="E1853">
        <v>6</v>
      </c>
      <c r="F1853">
        <v>68</v>
      </c>
      <c r="G1853" t="s">
        <v>15</v>
      </c>
      <c r="H1853" t="s">
        <v>11</v>
      </c>
      <c r="I1853" s="1" t="s">
        <v>16</v>
      </c>
      <c r="J1853">
        <v>0.30759999999999998</v>
      </c>
    </row>
    <row r="1854" spans="1:10" hidden="1" x14ac:dyDescent="0.35">
      <c r="A1854" t="str">
        <f t="shared" si="28"/>
        <v>Poté20202.1</v>
      </c>
      <c r="B1854">
        <v>3152402</v>
      </c>
      <c r="C1854" t="s">
        <v>57</v>
      </c>
      <c r="D1854">
        <v>2020</v>
      </c>
      <c r="E1854">
        <v>6</v>
      </c>
      <c r="F1854">
        <v>28</v>
      </c>
      <c r="G1854" t="s">
        <v>17</v>
      </c>
      <c r="H1854" t="s">
        <v>18</v>
      </c>
      <c r="I1854" s="1" t="s">
        <v>19</v>
      </c>
      <c r="J1854">
        <v>0.25030000000000002</v>
      </c>
    </row>
    <row r="1855" spans="1:10" hidden="1" x14ac:dyDescent="0.35">
      <c r="A1855" t="str">
        <f t="shared" si="28"/>
        <v>Poté20202.2</v>
      </c>
      <c r="B1855">
        <v>3152402</v>
      </c>
      <c r="C1855" t="s">
        <v>57</v>
      </c>
      <c r="D1855">
        <v>2020</v>
      </c>
      <c r="E1855">
        <v>6</v>
      </c>
      <c r="F1855">
        <v>29</v>
      </c>
      <c r="G1855" t="s">
        <v>20</v>
      </c>
      <c r="H1855" t="s">
        <v>18</v>
      </c>
      <c r="I1855" s="1" t="s">
        <v>21</v>
      </c>
      <c r="J1855">
        <v>0.70950000000000002</v>
      </c>
    </row>
    <row r="1856" spans="1:10" hidden="1" x14ac:dyDescent="0.35">
      <c r="A1856" t="str">
        <f t="shared" si="28"/>
        <v>Poté20202.4</v>
      </c>
      <c r="B1856">
        <v>3152402</v>
      </c>
      <c r="C1856" t="s">
        <v>57</v>
      </c>
      <c r="D1856">
        <v>2020</v>
      </c>
      <c r="E1856">
        <v>6</v>
      </c>
      <c r="F1856">
        <v>31</v>
      </c>
      <c r="G1856" t="s">
        <v>22</v>
      </c>
      <c r="H1856" t="s">
        <v>18</v>
      </c>
      <c r="I1856" s="1" t="s">
        <v>23</v>
      </c>
    </row>
    <row r="1857" spans="1:10" hidden="1" x14ac:dyDescent="0.35">
      <c r="A1857" t="str">
        <f t="shared" si="28"/>
        <v>Poté20202.5</v>
      </c>
      <c r="B1857">
        <v>3152402</v>
      </c>
      <c r="C1857" t="s">
        <v>57</v>
      </c>
      <c r="D1857">
        <v>2020</v>
      </c>
      <c r="E1857">
        <v>6</v>
      </c>
      <c r="F1857">
        <v>32</v>
      </c>
      <c r="G1857" t="s">
        <v>24</v>
      </c>
      <c r="H1857" t="s">
        <v>18</v>
      </c>
      <c r="I1857" s="1" t="s">
        <v>25</v>
      </c>
    </row>
    <row r="1858" spans="1:10" hidden="1" x14ac:dyDescent="0.35">
      <c r="A1858" t="str">
        <f t="shared" si="28"/>
        <v>Poté20202.8</v>
      </c>
      <c r="B1858">
        <v>3152402</v>
      </c>
      <c r="C1858" t="s">
        <v>57</v>
      </c>
      <c r="D1858">
        <v>2020</v>
      </c>
      <c r="E1858">
        <v>6</v>
      </c>
      <c r="F1858">
        <v>35</v>
      </c>
      <c r="G1858" t="s">
        <v>26</v>
      </c>
      <c r="H1858" t="s">
        <v>18</v>
      </c>
      <c r="I1858" s="1" t="s">
        <v>27</v>
      </c>
    </row>
    <row r="1859" spans="1:10" hidden="1" x14ac:dyDescent="0.35">
      <c r="A1859" t="str">
        <f t="shared" si="28"/>
        <v>Poté20204.1</v>
      </c>
      <c r="B1859">
        <v>3152402</v>
      </c>
      <c r="C1859" t="s">
        <v>57</v>
      </c>
      <c r="D1859">
        <v>2020</v>
      </c>
      <c r="E1859">
        <v>6</v>
      </c>
      <c r="F1859">
        <v>44</v>
      </c>
      <c r="G1859" t="s">
        <v>28</v>
      </c>
      <c r="H1859" t="s">
        <v>29</v>
      </c>
      <c r="I1859" s="1" t="s">
        <v>30</v>
      </c>
      <c r="J1859">
        <v>4623</v>
      </c>
    </row>
    <row r="1860" spans="1:10" hidden="1" x14ac:dyDescent="0.35">
      <c r="A1860" t="str">
        <f t="shared" ref="A1860:A1923" si="29">C1860&amp;D1860&amp;G1860</f>
        <v>Poté20204.10</v>
      </c>
      <c r="B1860">
        <v>3152402</v>
      </c>
      <c r="C1860" t="s">
        <v>57</v>
      </c>
      <c r="D1860">
        <v>2020</v>
      </c>
      <c r="E1860">
        <v>6</v>
      </c>
      <c r="F1860">
        <v>58</v>
      </c>
      <c r="G1860" t="s">
        <v>31</v>
      </c>
      <c r="H1860" t="s">
        <v>29</v>
      </c>
      <c r="I1860" s="1" t="s">
        <v>32</v>
      </c>
    </row>
    <row r="1861" spans="1:10" hidden="1" x14ac:dyDescent="0.35">
      <c r="A1861" t="str">
        <f t="shared" si="29"/>
        <v>Poté20204.11</v>
      </c>
      <c r="B1861">
        <v>3152402</v>
      </c>
      <c r="C1861" t="s">
        <v>57</v>
      </c>
      <c r="D1861">
        <v>2020</v>
      </c>
      <c r="E1861">
        <v>6</v>
      </c>
      <c r="F1861">
        <v>59</v>
      </c>
      <c r="G1861" t="s">
        <v>33</v>
      </c>
      <c r="H1861" t="s">
        <v>29</v>
      </c>
      <c r="I1861" s="1" t="s">
        <v>34</v>
      </c>
      <c r="J1861">
        <v>3973.31</v>
      </c>
    </row>
    <row r="1862" spans="1:10" hidden="1" x14ac:dyDescent="0.35">
      <c r="A1862" t="str">
        <f t="shared" si="29"/>
        <v>Poté20204.2</v>
      </c>
      <c r="B1862">
        <v>3152402</v>
      </c>
      <c r="C1862" t="s">
        <v>57</v>
      </c>
      <c r="D1862">
        <v>2020</v>
      </c>
      <c r="E1862">
        <v>6</v>
      </c>
      <c r="F1862">
        <v>45</v>
      </c>
      <c r="G1862" t="s">
        <v>35</v>
      </c>
      <c r="H1862" t="s">
        <v>29</v>
      </c>
      <c r="I1862" s="1" t="s">
        <v>36</v>
      </c>
      <c r="J1862">
        <v>5857.87</v>
      </c>
    </row>
    <row r="1863" spans="1:10" hidden="1" x14ac:dyDescent="0.35">
      <c r="A1863" t="str">
        <f t="shared" si="29"/>
        <v>Poté20204.8</v>
      </c>
      <c r="B1863">
        <v>3152402</v>
      </c>
      <c r="C1863" t="s">
        <v>57</v>
      </c>
      <c r="D1863">
        <v>2020</v>
      </c>
      <c r="E1863">
        <v>6</v>
      </c>
      <c r="F1863">
        <v>56</v>
      </c>
      <c r="G1863" t="s">
        <v>37</v>
      </c>
      <c r="H1863" t="s">
        <v>29</v>
      </c>
      <c r="I1863" s="1" t="s">
        <v>38</v>
      </c>
      <c r="J1863">
        <v>5560.61</v>
      </c>
    </row>
    <row r="1864" spans="1:10" hidden="1" x14ac:dyDescent="0.35">
      <c r="A1864" t="str">
        <f t="shared" si="29"/>
        <v>Poté20204.9</v>
      </c>
      <c r="B1864">
        <v>3152402</v>
      </c>
      <c r="C1864" t="s">
        <v>57</v>
      </c>
      <c r="D1864">
        <v>2020</v>
      </c>
      <c r="E1864">
        <v>6</v>
      </c>
      <c r="F1864">
        <v>57</v>
      </c>
      <c r="G1864" t="s">
        <v>39</v>
      </c>
      <c r="H1864" t="s">
        <v>29</v>
      </c>
      <c r="I1864" s="1" t="s">
        <v>40</v>
      </c>
      <c r="J1864">
        <v>5560.61</v>
      </c>
    </row>
    <row r="1865" spans="1:10" hidden="1" x14ac:dyDescent="0.35">
      <c r="A1865" t="str">
        <f t="shared" si="29"/>
        <v>Santa Helena de Minas20201.1</v>
      </c>
      <c r="B1865">
        <v>3157658</v>
      </c>
      <c r="C1865" t="s">
        <v>58</v>
      </c>
      <c r="D1865">
        <v>2020</v>
      </c>
      <c r="E1865">
        <v>6</v>
      </c>
      <c r="F1865">
        <v>24</v>
      </c>
      <c r="G1865" t="s">
        <v>10</v>
      </c>
      <c r="H1865" t="s">
        <v>11</v>
      </c>
      <c r="I1865" s="1" t="s">
        <v>12</v>
      </c>
      <c r="J1865">
        <v>0.28710000000000002</v>
      </c>
    </row>
    <row r="1866" spans="1:10" hidden="1" x14ac:dyDescent="0.35">
      <c r="A1866" t="str">
        <f t="shared" si="29"/>
        <v>Santa Helena de Minas20201.2</v>
      </c>
      <c r="B1866">
        <v>3157658</v>
      </c>
      <c r="C1866" t="s">
        <v>58</v>
      </c>
      <c r="D1866">
        <v>2020</v>
      </c>
      <c r="E1866">
        <v>6</v>
      </c>
      <c r="F1866">
        <v>67</v>
      </c>
      <c r="G1866" t="s">
        <v>13</v>
      </c>
      <c r="H1866" t="s">
        <v>11</v>
      </c>
      <c r="I1866" s="1" t="s">
        <v>14</v>
      </c>
      <c r="J1866">
        <v>0.95079999999999998</v>
      </c>
    </row>
    <row r="1867" spans="1:10" hidden="1" x14ac:dyDescent="0.35">
      <c r="A1867" t="str">
        <f t="shared" si="29"/>
        <v>Santa Helena de Minas20201.3</v>
      </c>
      <c r="B1867">
        <v>3157658</v>
      </c>
      <c r="C1867" t="s">
        <v>58</v>
      </c>
      <c r="D1867">
        <v>2020</v>
      </c>
      <c r="E1867">
        <v>6</v>
      </c>
      <c r="F1867">
        <v>68</v>
      </c>
      <c r="G1867" t="s">
        <v>15</v>
      </c>
      <c r="H1867" t="s">
        <v>11</v>
      </c>
      <c r="I1867" s="1" t="s">
        <v>16</v>
      </c>
      <c r="J1867">
        <v>4.7399999999999998E-2</v>
      </c>
    </row>
    <row r="1868" spans="1:10" hidden="1" x14ac:dyDescent="0.35">
      <c r="A1868" t="str">
        <f t="shared" si="29"/>
        <v>Santa Helena de Minas20202.1</v>
      </c>
      <c r="B1868">
        <v>3157658</v>
      </c>
      <c r="C1868" t="s">
        <v>58</v>
      </c>
      <c r="D1868">
        <v>2020</v>
      </c>
      <c r="E1868">
        <v>6</v>
      </c>
      <c r="F1868">
        <v>28</v>
      </c>
      <c r="G1868" t="s">
        <v>17</v>
      </c>
      <c r="H1868" t="s">
        <v>18</v>
      </c>
      <c r="I1868" s="1" t="s">
        <v>19</v>
      </c>
    </row>
    <row r="1869" spans="1:10" hidden="1" x14ac:dyDescent="0.35">
      <c r="A1869" t="str">
        <f t="shared" si="29"/>
        <v>Santa Helena de Minas20202.2</v>
      </c>
      <c r="B1869">
        <v>3157658</v>
      </c>
      <c r="C1869" t="s">
        <v>58</v>
      </c>
      <c r="D1869">
        <v>2020</v>
      </c>
      <c r="E1869">
        <v>6</v>
      </c>
      <c r="F1869">
        <v>29</v>
      </c>
      <c r="G1869" t="s">
        <v>20</v>
      </c>
      <c r="H1869" t="s">
        <v>18</v>
      </c>
      <c r="I1869" s="1" t="s">
        <v>21</v>
      </c>
      <c r="J1869">
        <v>0.99819999999999998</v>
      </c>
    </row>
    <row r="1870" spans="1:10" hidden="1" x14ac:dyDescent="0.35">
      <c r="A1870" t="str">
        <f t="shared" si="29"/>
        <v>Santa Helena de Minas20202.4</v>
      </c>
      <c r="B1870">
        <v>3157658</v>
      </c>
      <c r="C1870" t="s">
        <v>58</v>
      </c>
      <c r="D1870">
        <v>2020</v>
      </c>
      <c r="E1870">
        <v>6</v>
      </c>
      <c r="F1870">
        <v>31</v>
      </c>
      <c r="G1870" t="s">
        <v>22</v>
      </c>
      <c r="H1870" t="s">
        <v>18</v>
      </c>
      <c r="I1870" s="1" t="s">
        <v>23</v>
      </c>
    </row>
    <row r="1871" spans="1:10" hidden="1" x14ac:dyDescent="0.35">
      <c r="A1871" t="str">
        <f t="shared" si="29"/>
        <v>Santa Helena de Minas20202.5</v>
      </c>
      <c r="B1871">
        <v>3157658</v>
      </c>
      <c r="C1871" t="s">
        <v>58</v>
      </c>
      <c r="D1871">
        <v>2020</v>
      </c>
      <c r="E1871">
        <v>6</v>
      </c>
      <c r="F1871">
        <v>32</v>
      </c>
      <c r="G1871" t="s">
        <v>24</v>
      </c>
      <c r="H1871" t="s">
        <v>18</v>
      </c>
      <c r="I1871" s="1" t="s">
        <v>25</v>
      </c>
    </row>
    <row r="1872" spans="1:10" hidden="1" x14ac:dyDescent="0.35">
      <c r="A1872" t="str">
        <f t="shared" si="29"/>
        <v>Santa Helena de Minas20202.8</v>
      </c>
      <c r="B1872">
        <v>3157658</v>
      </c>
      <c r="C1872" t="s">
        <v>58</v>
      </c>
      <c r="D1872">
        <v>2020</v>
      </c>
      <c r="E1872">
        <v>6</v>
      </c>
      <c r="F1872">
        <v>35</v>
      </c>
      <c r="G1872" t="s">
        <v>26</v>
      </c>
      <c r="H1872" t="s">
        <v>18</v>
      </c>
      <c r="I1872" s="1" t="s">
        <v>27</v>
      </c>
    </row>
    <row r="1873" spans="1:10" hidden="1" x14ac:dyDescent="0.35">
      <c r="A1873" t="str">
        <f t="shared" si="29"/>
        <v>Santa Helena de Minas20204.1</v>
      </c>
      <c r="B1873">
        <v>3157658</v>
      </c>
      <c r="C1873" t="s">
        <v>58</v>
      </c>
      <c r="D1873">
        <v>2020</v>
      </c>
      <c r="E1873">
        <v>6</v>
      </c>
      <c r="F1873">
        <v>44</v>
      </c>
      <c r="G1873" t="s">
        <v>28</v>
      </c>
      <c r="H1873" t="s">
        <v>29</v>
      </c>
      <c r="I1873" s="1" t="s">
        <v>30</v>
      </c>
      <c r="J1873">
        <v>2272.73</v>
      </c>
    </row>
    <row r="1874" spans="1:10" hidden="1" x14ac:dyDescent="0.35">
      <c r="A1874" t="str">
        <f t="shared" si="29"/>
        <v>Santa Helena de Minas20204.10</v>
      </c>
      <c r="B1874">
        <v>3157658</v>
      </c>
      <c r="C1874" t="s">
        <v>58</v>
      </c>
      <c r="D1874">
        <v>2020</v>
      </c>
      <c r="E1874">
        <v>6</v>
      </c>
      <c r="F1874">
        <v>58</v>
      </c>
      <c r="G1874" t="s">
        <v>31</v>
      </c>
      <c r="H1874" t="s">
        <v>29</v>
      </c>
      <c r="I1874" s="1" t="s">
        <v>32</v>
      </c>
    </row>
    <row r="1875" spans="1:10" hidden="1" x14ac:dyDescent="0.35">
      <c r="A1875" t="str">
        <f t="shared" si="29"/>
        <v>Santa Helena de Minas20204.11</v>
      </c>
      <c r="B1875">
        <v>3157658</v>
      </c>
      <c r="C1875" t="s">
        <v>58</v>
      </c>
      <c r="D1875">
        <v>2020</v>
      </c>
      <c r="E1875">
        <v>6</v>
      </c>
      <c r="F1875">
        <v>59</v>
      </c>
      <c r="G1875" t="s">
        <v>33</v>
      </c>
      <c r="H1875" t="s">
        <v>29</v>
      </c>
      <c r="I1875" s="1" t="s">
        <v>34</v>
      </c>
      <c r="J1875">
        <v>7504.15</v>
      </c>
    </row>
    <row r="1876" spans="1:10" hidden="1" x14ac:dyDescent="0.35">
      <c r="A1876" t="str">
        <f t="shared" si="29"/>
        <v>Santa Helena de Minas20204.2</v>
      </c>
      <c r="B1876">
        <v>3157658</v>
      </c>
      <c r="C1876" t="s">
        <v>58</v>
      </c>
      <c r="D1876">
        <v>2020</v>
      </c>
      <c r="E1876">
        <v>6</v>
      </c>
      <c r="F1876">
        <v>45</v>
      </c>
      <c r="G1876" t="s">
        <v>35</v>
      </c>
      <c r="H1876" t="s">
        <v>29</v>
      </c>
      <c r="I1876" s="1" t="s">
        <v>36</v>
      </c>
      <c r="J1876">
        <v>10369.65</v>
      </c>
    </row>
    <row r="1877" spans="1:10" hidden="1" x14ac:dyDescent="0.35">
      <c r="A1877" t="str">
        <f t="shared" si="29"/>
        <v>Santa Helena de Minas20204.8</v>
      </c>
      <c r="B1877">
        <v>3157658</v>
      </c>
      <c r="C1877" t="s">
        <v>58</v>
      </c>
      <c r="D1877">
        <v>2020</v>
      </c>
      <c r="E1877">
        <v>6</v>
      </c>
      <c r="F1877">
        <v>56</v>
      </c>
      <c r="G1877" t="s">
        <v>37</v>
      </c>
      <c r="H1877" t="s">
        <v>29</v>
      </c>
      <c r="I1877" s="1" t="s">
        <v>38</v>
      </c>
      <c r="J1877">
        <v>7717.56</v>
      </c>
    </row>
    <row r="1878" spans="1:10" hidden="1" x14ac:dyDescent="0.35">
      <c r="A1878" t="str">
        <f t="shared" si="29"/>
        <v>Santa Helena de Minas20204.9</v>
      </c>
      <c r="B1878">
        <v>3157658</v>
      </c>
      <c r="C1878" t="s">
        <v>58</v>
      </c>
      <c r="D1878">
        <v>2020</v>
      </c>
      <c r="E1878">
        <v>6</v>
      </c>
      <c r="F1878">
        <v>57</v>
      </c>
      <c r="G1878" t="s">
        <v>39</v>
      </c>
      <c r="H1878" t="s">
        <v>29</v>
      </c>
      <c r="I1878" s="1" t="s">
        <v>40</v>
      </c>
      <c r="J1878">
        <v>7717.56</v>
      </c>
    </row>
    <row r="1879" spans="1:10" hidden="1" x14ac:dyDescent="0.35">
      <c r="A1879" t="str">
        <f t="shared" si="29"/>
        <v>Serra dos Aimorés20201.1</v>
      </c>
      <c r="B1879">
        <v>3166709</v>
      </c>
      <c r="C1879" t="s">
        <v>59</v>
      </c>
      <c r="D1879">
        <v>2020</v>
      </c>
      <c r="E1879">
        <v>6</v>
      </c>
      <c r="F1879">
        <v>24</v>
      </c>
      <c r="G1879" t="s">
        <v>10</v>
      </c>
      <c r="H1879" t="s">
        <v>11</v>
      </c>
      <c r="I1879" s="1" t="s">
        <v>12</v>
      </c>
      <c r="J1879">
        <v>0.28260000000000002</v>
      </c>
    </row>
    <row r="1880" spans="1:10" hidden="1" x14ac:dyDescent="0.35">
      <c r="A1880" t="str">
        <f t="shared" si="29"/>
        <v>Serra dos Aimorés20201.2</v>
      </c>
      <c r="B1880">
        <v>3166709</v>
      </c>
      <c r="C1880" t="s">
        <v>59</v>
      </c>
      <c r="D1880">
        <v>2020</v>
      </c>
      <c r="E1880">
        <v>6</v>
      </c>
      <c r="F1880">
        <v>67</v>
      </c>
      <c r="G1880" t="s">
        <v>13</v>
      </c>
      <c r="H1880" t="s">
        <v>11</v>
      </c>
      <c r="I1880" s="1" t="s">
        <v>14</v>
      </c>
      <c r="J1880">
        <v>0.75219999999999998</v>
      </c>
    </row>
    <row r="1881" spans="1:10" hidden="1" x14ac:dyDescent="0.35">
      <c r="A1881" t="str">
        <f t="shared" si="29"/>
        <v>Serra dos Aimorés20201.3</v>
      </c>
      <c r="B1881">
        <v>3166709</v>
      </c>
      <c r="C1881" t="s">
        <v>59</v>
      </c>
      <c r="D1881">
        <v>2020</v>
      </c>
      <c r="E1881">
        <v>6</v>
      </c>
      <c r="F1881">
        <v>68</v>
      </c>
      <c r="G1881" t="s">
        <v>15</v>
      </c>
      <c r="H1881" t="s">
        <v>11</v>
      </c>
      <c r="I1881" s="1" t="s">
        <v>16</v>
      </c>
      <c r="J1881">
        <v>0.24399999999999999</v>
      </c>
    </row>
    <row r="1882" spans="1:10" hidden="1" x14ac:dyDescent="0.35">
      <c r="A1882" t="str">
        <f t="shared" si="29"/>
        <v>Serra dos Aimorés20202.1</v>
      </c>
      <c r="B1882">
        <v>3166709</v>
      </c>
      <c r="C1882" t="s">
        <v>59</v>
      </c>
      <c r="D1882">
        <v>2020</v>
      </c>
      <c r="E1882">
        <v>6</v>
      </c>
      <c r="F1882">
        <v>28</v>
      </c>
      <c r="G1882" t="s">
        <v>17</v>
      </c>
      <c r="H1882" t="s">
        <v>18</v>
      </c>
      <c r="I1882" s="1" t="s">
        <v>19</v>
      </c>
      <c r="J1882">
        <v>0.4007</v>
      </c>
    </row>
    <row r="1883" spans="1:10" hidden="1" x14ac:dyDescent="0.35">
      <c r="A1883" t="str">
        <f t="shared" si="29"/>
        <v>Serra dos Aimorés20202.2</v>
      </c>
      <c r="B1883">
        <v>3166709</v>
      </c>
      <c r="C1883" t="s">
        <v>59</v>
      </c>
      <c r="D1883">
        <v>2020</v>
      </c>
      <c r="E1883">
        <v>6</v>
      </c>
      <c r="F1883">
        <v>29</v>
      </c>
      <c r="G1883" t="s">
        <v>20</v>
      </c>
      <c r="H1883" t="s">
        <v>18</v>
      </c>
      <c r="I1883" s="1" t="s">
        <v>21</v>
      </c>
      <c r="J1883">
        <v>0.59550000000000003</v>
      </c>
    </row>
    <row r="1884" spans="1:10" hidden="1" x14ac:dyDescent="0.35">
      <c r="A1884" t="str">
        <f t="shared" si="29"/>
        <v>Serra dos Aimorés20202.4</v>
      </c>
      <c r="B1884">
        <v>3166709</v>
      </c>
      <c r="C1884" t="s">
        <v>59</v>
      </c>
      <c r="D1884">
        <v>2020</v>
      </c>
      <c r="E1884">
        <v>6</v>
      </c>
      <c r="F1884">
        <v>31</v>
      </c>
      <c r="G1884" t="s">
        <v>22</v>
      </c>
      <c r="H1884" t="s">
        <v>18</v>
      </c>
      <c r="I1884" s="1" t="s">
        <v>23</v>
      </c>
    </row>
    <row r="1885" spans="1:10" hidden="1" x14ac:dyDescent="0.35">
      <c r="A1885" t="str">
        <f t="shared" si="29"/>
        <v>Serra dos Aimorés20202.5</v>
      </c>
      <c r="B1885">
        <v>3166709</v>
      </c>
      <c r="C1885" t="s">
        <v>59</v>
      </c>
      <c r="D1885">
        <v>2020</v>
      </c>
      <c r="E1885">
        <v>6</v>
      </c>
      <c r="F1885">
        <v>32</v>
      </c>
      <c r="G1885" t="s">
        <v>24</v>
      </c>
      <c r="H1885" t="s">
        <v>18</v>
      </c>
      <c r="I1885" s="1" t="s">
        <v>25</v>
      </c>
    </row>
    <row r="1886" spans="1:10" hidden="1" x14ac:dyDescent="0.35">
      <c r="A1886" t="str">
        <f t="shared" si="29"/>
        <v>Serra dos Aimorés20202.8</v>
      </c>
      <c r="B1886">
        <v>3166709</v>
      </c>
      <c r="C1886" t="s">
        <v>59</v>
      </c>
      <c r="D1886">
        <v>2020</v>
      </c>
      <c r="E1886">
        <v>6</v>
      </c>
      <c r="F1886">
        <v>35</v>
      </c>
      <c r="G1886" t="s">
        <v>26</v>
      </c>
      <c r="H1886" t="s">
        <v>18</v>
      </c>
      <c r="I1886" s="1" t="s">
        <v>27</v>
      </c>
    </row>
    <row r="1887" spans="1:10" hidden="1" x14ac:dyDescent="0.35">
      <c r="A1887" t="str">
        <f t="shared" si="29"/>
        <v>Serra dos Aimorés20204.1</v>
      </c>
      <c r="B1887">
        <v>3166709</v>
      </c>
      <c r="C1887" t="s">
        <v>59</v>
      </c>
      <c r="D1887">
        <v>2020</v>
      </c>
      <c r="E1887">
        <v>6</v>
      </c>
      <c r="F1887">
        <v>44</v>
      </c>
      <c r="G1887" t="s">
        <v>28</v>
      </c>
      <c r="H1887" t="s">
        <v>29</v>
      </c>
      <c r="I1887" s="1" t="s">
        <v>30</v>
      </c>
      <c r="J1887">
        <v>4859.67</v>
      </c>
    </row>
    <row r="1888" spans="1:10" hidden="1" x14ac:dyDescent="0.35">
      <c r="A1888" t="str">
        <f t="shared" si="29"/>
        <v>Serra dos Aimorés20204.10</v>
      </c>
      <c r="B1888">
        <v>3166709</v>
      </c>
      <c r="C1888" t="s">
        <v>59</v>
      </c>
      <c r="D1888">
        <v>2020</v>
      </c>
      <c r="E1888">
        <v>6</v>
      </c>
      <c r="F1888">
        <v>58</v>
      </c>
      <c r="G1888" t="s">
        <v>31</v>
      </c>
      <c r="H1888" t="s">
        <v>29</v>
      </c>
      <c r="I1888" s="1" t="s">
        <v>32</v>
      </c>
    </row>
    <row r="1889" spans="1:10" hidden="1" x14ac:dyDescent="0.35">
      <c r="A1889" t="str">
        <f t="shared" si="29"/>
        <v>Serra dos Aimorés20204.11</v>
      </c>
      <c r="B1889">
        <v>3166709</v>
      </c>
      <c r="C1889" t="s">
        <v>59</v>
      </c>
      <c r="D1889">
        <v>2020</v>
      </c>
      <c r="E1889">
        <v>6</v>
      </c>
      <c r="F1889">
        <v>59</v>
      </c>
      <c r="G1889" t="s">
        <v>33</v>
      </c>
      <c r="H1889" t="s">
        <v>29</v>
      </c>
      <c r="I1889" s="1" t="s">
        <v>34</v>
      </c>
      <c r="J1889">
        <v>5077.59</v>
      </c>
    </row>
    <row r="1890" spans="1:10" hidden="1" x14ac:dyDescent="0.35">
      <c r="A1890" t="str">
        <f t="shared" si="29"/>
        <v>Serra dos Aimorés20204.2</v>
      </c>
      <c r="B1890">
        <v>3166709</v>
      </c>
      <c r="C1890" t="s">
        <v>59</v>
      </c>
      <c r="D1890">
        <v>2020</v>
      </c>
      <c r="E1890">
        <v>6</v>
      </c>
      <c r="F1890">
        <v>45</v>
      </c>
      <c r="G1890" t="s">
        <v>35</v>
      </c>
      <c r="H1890" t="s">
        <v>29</v>
      </c>
      <c r="I1890" s="1" t="s">
        <v>36</v>
      </c>
      <c r="J1890">
        <v>9095.16</v>
      </c>
    </row>
    <row r="1891" spans="1:10" hidden="1" x14ac:dyDescent="0.35">
      <c r="A1891" t="str">
        <f t="shared" si="29"/>
        <v>Serra dos Aimorés20204.8</v>
      </c>
      <c r="B1891">
        <v>3166709</v>
      </c>
      <c r="C1891" t="s">
        <v>59</v>
      </c>
      <c r="D1891">
        <v>2020</v>
      </c>
      <c r="E1891">
        <v>6</v>
      </c>
      <c r="F1891">
        <v>56</v>
      </c>
      <c r="G1891" t="s">
        <v>37</v>
      </c>
      <c r="H1891" t="s">
        <v>29</v>
      </c>
      <c r="I1891" s="1" t="s">
        <v>38</v>
      </c>
      <c r="J1891">
        <v>7035.71</v>
      </c>
    </row>
    <row r="1892" spans="1:10" hidden="1" x14ac:dyDescent="0.35">
      <c r="A1892" t="str">
        <f t="shared" si="29"/>
        <v>Serra dos Aimorés20204.9</v>
      </c>
      <c r="B1892">
        <v>3166709</v>
      </c>
      <c r="C1892" t="s">
        <v>59</v>
      </c>
      <c r="D1892">
        <v>2020</v>
      </c>
      <c r="E1892">
        <v>6</v>
      </c>
      <c r="F1892">
        <v>57</v>
      </c>
      <c r="G1892" t="s">
        <v>39</v>
      </c>
      <c r="H1892" t="s">
        <v>29</v>
      </c>
      <c r="I1892" s="1" t="s">
        <v>40</v>
      </c>
      <c r="J1892">
        <v>7035.71</v>
      </c>
    </row>
    <row r="1893" spans="1:10" hidden="1" x14ac:dyDescent="0.35">
      <c r="A1893" t="str">
        <f t="shared" si="29"/>
        <v>Setubinha20201.1</v>
      </c>
      <c r="B1893">
        <v>3165552</v>
      </c>
      <c r="C1893" t="s">
        <v>60</v>
      </c>
      <c r="D1893">
        <v>2020</v>
      </c>
      <c r="E1893">
        <v>6</v>
      </c>
      <c r="F1893">
        <v>24</v>
      </c>
      <c r="G1893" t="s">
        <v>10</v>
      </c>
      <c r="H1893" t="s">
        <v>11</v>
      </c>
      <c r="I1893" s="1" t="s">
        <v>12</v>
      </c>
      <c r="J1893">
        <v>0.27289999999999998</v>
      </c>
    </row>
    <row r="1894" spans="1:10" hidden="1" x14ac:dyDescent="0.35">
      <c r="A1894" t="str">
        <f t="shared" si="29"/>
        <v>Setubinha20201.2</v>
      </c>
      <c r="B1894">
        <v>3165552</v>
      </c>
      <c r="C1894" t="s">
        <v>60</v>
      </c>
      <c r="D1894">
        <v>2020</v>
      </c>
      <c r="E1894">
        <v>6</v>
      </c>
      <c r="F1894">
        <v>67</v>
      </c>
      <c r="G1894" t="s">
        <v>13</v>
      </c>
      <c r="H1894" t="s">
        <v>11</v>
      </c>
      <c r="I1894" s="1" t="s">
        <v>14</v>
      </c>
      <c r="J1894">
        <v>0.6411</v>
      </c>
    </row>
    <row r="1895" spans="1:10" hidden="1" x14ac:dyDescent="0.35">
      <c r="A1895" t="str">
        <f t="shared" si="29"/>
        <v>Setubinha20201.3</v>
      </c>
      <c r="B1895">
        <v>3165552</v>
      </c>
      <c r="C1895" t="s">
        <v>60</v>
      </c>
      <c r="D1895">
        <v>2020</v>
      </c>
      <c r="E1895">
        <v>6</v>
      </c>
      <c r="F1895">
        <v>68</v>
      </c>
      <c r="G1895" t="s">
        <v>15</v>
      </c>
      <c r="H1895" t="s">
        <v>11</v>
      </c>
      <c r="I1895" s="1" t="s">
        <v>16</v>
      </c>
      <c r="J1895">
        <v>0.35870000000000002</v>
      </c>
    </row>
    <row r="1896" spans="1:10" hidden="1" x14ac:dyDescent="0.35">
      <c r="A1896" t="str">
        <f t="shared" si="29"/>
        <v>Setubinha20202.1</v>
      </c>
      <c r="B1896">
        <v>3165552</v>
      </c>
      <c r="C1896" t="s">
        <v>60</v>
      </c>
      <c r="D1896">
        <v>2020</v>
      </c>
      <c r="E1896">
        <v>6</v>
      </c>
      <c r="F1896">
        <v>28</v>
      </c>
      <c r="G1896" t="s">
        <v>17</v>
      </c>
      <c r="H1896" t="s">
        <v>18</v>
      </c>
      <c r="I1896" s="1" t="s">
        <v>19</v>
      </c>
      <c r="J1896">
        <v>0.2429</v>
      </c>
    </row>
    <row r="1897" spans="1:10" hidden="1" x14ac:dyDescent="0.35">
      <c r="A1897" t="str">
        <f t="shared" si="29"/>
        <v>Setubinha20202.2</v>
      </c>
      <c r="B1897">
        <v>3165552</v>
      </c>
      <c r="C1897" t="s">
        <v>60</v>
      </c>
      <c r="D1897">
        <v>2020</v>
      </c>
      <c r="E1897">
        <v>6</v>
      </c>
      <c r="F1897">
        <v>29</v>
      </c>
      <c r="G1897" t="s">
        <v>20</v>
      </c>
      <c r="H1897" t="s">
        <v>18</v>
      </c>
      <c r="I1897" s="1" t="s">
        <v>21</v>
      </c>
      <c r="J1897">
        <v>0.75690000000000002</v>
      </c>
    </row>
    <row r="1898" spans="1:10" hidden="1" x14ac:dyDescent="0.35">
      <c r="A1898" t="str">
        <f t="shared" si="29"/>
        <v>Setubinha20202.4</v>
      </c>
      <c r="B1898">
        <v>3165552</v>
      </c>
      <c r="C1898" t="s">
        <v>60</v>
      </c>
      <c r="D1898">
        <v>2020</v>
      </c>
      <c r="E1898">
        <v>6</v>
      </c>
      <c r="F1898">
        <v>31</v>
      </c>
      <c r="G1898" t="s">
        <v>22</v>
      </c>
      <c r="H1898" t="s">
        <v>18</v>
      </c>
      <c r="I1898" s="1" t="s">
        <v>23</v>
      </c>
    </row>
    <row r="1899" spans="1:10" hidden="1" x14ac:dyDescent="0.35">
      <c r="A1899" t="str">
        <f t="shared" si="29"/>
        <v>Setubinha20202.5</v>
      </c>
      <c r="B1899">
        <v>3165552</v>
      </c>
      <c r="C1899" t="s">
        <v>60</v>
      </c>
      <c r="D1899">
        <v>2020</v>
      </c>
      <c r="E1899">
        <v>6</v>
      </c>
      <c r="F1899">
        <v>32</v>
      </c>
      <c r="G1899" t="s">
        <v>24</v>
      </c>
      <c r="H1899" t="s">
        <v>18</v>
      </c>
      <c r="I1899" s="1" t="s">
        <v>25</v>
      </c>
    </row>
    <row r="1900" spans="1:10" hidden="1" x14ac:dyDescent="0.35">
      <c r="A1900" t="str">
        <f t="shared" si="29"/>
        <v>Setubinha20202.8</v>
      </c>
      <c r="B1900">
        <v>3165552</v>
      </c>
      <c r="C1900" t="s">
        <v>60</v>
      </c>
      <c r="D1900">
        <v>2020</v>
      </c>
      <c r="E1900">
        <v>6</v>
      </c>
      <c r="F1900">
        <v>35</v>
      </c>
      <c r="G1900" t="s">
        <v>26</v>
      </c>
      <c r="H1900" t="s">
        <v>18</v>
      </c>
      <c r="I1900" s="1" t="s">
        <v>27</v>
      </c>
    </row>
    <row r="1901" spans="1:10" hidden="1" x14ac:dyDescent="0.35">
      <c r="A1901" t="str">
        <f t="shared" si="29"/>
        <v>Setubinha20204.1</v>
      </c>
      <c r="B1901">
        <v>3165552</v>
      </c>
      <c r="C1901" t="s">
        <v>60</v>
      </c>
      <c r="D1901">
        <v>2020</v>
      </c>
      <c r="E1901">
        <v>6</v>
      </c>
      <c r="F1901">
        <v>44</v>
      </c>
      <c r="G1901" t="s">
        <v>28</v>
      </c>
      <c r="H1901" t="s">
        <v>29</v>
      </c>
      <c r="I1901" s="1" t="s">
        <v>30</v>
      </c>
      <c r="J1901">
        <v>2657.12</v>
      </c>
    </row>
    <row r="1902" spans="1:10" hidden="1" x14ac:dyDescent="0.35">
      <c r="A1902" t="str">
        <f t="shared" si="29"/>
        <v>Setubinha20204.10</v>
      </c>
      <c r="B1902">
        <v>3165552</v>
      </c>
      <c r="C1902" t="s">
        <v>60</v>
      </c>
      <c r="D1902">
        <v>2020</v>
      </c>
      <c r="E1902">
        <v>6</v>
      </c>
      <c r="F1902">
        <v>58</v>
      </c>
      <c r="G1902" t="s">
        <v>31</v>
      </c>
      <c r="H1902" t="s">
        <v>29</v>
      </c>
      <c r="I1902" s="1" t="s">
        <v>32</v>
      </c>
    </row>
    <row r="1903" spans="1:10" hidden="1" x14ac:dyDescent="0.35">
      <c r="A1903" t="str">
        <f t="shared" si="29"/>
        <v>Setubinha20204.11</v>
      </c>
      <c r="B1903">
        <v>3165552</v>
      </c>
      <c r="C1903" t="s">
        <v>60</v>
      </c>
      <c r="D1903">
        <v>2020</v>
      </c>
      <c r="E1903">
        <v>6</v>
      </c>
      <c r="F1903">
        <v>59</v>
      </c>
      <c r="G1903" t="s">
        <v>33</v>
      </c>
      <c r="H1903" t="s">
        <v>29</v>
      </c>
      <c r="I1903" s="1" t="s">
        <v>34</v>
      </c>
      <c r="J1903">
        <v>4400.68</v>
      </c>
    </row>
    <row r="1904" spans="1:10" hidden="1" x14ac:dyDescent="0.35">
      <c r="A1904" t="str">
        <f t="shared" si="29"/>
        <v>Setubinha20204.2</v>
      </c>
      <c r="B1904">
        <v>3165552</v>
      </c>
      <c r="C1904" t="s">
        <v>60</v>
      </c>
      <c r="D1904">
        <v>2020</v>
      </c>
      <c r="E1904">
        <v>6</v>
      </c>
      <c r="F1904">
        <v>45</v>
      </c>
      <c r="G1904" t="s">
        <v>35</v>
      </c>
      <c r="H1904" t="s">
        <v>29</v>
      </c>
      <c r="I1904" s="1" t="s">
        <v>36</v>
      </c>
      <c r="J1904">
        <v>11670.01</v>
      </c>
    </row>
    <row r="1905" spans="1:10" hidden="1" x14ac:dyDescent="0.35">
      <c r="A1905" t="str">
        <f t="shared" si="29"/>
        <v>Setubinha20204.8</v>
      </c>
      <c r="B1905">
        <v>3165552</v>
      </c>
      <c r="C1905" t="s">
        <v>60</v>
      </c>
      <c r="D1905">
        <v>2020</v>
      </c>
      <c r="E1905">
        <v>6</v>
      </c>
      <c r="F1905">
        <v>56</v>
      </c>
      <c r="G1905" t="s">
        <v>37</v>
      </c>
      <c r="H1905" t="s">
        <v>29</v>
      </c>
      <c r="I1905" s="1" t="s">
        <v>38</v>
      </c>
      <c r="J1905">
        <v>6756.4</v>
      </c>
    </row>
    <row r="1906" spans="1:10" hidden="1" x14ac:dyDescent="0.35">
      <c r="A1906" t="str">
        <f t="shared" si="29"/>
        <v>Setubinha20204.9</v>
      </c>
      <c r="B1906">
        <v>3165552</v>
      </c>
      <c r="C1906" t="s">
        <v>60</v>
      </c>
      <c r="D1906">
        <v>2020</v>
      </c>
      <c r="E1906">
        <v>6</v>
      </c>
      <c r="F1906">
        <v>57</v>
      </c>
      <c r="G1906" t="s">
        <v>39</v>
      </c>
      <c r="H1906" t="s">
        <v>29</v>
      </c>
      <c r="I1906" s="1" t="s">
        <v>40</v>
      </c>
      <c r="J1906">
        <v>6756.4</v>
      </c>
    </row>
    <row r="1907" spans="1:10" hidden="1" x14ac:dyDescent="0.35">
      <c r="A1907" t="str">
        <f t="shared" si="29"/>
        <v>Teófilo Otoni20201.1</v>
      </c>
      <c r="B1907">
        <v>3168606</v>
      </c>
      <c r="C1907" t="s">
        <v>61</v>
      </c>
      <c r="D1907">
        <v>2020</v>
      </c>
      <c r="E1907">
        <v>6</v>
      </c>
      <c r="F1907">
        <v>24</v>
      </c>
      <c r="G1907" t="s">
        <v>10</v>
      </c>
      <c r="H1907" t="s">
        <v>11</v>
      </c>
      <c r="I1907" s="1" t="s">
        <v>12</v>
      </c>
      <c r="J1907">
        <v>0.25280000000000002</v>
      </c>
    </row>
    <row r="1908" spans="1:10" hidden="1" x14ac:dyDescent="0.35">
      <c r="A1908" t="str">
        <f t="shared" si="29"/>
        <v>Teófilo Otoni20201.2</v>
      </c>
      <c r="B1908">
        <v>3168606</v>
      </c>
      <c r="C1908" t="s">
        <v>61</v>
      </c>
      <c r="D1908">
        <v>2020</v>
      </c>
      <c r="E1908">
        <v>6</v>
      </c>
      <c r="F1908">
        <v>67</v>
      </c>
      <c r="G1908" t="s">
        <v>13</v>
      </c>
      <c r="H1908" t="s">
        <v>11</v>
      </c>
      <c r="I1908" s="1" t="s">
        <v>14</v>
      </c>
      <c r="J1908">
        <v>0.69579999999999997</v>
      </c>
    </row>
    <row r="1909" spans="1:10" hidden="1" x14ac:dyDescent="0.35">
      <c r="A1909" t="str">
        <f t="shared" si="29"/>
        <v>Teófilo Otoni20201.3</v>
      </c>
      <c r="B1909">
        <v>3168606</v>
      </c>
      <c r="C1909" t="s">
        <v>61</v>
      </c>
      <c r="D1909">
        <v>2020</v>
      </c>
      <c r="E1909">
        <v>6</v>
      </c>
      <c r="F1909">
        <v>68</v>
      </c>
      <c r="G1909" t="s">
        <v>15</v>
      </c>
      <c r="H1909" t="s">
        <v>11</v>
      </c>
      <c r="I1909" s="1" t="s">
        <v>16</v>
      </c>
      <c r="J1909">
        <v>0.222</v>
      </c>
    </row>
    <row r="1910" spans="1:10" hidden="1" x14ac:dyDescent="0.35">
      <c r="A1910" t="str">
        <f t="shared" si="29"/>
        <v>Teófilo Otoni20202.1</v>
      </c>
      <c r="B1910">
        <v>3168606</v>
      </c>
      <c r="C1910" t="s">
        <v>61</v>
      </c>
      <c r="D1910">
        <v>2020</v>
      </c>
      <c r="E1910">
        <v>6</v>
      </c>
      <c r="F1910">
        <v>28</v>
      </c>
      <c r="G1910" t="s">
        <v>17</v>
      </c>
      <c r="H1910" t="s">
        <v>18</v>
      </c>
      <c r="I1910" s="1" t="s">
        <v>19</v>
      </c>
      <c r="J1910">
        <v>0.25290000000000001</v>
      </c>
    </row>
    <row r="1911" spans="1:10" hidden="1" x14ac:dyDescent="0.35">
      <c r="A1911" t="str">
        <f t="shared" si="29"/>
        <v>Teófilo Otoni20202.2</v>
      </c>
      <c r="B1911">
        <v>3168606</v>
      </c>
      <c r="C1911" t="s">
        <v>61</v>
      </c>
      <c r="D1911">
        <v>2020</v>
      </c>
      <c r="E1911">
        <v>6</v>
      </c>
      <c r="F1911">
        <v>29</v>
      </c>
      <c r="G1911" t="s">
        <v>20</v>
      </c>
      <c r="H1911" t="s">
        <v>18</v>
      </c>
      <c r="I1911" s="1" t="s">
        <v>21</v>
      </c>
      <c r="J1911">
        <v>0.66479999999999995</v>
      </c>
    </row>
    <row r="1912" spans="1:10" hidden="1" x14ac:dyDescent="0.35">
      <c r="A1912" t="str">
        <f t="shared" si="29"/>
        <v>Teófilo Otoni20202.4</v>
      </c>
      <c r="B1912">
        <v>3168606</v>
      </c>
      <c r="C1912" t="s">
        <v>61</v>
      </c>
      <c r="D1912">
        <v>2020</v>
      </c>
      <c r="E1912">
        <v>6</v>
      </c>
      <c r="F1912">
        <v>31</v>
      </c>
      <c r="G1912" t="s">
        <v>22</v>
      </c>
      <c r="H1912" t="s">
        <v>18</v>
      </c>
      <c r="I1912" s="1" t="s">
        <v>23</v>
      </c>
    </row>
    <row r="1913" spans="1:10" hidden="1" x14ac:dyDescent="0.35">
      <c r="A1913" t="str">
        <f t="shared" si="29"/>
        <v>Teófilo Otoni20202.5</v>
      </c>
      <c r="B1913">
        <v>3168606</v>
      </c>
      <c r="C1913" t="s">
        <v>61</v>
      </c>
      <c r="D1913">
        <v>2020</v>
      </c>
      <c r="E1913">
        <v>6</v>
      </c>
      <c r="F1913">
        <v>32</v>
      </c>
      <c r="G1913" t="s">
        <v>24</v>
      </c>
      <c r="H1913" t="s">
        <v>18</v>
      </c>
      <c r="I1913" s="1" t="s">
        <v>25</v>
      </c>
    </row>
    <row r="1914" spans="1:10" hidden="1" x14ac:dyDescent="0.35">
      <c r="A1914" t="str">
        <f t="shared" si="29"/>
        <v>Teófilo Otoni20202.8</v>
      </c>
      <c r="B1914">
        <v>3168606</v>
      </c>
      <c r="C1914" t="s">
        <v>61</v>
      </c>
      <c r="D1914">
        <v>2020</v>
      </c>
      <c r="E1914">
        <v>6</v>
      </c>
      <c r="F1914">
        <v>35</v>
      </c>
      <c r="G1914" t="s">
        <v>26</v>
      </c>
      <c r="H1914" t="s">
        <v>18</v>
      </c>
      <c r="I1914" s="1" t="s">
        <v>27</v>
      </c>
    </row>
    <row r="1915" spans="1:10" hidden="1" x14ac:dyDescent="0.35">
      <c r="A1915" t="str">
        <f t="shared" si="29"/>
        <v>Teófilo Otoni20204.1</v>
      </c>
      <c r="B1915">
        <v>3168606</v>
      </c>
      <c r="C1915" t="s">
        <v>61</v>
      </c>
      <c r="D1915">
        <v>2020</v>
      </c>
      <c r="E1915">
        <v>6</v>
      </c>
      <c r="F1915">
        <v>44</v>
      </c>
      <c r="G1915" t="s">
        <v>28</v>
      </c>
      <c r="H1915" t="s">
        <v>29</v>
      </c>
      <c r="I1915" s="1" t="s">
        <v>30</v>
      </c>
      <c r="J1915">
        <v>4099.5</v>
      </c>
    </row>
    <row r="1916" spans="1:10" hidden="1" x14ac:dyDescent="0.35">
      <c r="A1916" t="str">
        <f t="shared" si="29"/>
        <v>Teófilo Otoni20204.10</v>
      </c>
      <c r="B1916">
        <v>3168606</v>
      </c>
      <c r="C1916" t="s">
        <v>61</v>
      </c>
      <c r="D1916">
        <v>2020</v>
      </c>
      <c r="E1916">
        <v>6</v>
      </c>
      <c r="F1916">
        <v>58</v>
      </c>
      <c r="G1916" t="s">
        <v>31</v>
      </c>
      <c r="H1916" t="s">
        <v>29</v>
      </c>
      <c r="I1916" s="1" t="s">
        <v>32</v>
      </c>
    </row>
    <row r="1917" spans="1:10" hidden="1" x14ac:dyDescent="0.35">
      <c r="A1917" t="str">
        <f t="shared" si="29"/>
        <v>Teófilo Otoni20204.11</v>
      </c>
      <c r="B1917">
        <v>3168606</v>
      </c>
      <c r="C1917" t="s">
        <v>61</v>
      </c>
      <c r="D1917">
        <v>2020</v>
      </c>
      <c r="E1917">
        <v>6</v>
      </c>
      <c r="F1917">
        <v>59</v>
      </c>
      <c r="G1917" t="s">
        <v>33</v>
      </c>
      <c r="H1917" t="s">
        <v>29</v>
      </c>
      <c r="I1917" s="1" t="s">
        <v>34</v>
      </c>
      <c r="J1917">
        <v>3979.95</v>
      </c>
    </row>
    <row r="1918" spans="1:10" hidden="1" x14ac:dyDescent="0.35">
      <c r="A1918" t="str">
        <f t="shared" si="29"/>
        <v>Teófilo Otoni20204.2</v>
      </c>
      <c r="B1918">
        <v>3168606</v>
      </c>
      <c r="C1918" t="s">
        <v>61</v>
      </c>
      <c r="D1918">
        <v>2020</v>
      </c>
      <c r="E1918">
        <v>6</v>
      </c>
      <c r="F1918">
        <v>45</v>
      </c>
      <c r="G1918" t="s">
        <v>35</v>
      </c>
      <c r="H1918" t="s">
        <v>29</v>
      </c>
      <c r="I1918" s="1" t="s">
        <v>36</v>
      </c>
      <c r="J1918">
        <v>7538.11</v>
      </c>
    </row>
    <row r="1919" spans="1:10" hidden="1" x14ac:dyDescent="0.35">
      <c r="A1919" t="str">
        <f t="shared" si="29"/>
        <v>Teófilo Otoni20204.8</v>
      </c>
      <c r="B1919">
        <v>3168606</v>
      </c>
      <c r="C1919" t="s">
        <v>61</v>
      </c>
      <c r="D1919">
        <v>2020</v>
      </c>
      <c r="E1919">
        <v>6</v>
      </c>
      <c r="F1919">
        <v>56</v>
      </c>
      <c r="G1919" t="s">
        <v>37</v>
      </c>
      <c r="H1919" t="s">
        <v>29</v>
      </c>
      <c r="I1919" s="1" t="s">
        <v>38</v>
      </c>
      <c r="J1919">
        <v>6029.52</v>
      </c>
    </row>
    <row r="1920" spans="1:10" hidden="1" x14ac:dyDescent="0.35">
      <c r="A1920" t="str">
        <f t="shared" si="29"/>
        <v>Teófilo Otoni20204.9</v>
      </c>
      <c r="B1920">
        <v>3168606</v>
      </c>
      <c r="C1920" t="s">
        <v>61</v>
      </c>
      <c r="D1920">
        <v>2020</v>
      </c>
      <c r="E1920">
        <v>6</v>
      </c>
      <c r="F1920">
        <v>57</v>
      </c>
      <c r="G1920" t="s">
        <v>39</v>
      </c>
      <c r="H1920" t="s">
        <v>29</v>
      </c>
      <c r="I1920" s="1" t="s">
        <v>40</v>
      </c>
      <c r="J1920">
        <v>6029.52</v>
      </c>
    </row>
    <row r="1921" spans="1:10" hidden="1" x14ac:dyDescent="0.35">
      <c r="A1921" t="str">
        <f t="shared" si="29"/>
        <v>Umburatiba20201.1</v>
      </c>
      <c r="B1921">
        <v>3170305</v>
      </c>
      <c r="C1921" t="s">
        <v>62</v>
      </c>
      <c r="D1921">
        <v>2020</v>
      </c>
      <c r="E1921">
        <v>6</v>
      </c>
      <c r="F1921">
        <v>24</v>
      </c>
      <c r="G1921" t="s">
        <v>10</v>
      </c>
      <c r="H1921" t="s">
        <v>11</v>
      </c>
      <c r="I1921" s="1" t="s">
        <v>12</v>
      </c>
      <c r="J1921">
        <v>0.27710000000000001</v>
      </c>
    </row>
    <row r="1922" spans="1:10" hidden="1" x14ac:dyDescent="0.35">
      <c r="A1922" t="str">
        <f t="shared" si="29"/>
        <v>Umburatiba20201.2</v>
      </c>
      <c r="B1922">
        <v>3170305</v>
      </c>
      <c r="C1922" t="s">
        <v>62</v>
      </c>
      <c r="D1922">
        <v>2020</v>
      </c>
      <c r="E1922">
        <v>6</v>
      </c>
      <c r="F1922">
        <v>67</v>
      </c>
      <c r="G1922" t="s">
        <v>13</v>
      </c>
      <c r="H1922" t="s">
        <v>11</v>
      </c>
      <c r="I1922" s="1" t="s">
        <v>14</v>
      </c>
      <c r="J1922">
        <v>0.94469999999999998</v>
      </c>
    </row>
    <row r="1923" spans="1:10" hidden="1" x14ac:dyDescent="0.35">
      <c r="A1923" t="str">
        <f t="shared" si="29"/>
        <v>Umburatiba20201.3</v>
      </c>
      <c r="B1923">
        <v>3170305</v>
      </c>
      <c r="C1923" t="s">
        <v>62</v>
      </c>
      <c r="D1923">
        <v>2020</v>
      </c>
      <c r="E1923">
        <v>6</v>
      </c>
      <c r="F1923">
        <v>68</v>
      </c>
      <c r="G1923" t="s">
        <v>15</v>
      </c>
      <c r="H1923" t="s">
        <v>11</v>
      </c>
      <c r="I1923" s="1" t="s">
        <v>16</v>
      </c>
      <c r="J1923">
        <v>5.5300000000000002E-2</v>
      </c>
    </row>
    <row r="1924" spans="1:10" hidden="1" x14ac:dyDescent="0.35">
      <c r="A1924" t="str">
        <f t="shared" ref="A1924:A1987" si="30">C1924&amp;D1924&amp;G1924</f>
        <v>Umburatiba20202.1</v>
      </c>
      <c r="B1924">
        <v>3170305</v>
      </c>
      <c r="C1924" t="s">
        <v>62</v>
      </c>
      <c r="D1924">
        <v>2020</v>
      </c>
      <c r="E1924">
        <v>6</v>
      </c>
      <c r="F1924">
        <v>28</v>
      </c>
      <c r="G1924" t="s">
        <v>17</v>
      </c>
      <c r="H1924" t="s">
        <v>18</v>
      </c>
      <c r="I1924" s="1" t="s">
        <v>19</v>
      </c>
    </row>
    <row r="1925" spans="1:10" hidden="1" x14ac:dyDescent="0.35">
      <c r="A1925" t="str">
        <f t="shared" si="30"/>
        <v>Umburatiba20202.2</v>
      </c>
      <c r="B1925">
        <v>3170305</v>
      </c>
      <c r="C1925" t="s">
        <v>62</v>
      </c>
      <c r="D1925">
        <v>2020</v>
      </c>
      <c r="E1925">
        <v>6</v>
      </c>
      <c r="F1925">
        <v>29</v>
      </c>
      <c r="G1925" t="s">
        <v>20</v>
      </c>
      <c r="H1925" t="s">
        <v>18</v>
      </c>
      <c r="I1925" s="1" t="s">
        <v>21</v>
      </c>
      <c r="J1925">
        <v>1.0190999999999999</v>
      </c>
    </row>
    <row r="1926" spans="1:10" hidden="1" x14ac:dyDescent="0.35">
      <c r="A1926" t="str">
        <f t="shared" si="30"/>
        <v>Umburatiba20202.4</v>
      </c>
      <c r="B1926">
        <v>3170305</v>
      </c>
      <c r="C1926" t="s">
        <v>62</v>
      </c>
      <c r="D1926">
        <v>2020</v>
      </c>
      <c r="E1926">
        <v>6</v>
      </c>
      <c r="F1926">
        <v>31</v>
      </c>
      <c r="G1926" t="s">
        <v>22</v>
      </c>
      <c r="H1926" t="s">
        <v>18</v>
      </c>
      <c r="I1926" s="1" t="s">
        <v>23</v>
      </c>
    </row>
    <row r="1927" spans="1:10" hidden="1" x14ac:dyDescent="0.35">
      <c r="A1927" t="str">
        <f t="shared" si="30"/>
        <v>Umburatiba20202.5</v>
      </c>
      <c r="B1927">
        <v>3170305</v>
      </c>
      <c r="C1927" t="s">
        <v>62</v>
      </c>
      <c r="D1927">
        <v>2020</v>
      </c>
      <c r="E1927">
        <v>6</v>
      </c>
      <c r="F1927">
        <v>32</v>
      </c>
      <c r="G1927" t="s">
        <v>24</v>
      </c>
      <c r="H1927" t="s">
        <v>18</v>
      </c>
      <c r="I1927" s="1" t="s">
        <v>25</v>
      </c>
    </row>
    <row r="1928" spans="1:10" hidden="1" x14ac:dyDescent="0.35">
      <c r="A1928" t="str">
        <f t="shared" si="30"/>
        <v>Umburatiba20202.8</v>
      </c>
      <c r="B1928">
        <v>3170305</v>
      </c>
      <c r="C1928" t="s">
        <v>62</v>
      </c>
      <c r="D1928">
        <v>2020</v>
      </c>
      <c r="E1928">
        <v>6</v>
      </c>
      <c r="F1928">
        <v>35</v>
      </c>
      <c r="G1928" t="s">
        <v>26</v>
      </c>
      <c r="H1928" t="s">
        <v>18</v>
      </c>
      <c r="I1928" s="1" t="s">
        <v>27</v>
      </c>
    </row>
    <row r="1929" spans="1:10" hidden="1" x14ac:dyDescent="0.35">
      <c r="A1929" t="str">
        <f t="shared" si="30"/>
        <v>Umburatiba20204.1</v>
      </c>
      <c r="B1929">
        <v>3170305</v>
      </c>
      <c r="C1929" t="s">
        <v>62</v>
      </c>
      <c r="D1929">
        <v>2020</v>
      </c>
      <c r="E1929">
        <v>6</v>
      </c>
      <c r="F1929">
        <v>44</v>
      </c>
      <c r="G1929" t="s">
        <v>28</v>
      </c>
      <c r="H1929" t="s">
        <v>29</v>
      </c>
      <c r="I1929" s="1" t="s">
        <v>30</v>
      </c>
      <c r="J1929">
        <v>2205.88</v>
      </c>
    </row>
    <row r="1930" spans="1:10" hidden="1" x14ac:dyDescent="0.35">
      <c r="A1930" t="str">
        <f t="shared" si="30"/>
        <v>Umburatiba20204.10</v>
      </c>
      <c r="B1930">
        <v>3170305</v>
      </c>
      <c r="C1930" t="s">
        <v>62</v>
      </c>
      <c r="D1930">
        <v>2020</v>
      </c>
      <c r="E1930">
        <v>6</v>
      </c>
      <c r="F1930">
        <v>58</v>
      </c>
      <c r="G1930" t="s">
        <v>31</v>
      </c>
      <c r="H1930" t="s">
        <v>29</v>
      </c>
      <c r="I1930" s="1" t="s">
        <v>32</v>
      </c>
    </row>
    <row r="1931" spans="1:10" hidden="1" x14ac:dyDescent="0.35">
      <c r="A1931" t="str">
        <f t="shared" si="30"/>
        <v>Umburatiba20204.11</v>
      </c>
      <c r="B1931">
        <v>3170305</v>
      </c>
      <c r="C1931" t="s">
        <v>62</v>
      </c>
      <c r="D1931">
        <v>2020</v>
      </c>
      <c r="E1931">
        <v>6</v>
      </c>
      <c r="F1931">
        <v>59</v>
      </c>
      <c r="G1931" t="s">
        <v>33</v>
      </c>
      <c r="H1931" t="s">
        <v>29</v>
      </c>
      <c r="I1931" s="1" t="s">
        <v>34</v>
      </c>
      <c r="J1931">
        <v>7175.07</v>
      </c>
    </row>
    <row r="1932" spans="1:10" hidden="1" x14ac:dyDescent="0.35">
      <c r="A1932" t="str">
        <f t="shared" si="30"/>
        <v>Umburatiba20204.2</v>
      </c>
      <c r="B1932">
        <v>3170305</v>
      </c>
      <c r="C1932" t="s">
        <v>62</v>
      </c>
      <c r="D1932">
        <v>2020</v>
      </c>
      <c r="E1932">
        <v>6</v>
      </c>
      <c r="F1932">
        <v>45</v>
      </c>
      <c r="G1932" t="s">
        <v>35</v>
      </c>
      <c r="H1932" t="s">
        <v>29</v>
      </c>
      <c r="I1932" s="1" t="s">
        <v>36</v>
      </c>
      <c r="J1932">
        <v>9620.41</v>
      </c>
    </row>
    <row r="1933" spans="1:10" hidden="1" x14ac:dyDescent="0.35">
      <c r="A1933" t="str">
        <f t="shared" si="30"/>
        <v>Umburatiba20204.8</v>
      </c>
      <c r="B1933">
        <v>3170305</v>
      </c>
      <c r="C1933" t="s">
        <v>62</v>
      </c>
      <c r="D1933">
        <v>2020</v>
      </c>
      <c r="E1933">
        <v>6</v>
      </c>
      <c r="F1933">
        <v>56</v>
      </c>
      <c r="G1933" t="s">
        <v>37</v>
      </c>
      <c r="H1933" t="s">
        <v>29</v>
      </c>
      <c r="I1933" s="1" t="s">
        <v>38</v>
      </c>
      <c r="J1933">
        <v>7418.03</v>
      </c>
    </row>
    <row r="1934" spans="1:10" hidden="1" x14ac:dyDescent="0.35">
      <c r="A1934" t="str">
        <f t="shared" si="30"/>
        <v>Umburatiba20204.9</v>
      </c>
      <c r="B1934">
        <v>3170305</v>
      </c>
      <c r="C1934" t="s">
        <v>62</v>
      </c>
      <c r="D1934">
        <v>2020</v>
      </c>
      <c r="E1934">
        <v>6</v>
      </c>
      <c r="F1934">
        <v>57</v>
      </c>
      <c r="G1934" t="s">
        <v>39</v>
      </c>
      <c r="H1934" t="s">
        <v>29</v>
      </c>
      <c r="I1934" s="1" t="s">
        <v>40</v>
      </c>
      <c r="J1934">
        <v>7418.03</v>
      </c>
    </row>
    <row r="1935" spans="1:10" hidden="1" x14ac:dyDescent="0.35">
      <c r="A1935" t="str">
        <f t="shared" si="30"/>
        <v>Águas Formosas20211.1</v>
      </c>
      <c r="B1935">
        <v>3100906</v>
      </c>
      <c r="C1935" t="s">
        <v>9</v>
      </c>
      <c r="D1935">
        <v>2021</v>
      </c>
      <c r="E1935">
        <v>6</v>
      </c>
      <c r="F1935">
        <v>24</v>
      </c>
      <c r="G1935" t="s">
        <v>10</v>
      </c>
      <c r="H1935" t="s">
        <v>11</v>
      </c>
      <c r="I1935" s="1" t="s">
        <v>12</v>
      </c>
      <c r="J1935">
        <v>0.2092</v>
      </c>
    </row>
    <row r="1936" spans="1:10" hidden="1" x14ac:dyDescent="0.35">
      <c r="A1936" t="str">
        <f t="shared" si="30"/>
        <v>Águas Formosas20211.2</v>
      </c>
      <c r="B1936">
        <v>3100906</v>
      </c>
      <c r="C1936" t="s">
        <v>9</v>
      </c>
      <c r="D1936">
        <v>2021</v>
      </c>
      <c r="E1936">
        <v>6</v>
      </c>
      <c r="F1936">
        <v>67</v>
      </c>
      <c r="G1936" t="s">
        <v>13</v>
      </c>
      <c r="H1936" t="s">
        <v>11</v>
      </c>
      <c r="I1936" s="1" t="s">
        <v>14</v>
      </c>
      <c r="J1936">
        <v>0.76429999999999998</v>
      </c>
    </row>
    <row r="1937" spans="1:10" hidden="1" x14ac:dyDescent="0.35">
      <c r="A1937" t="str">
        <f t="shared" si="30"/>
        <v>Águas Formosas20211.3</v>
      </c>
      <c r="B1937">
        <v>3100906</v>
      </c>
      <c r="C1937" t="s">
        <v>9</v>
      </c>
      <c r="D1937">
        <v>2021</v>
      </c>
      <c r="E1937">
        <v>6</v>
      </c>
      <c r="F1937">
        <v>68</v>
      </c>
      <c r="G1937" t="s">
        <v>15</v>
      </c>
      <c r="H1937" t="s">
        <v>11</v>
      </c>
      <c r="I1937" s="1" t="s">
        <v>16</v>
      </c>
      <c r="J1937">
        <v>0.2316</v>
      </c>
    </row>
    <row r="1938" spans="1:10" hidden="1" x14ac:dyDescent="0.35">
      <c r="A1938" t="str">
        <f t="shared" si="30"/>
        <v>Águas Formosas20212.1</v>
      </c>
      <c r="B1938">
        <v>3100906</v>
      </c>
      <c r="C1938" t="s">
        <v>9</v>
      </c>
      <c r="D1938">
        <v>2021</v>
      </c>
      <c r="E1938">
        <v>6</v>
      </c>
      <c r="F1938">
        <v>28</v>
      </c>
      <c r="G1938" t="s">
        <v>17</v>
      </c>
      <c r="H1938" t="s">
        <v>18</v>
      </c>
      <c r="I1938" s="1" t="s">
        <v>19</v>
      </c>
      <c r="J1938">
        <v>0.35639999999999999</v>
      </c>
    </row>
    <row r="1939" spans="1:10" hidden="1" x14ac:dyDescent="0.35">
      <c r="A1939" t="str">
        <f t="shared" si="30"/>
        <v>Águas Formosas20212.2</v>
      </c>
      <c r="B1939">
        <v>3100906</v>
      </c>
      <c r="C1939" t="s">
        <v>9</v>
      </c>
      <c r="D1939">
        <v>2021</v>
      </c>
      <c r="E1939">
        <v>6</v>
      </c>
      <c r="F1939">
        <v>29</v>
      </c>
      <c r="G1939" t="s">
        <v>20</v>
      </c>
      <c r="H1939" t="s">
        <v>18</v>
      </c>
      <c r="I1939" s="1" t="s">
        <v>21</v>
      </c>
      <c r="J1939">
        <v>0.63959999999999995</v>
      </c>
    </row>
    <row r="1940" spans="1:10" hidden="1" x14ac:dyDescent="0.35">
      <c r="A1940" t="str">
        <f t="shared" si="30"/>
        <v>Águas Formosas20212.4</v>
      </c>
      <c r="B1940">
        <v>3100906</v>
      </c>
      <c r="C1940" t="s">
        <v>9</v>
      </c>
      <c r="D1940">
        <v>2021</v>
      </c>
      <c r="E1940">
        <v>6</v>
      </c>
      <c r="F1940">
        <v>31</v>
      </c>
      <c r="G1940" t="s">
        <v>22</v>
      </c>
      <c r="H1940" t="s">
        <v>18</v>
      </c>
      <c r="I1940" s="1" t="s">
        <v>23</v>
      </c>
      <c r="J1940">
        <v>0.33129999999999998</v>
      </c>
    </row>
    <row r="1941" spans="1:10" hidden="1" x14ac:dyDescent="0.35">
      <c r="A1941" t="str">
        <f t="shared" si="30"/>
        <v>Águas Formosas20212.5</v>
      </c>
      <c r="B1941">
        <v>3100906</v>
      </c>
      <c r="C1941" t="s">
        <v>9</v>
      </c>
      <c r="D1941">
        <v>2021</v>
      </c>
      <c r="E1941">
        <v>6</v>
      </c>
      <c r="F1941">
        <v>32</v>
      </c>
      <c r="G1941" t="s">
        <v>24</v>
      </c>
      <c r="H1941" t="s">
        <v>18</v>
      </c>
      <c r="I1941" s="1" t="s">
        <v>25</v>
      </c>
      <c r="J1941">
        <v>0.48039999999999999</v>
      </c>
    </row>
    <row r="1942" spans="1:10" hidden="1" x14ac:dyDescent="0.35">
      <c r="A1942" t="str">
        <f t="shared" si="30"/>
        <v>Águas Formosas20212.8</v>
      </c>
      <c r="B1942">
        <v>3100906</v>
      </c>
      <c r="C1942" t="s">
        <v>9</v>
      </c>
      <c r="D1942">
        <v>2021</v>
      </c>
      <c r="E1942">
        <v>6</v>
      </c>
      <c r="F1942">
        <v>35</v>
      </c>
      <c r="G1942" t="s">
        <v>26</v>
      </c>
      <c r="H1942" t="s">
        <v>18</v>
      </c>
      <c r="I1942" s="1" t="s">
        <v>27</v>
      </c>
      <c r="J1942">
        <v>0.17549999999999999</v>
      </c>
    </row>
    <row r="1943" spans="1:10" hidden="1" x14ac:dyDescent="0.35">
      <c r="A1943" t="str">
        <f t="shared" si="30"/>
        <v>Águas Formosas20214.1</v>
      </c>
      <c r="B1943">
        <v>3100906</v>
      </c>
      <c r="C1943" t="s">
        <v>9</v>
      </c>
      <c r="D1943">
        <v>2021</v>
      </c>
      <c r="E1943">
        <v>6</v>
      </c>
      <c r="F1943">
        <v>44</v>
      </c>
      <c r="G1943" t="s">
        <v>28</v>
      </c>
      <c r="H1943" t="s">
        <v>29</v>
      </c>
      <c r="I1943" s="1" t="s">
        <v>30</v>
      </c>
      <c r="J1943">
        <v>4217.8999999999996</v>
      </c>
    </row>
    <row r="1944" spans="1:10" hidden="1" x14ac:dyDescent="0.35">
      <c r="A1944" t="str">
        <f t="shared" si="30"/>
        <v>Águas Formosas20214.10</v>
      </c>
      <c r="B1944">
        <v>3100906</v>
      </c>
      <c r="C1944" t="s">
        <v>9</v>
      </c>
      <c r="D1944">
        <v>2021</v>
      </c>
      <c r="E1944">
        <v>6</v>
      </c>
      <c r="F1944">
        <v>58</v>
      </c>
      <c r="G1944" t="s">
        <v>31</v>
      </c>
      <c r="H1944" t="s">
        <v>29</v>
      </c>
      <c r="I1944" s="1" t="s">
        <v>32</v>
      </c>
      <c r="J1944">
        <v>4098.7299999999996</v>
      </c>
    </row>
    <row r="1945" spans="1:10" hidden="1" x14ac:dyDescent="0.35">
      <c r="A1945" t="str">
        <f t="shared" si="30"/>
        <v>Águas Formosas20214.11</v>
      </c>
      <c r="B1945">
        <v>3100906</v>
      </c>
      <c r="C1945" t="s">
        <v>9</v>
      </c>
      <c r="D1945">
        <v>2021</v>
      </c>
      <c r="E1945">
        <v>6</v>
      </c>
      <c r="F1945">
        <v>59</v>
      </c>
      <c r="G1945" t="s">
        <v>33</v>
      </c>
      <c r="H1945" t="s">
        <v>29</v>
      </c>
      <c r="I1945" s="1" t="s">
        <v>34</v>
      </c>
      <c r="J1945">
        <v>1010.55</v>
      </c>
    </row>
    <row r="1946" spans="1:10" hidden="1" x14ac:dyDescent="0.35">
      <c r="A1946" t="str">
        <f t="shared" si="30"/>
        <v>Águas Formosas20214.2</v>
      </c>
      <c r="B1946">
        <v>3100906</v>
      </c>
      <c r="C1946" t="s">
        <v>9</v>
      </c>
      <c r="D1946">
        <v>2021</v>
      </c>
      <c r="E1946">
        <v>6</v>
      </c>
      <c r="F1946">
        <v>45</v>
      </c>
      <c r="G1946" t="s">
        <v>35</v>
      </c>
      <c r="H1946" t="s">
        <v>29</v>
      </c>
      <c r="I1946" s="1" t="s">
        <v>36</v>
      </c>
      <c r="J1946">
        <v>13726.29</v>
      </c>
    </row>
    <row r="1947" spans="1:10" hidden="1" x14ac:dyDescent="0.35">
      <c r="A1947" t="str">
        <f t="shared" si="30"/>
        <v>Águas Formosas20214.8</v>
      </c>
      <c r="B1947">
        <v>3100906</v>
      </c>
      <c r="C1947" t="s">
        <v>9</v>
      </c>
      <c r="D1947">
        <v>2021</v>
      </c>
      <c r="E1947">
        <v>6</v>
      </c>
      <c r="F1947">
        <v>56</v>
      </c>
      <c r="G1947" t="s">
        <v>37</v>
      </c>
      <c r="H1947" t="s">
        <v>29</v>
      </c>
      <c r="I1947" s="1" t="s">
        <v>38</v>
      </c>
      <c r="J1947">
        <v>7911.75</v>
      </c>
    </row>
    <row r="1948" spans="1:10" hidden="1" x14ac:dyDescent="0.35">
      <c r="A1948" t="str">
        <f t="shared" si="30"/>
        <v>Águas Formosas20214.9</v>
      </c>
      <c r="B1948">
        <v>3100906</v>
      </c>
      <c r="C1948" t="s">
        <v>9</v>
      </c>
      <c r="D1948">
        <v>2021</v>
      </c>
      <c r="E1948">
        <v>6</v>
      </c>
      <c r="F1948">
        <v>57</v>
      </c>
      <c r="G1948" t="s">
        <v>39</v>
      </c>
      <c r="H1948" t="s">
        <v>29</v>
      </c>
      <c r="I1948" s="1" t="s">
        <v>40</v>
      </c>
      <c r="J1948">
        <v>7911.75</v>
      </c>
    </row>
    <row r="1949" spans="1:10" hidden="1" x14ac:dyDescent="0.35">
      <c r="A1949" t="str">
        <f t="shared" si="30"/>
        <v>Ataléia20211.1</v>
      </c>
      <c r="B1949">
        <v>3104700</v>
      </c>
      <c r="C1949" t="s">
        <v>41</v>
      </c>
      <c r="D1949">
        <v>2021</v>
      </c>
      <c r="E1949">
        <v>6</v>
      </c>
      <c r="F1949">
        <v>24</v>
      </c>
      <c r="G1949" t="s">
        <v>10</v>
      </c>
      <c r="H1949" t="s">
        <v>11</v>
      </c>
      <c r="I1949" s="1" t="s">
        <v>12</v>
      </c>
      <c r="J1949">
        <v>0.2389</v>
      </c>
    </row>
    <row r="1950" spans="1:10" hidden="1" x14ac:dyDescent="0.35">
      <c r="A1950" t="str">
        <f t="shared" si="30"/>
        <v>Ataléia20211.2</v>
      </c>
      <c r="B1950">
        <v>3104700</v>
      </c>
      <c r="C1950" t="s">
        <v>41</v>
      </c>
      <c r="D1950">
        <v>2021</v>
      </c>
      <c r="E1950">
        <v>6</v>
      </c>
      <c r="F1950">
        <v>67</v>
      </c>
      <c r="G1950" t="s">
        <v>13</v>
      </c>
      <c r="H1950" t="s">
        <v>11</v>
      </c>
      <c r="I1950" s="1" t="s">
        <v>14</v>
      </c>
      <c r="J1950">
        <v>0.87949999999999995</v>
      </c>
    </row>
    <row r="1951" spans="1:10" hidden="1" x14ac:dyDescent="0.35">
      <c r="A1951" t="str">
        <f t="shared" si="30"/>
        <v>Ataléia20211.3</v>
      </c>
      <c r="B1951">
        <v>3104700</v>
      </c>
      <c r="C1951" t="s">
        <v>41</v>
      </c>
      <c r="D1951">
        <v>2021</v>
      </c>
      <c r="E1951">
        <v>6</v>
      </c>
      <c r="F1951">
        <v>68</v>
      </c>
      <c r="G1951" t="s">
        <v>15</v>
      </c>
      <c r="H1951" t="s">
        <v>11</v>
      </c>
      <c r="I1951" s="1" t="s">
        <v>16</v>
      </c>
      <c r="J1951">
        <v>8.4099999999999994E-2</v>
      </c>
    </row>
    <row r="1952" spans="1:10" hidden="1" x14ac:dyDescent="0.35">
      <c r="A1952" t="str">
        <f t="shared" si="30"/>
        <v>Ataléia20212.1</v>
      </c>
      <c r="B1952">
        <v>3104700</v>
      </c>
      <c r="C1952" t="s">
        <v>41</v>
      </c>
      <c r="D1952">
        <v>2021</v>
      </c>
      <c r="E1952">
        <v>6</v>
      </c>
      <c r="F1952">
        <v>28</v>
      </c>
      <c r="G1952" t="s">
        <v>17</v>
      </c>
      <c r="H1952" t="s">
        <v>18</v>
      </c>
      <c r="I1952" s="1" t="s">
        <v>19</v>
      </c>
      <c r="J1952">
        <v>0.2286</v>
      </c>
    </row>
    <row r="1953" spans="1:10" hidden="1" x14ac:dyDescent="0.35">
      <c r="A1953" t="str">
        <f t="shared" si="30"/>
        <v>Ataléia20212.2</v>
      </c>
      <c r="B1953">
        <v>3104700</v>
      </c>
      <c r="C1953" t="s">
        <v>41</v>
      </c>
      <c r="D1953">
        <v>2021</v>
      </c>
      <c r="E1953">
        <v>6</v>
      </c>
      <c r="F1953">
        <v>29</v>
      </c>
      <c r="G1953" t="s">
        <v>20</v>
      </c>
      <c r="H1953" t="s">
        <v>18</v>
      </c>
      <c r="I1953" s="1" t="s">
        <v>21</v>
      </c>
      <c r="J1953">
        <v>0.7349</v>
      </c>
    </row>
    <row r="1954" spans="1:10" hidden="1" x14ac:dyDescent="0.35">
      <c r="A1954" t="str">
        <f t="shared" si="30"/>
        <v>Ataléia20212.4</v>
      </c>
      <c r="B1954">
        <v>3104700</v>
      </c>
      <c r="C1954" t="s">
        <v>41</v>
      </c>
      <c r="D1954">
        <v>2021</v>
      </c>
      <c r="E1954">
        <v>6</v>
      </c>
      <c r="F1954">
        <v>31</v>
      </c>
      <c r="G1954" t="s">
        <v>22</v>
      </c>
      <c r="H1954" t="s">
        <v>18</v>
      </c>
      <c r="I1954" s="1" t="s">
        <v>23</v>
      </c>
      <c r="J1954">
        <v>0.2198</v>
      </c>
    </row>
    <row r="1955" spans="1:10" hidden="1" x14ac:dyDescent="0.35">
      <c r="A1955" t="str">
        <f t="shared" si="30"/>
        <v>Ataléia20212.5</v>
      </c>
      <c r="B1955">
        <v>3104700</v>
      </c>
      <c r="C1955" t="s">
        <v>41</v>
      </c>
      <c r="D1955">
        <v>2021</v>
      </c>
      <c r="E1955">
        <v>6</v>
      </c>
      <c r="F1955">
        <v>32</v>
      </c>
      <c r="G1955" t="s">
        <v>24</v>
      </c>
      <c r="H1955" t="s">
        <v>18</v>
      </c>
      <c r="I1955" s="1" t="s">
        <v>25</v>
      </c>
      <c r="J1955">
        <v>0.64500000000000002</v>
      </c>
    </row>
    <row r="1956" spans="1:10" hidden="1" x14ac:dyDescent="0.35">
      <c r="A1956" t="str">
        <f t="shared" si="30"/>
        <v>Ataléia20212.8</v>
      </c>
      <c r="B1956">
        <v>3104700</v>
      </c>
      <c r="C1956" t="s">
        <v>41</v>
      </c>
      <c r="D1956">
        <v>2021</v>
      </c>
      <c r="E1956">
        <v>6</v>
      </c>
      <c r="F1956">
        <v>35</v>
      </c>
      <c r="G1956" t="s">
        <v>26</v>
      </c>
      <c r="H1956" t="s">
        <v>18</v>
      </c>
      <c r="I1956" s="1" t="s">
        <v>27</v>
      </c>
      <c r="J1956">
        <v>0.374</v>
      </c>
    </row>
    <row r="1957" spans="1:10" hidden="1" x14ac:dyDescent="0.35">
      <c r="A1957" t="str">
        <f t="shared" si="30"/>
        <v>Ataléia20214.1</v>
      </c>
      <c r="B1957">
        <v>3104700</v>
      </c>
      <c r="C1957" t="s">
        <v>41</v>
      </c>
      <c r="D1957">
        <v>2021</v>
      </c>
      <c r="E1957">
        <v>6</v>
      </c>
      <c r="F1957">
        <v>44</v>
      </c>
      <c r="G1957" t="s">
        <v>28</v>
      </c>
      <c r="H1957" t="s">
        <v>29</v>
      </c>
      <c r="I1957" s="1" t="s">
        <v>30</v>
      </c>
      <c r="J1957">
        <v>4860.7</v>
      </c>
    </row>
    <row r="1958" spans="1:10" hidden="1" x14ac:dyDescent="0.35">
      <c r="A1958" t="str">
        <f t="shared" si="30"/>
        <v>Ataléia20214.10</v>
      </c>
      <c r="B1958">
        <v>3104700</v>
      </c>
      <c r="C1958" t="s">
        <v>41</v>
      </c>
      <c r="D1958">
        <v>2021</v>
      </c>
      <c r="E1958">
        <v>6</v>
      </c>
      <c r="F1958">
        <v>58</v>
      </c>
      <c r="G1958" t="s">
        <v>31</v>
      </c>
      <c r="H1958" t="s">
        <v>29</v>
      </c>
      <c r="I1958" s="1" t="s">
        <v>32</v>
      </c>
      <c r="J1958">
        <v>5230.71</v>
      </c>
    </row>
    <row r="1959" spans="1:10" hidden="1" x14ac:dyDescent="0.35">
      <c r="A1959" t="str">
        <f t="shared" si="30"/>
        <v>Ataléia20214.11</v>
      </c>
      <c r="B1959">
        <v>3104700</v>
      </c>
      <c r="C1959" t="s">
        <v>41</v>
      </c>
      <c r="D1959">
        <v>2021</v>
      </c>
      <c r="E1959">
        <v>6</v>
      </c>
      <c r="F1959">
        <v>59</v>
      </c>
      <c r="G1959" t="s">
        <v>33</v>
      </c>
      <c r="H1959" t="s">
        <v>29</v>
      </c>
      <c r="I1959" s="1" t="s">
        <v>34</v>
      </c>
      <c r="J1959">
        <v>461.04</v>
      </c>
    </row>
    <row r="1960" spans="1:10" hidden="1" x14ac:dyDescent="0.35">
      <c r="A1960" t="str">
        <f t="shared" si="30"/>
        <v>Ataléia20214.2</v>
      </c>
      <c r="B1960">
        <v>3104700</v>
      </c>
      <c r="C1960" t="s">
        <v>41</v>
      </c>
      <c r="D1960">
        <v>2021</v>
      </c>
      <c r="E1960">
        <v>6</v>
      </c>
      <c r="F1960">
        <v>45</v>
      </c>
      <c r="G1960" t="s">
        <v>35</v>
      </c>
      <c r="H1960" t="s">
        <v>29</v>
      </c>
      <c r="I1960" s="1" t="s">
        <v>36</v>
      </c>
      <c r="J1960">
        <v>10120.36</v>
      </c>
    </row>
    <row r="1961" spans="1:10" hidden="1" x14ac:dyDescent="0.35">
      <c r="A1961" t="str">
        <f t="shared" si="30"/>
        <v>Ataléia20214.8</v>
      </c>
      <c r="B1961">
        <v>3104700</v>
      </c>
      <c r="C1961" t="s">
        <v>41</v>
      </c>
      <c r="D1961">
        <v>2021</v>
      </c>
      <c r="E1961">
        <v>6</v>
      </c>
      <c r="F1961">
        <v>56</v>
      </c>
      <c r="G1961" t="s">
        <v>37</v>
      </c>
      <c r="H1961" t="s">
        <v>29</v>
      </c>
      <c r="I1961" s="1" t="s">
        <v>38</v>
      </c>
      <c r="J1961">
        <v>8903.6</v>
      </c>
    </row>
    <row r="1962" spans="1:10" hidden="1" x14ac:dyDescent="0.35">
      <c r="A1962" t="str">
        <f t="shared" si="30"/>
        <v>Ataléia20214.9</v>
      </c>
      <c r="B1962">
        <v>3104700</v>
      </c>
      <c r="C1962" t="s">
        <v>41</v>
      </c>
      <c r="D1962">
        <v>2021</v>
      </c>
      <c r="E1962">
        <v>6</v>
      </c>
      <c r="F1962">
        <v>57</v>
      </c>
      <c r="G1962" t="s">
        <v>39</v>
      </c>
      <c r="H1962" t="s">
        <v>29</v>
      </c>
      <c r="I1962" s="1" t="s">
        <v>40</v>
      </c>
      <c r="J1962">
        <v>8903.6</v>
      </c>
    </row>
    <row r="1963" spans="1:10" hidden="1" x14ac:dyDescent="0.35">
      <c r="A1963" t="str">
        <f t="shared" si="30"/>
        <v>Bertópolis20211.1</v>
      </c>
      <c r="B1963">
        <v>3106606</v>
      </c>
      <c r="C1963" t="s">
        <v>42</v>
      </c>
      <c r="D1963">
        <v>2021</v>
      </c>
      <c r="E1963">
        <v>6</v>
      </c>
      <c r="F1963">
        <v>24</v>
      </c>
      <c r="G1963" t="s">
        <v>10</v>
      </c>
      <c r="H1963" t="s">
        <v>11</v>
      </c>
      <c r="I1963" s="1" t="s">
        <v>12</v>
      </c>
      <c r="J1963">
        <v>0.20649999999999999</v>
      </c>
    </row>
    <row r="1964" spans="1:10" hidden="1" x14ac:dyDescent="0.35">
      <c r="A1964" t="str">
        <f t="shared" si="30"/>
        <v>Bertópolis20211.2</v>
      </c>
      <c r="B1964">
        <v>3106606</v>
      </c>
      <c r="C1964" t="s">
        <v>42</v>
      </c>
      <c r="D1964">
        <v>2021</v>
      </c>
      <c r="E1964">
        <v>6</v>
      </c>
      <c r="F1964">
        <v>67</v>
      </c>
      <c r="G1964" t="s">
        <v>13</v>
      </c>
      <c r="H1964" t="s">
        <v>11</v>
      </c>
      <c r="I1964" s="1" t="s">
        <v>14</v>
      </c>
      <c r="J1964">
        <v>0.71350000000000002</v>
      </c>
    </row>
    <row r="1965" spans="1:10" hidden="1" x14ac:dyDescent="0.35">
      <c r="A1965" t="str">
        <f t="shared" si="30"/>
        <v>Bertópolis20211.3</v>
      </c>
      <c r="B1965">
        <v>3106606</v>
      </c>
      <c r="C1965" t="s">
        <v>42</v>
      </c>
      <c r="D1965">
        <v>2021</v>
      </c>
      <c r="E1965">
        <v>6</v>
      </c>
      <c r="F1965">
        <v>68</v>
      </c>
      <c r="G1965" t="s">
        <v>15</v>
      </c>
      <c r="H1965" t="s">
        <v>11</v>
      </c>
      <c r="I1965" s="1" t="s">
        <v>16</v>
      </c>
      <c r="J1965">
        <v>0.25040000000000001</v>
      </c>
    </row>
    <row r="1966" spans="1:10" hidden="1" x14ac:dyDescent="0.35">
      <c r="A1966" t="str">
        <f t="shared" si="30"/>
        <v>Bertópolis20212.1</v>
      </c>
      <c r="B1966">
        <v>3106606</v>
      </c>
      <c r="C1966" t="s">
        <v>42</v>
      </c>
      <c r="D1966">
        <v>2021</v>
      </c>
      <c r="E1966">
        <v>6</v>
      </c>
      <c r="F1966">
        <v>28</v>
      </c>
      <c r="G1966" t="s">
        <v>17</v>
      </c>
      <c r="H1966" t="s">
        <v>18</v>
      </c>
      <c r="I1966" s="1" t="s">
        <v>19</v>
      </c>
      <c r="J1966">
        <v>0.441</v>
      </c>
    </row>
    <row r="1967" spans="1:10" hidden="1" x14ac:dyDescent="0.35">
      <c r="A1967" t="str">
        <f t="shared" si="30"/>
        <v>Bertópolis20212.2</v>
      </c>
      <c r="B1967">
        <v>3106606</v>
      </c>
      <c r="C1967" t="s">
        <v>42</v>
      </c>
      <c r="D1967">
        <v>2021</v>
      </c>
      <c r="E1967">
        <v>6</v>
      </c>
      <c r="F1967">
        <v>29</v>
      </c>
      <c r="G1967" t="s">
        <v>20</v>
      </c>
      <c r="H1967" t="s">
        <v>18</v>
      </c>
      <c r="I1967" s="1" t="s">
        <v>21</v>
      </c>
      <c r="J1967">
        <v>0.52290000000000003</v>
      </c>
    </row>
    <row r="1968" spans="1:10" hidden="1" x14ac:dyDescent="0.35">
      <c r="A1968" t="str">
        <f t="shared" si="30"/>
        <v>Bertópolis20212.4</v>
      </c>
      <c r="B1968">
        <v>3106606</v>
      </c>
      <c r="C1968" t="s">
        <v>42</v>
      </c>
      <c r="D1968">
        <v>2021</v>
      </c>
      <c r="E1968">
        <v>6</v>
      </c>
      <c r="F1968">
        <v>31</v>
      </c>
      <c r="G1968" t="s">
        <v>22</v>
      </c>
      <c r="H1968" t="s">
        <v>18</v>
      </c>
      <c r="I1968" s="1" t="s">
        <v>23</v>
      </c>
      <c r="J1968">
        <v>0.36899999999999999</v>
      </c>
    </row>
    <row r="1969" spans="1:10" hidden="1" x14ac:dyDescent="0.35">
      <c r="A1969" t="str">
        <f t="shared" si="30"/>
        <v>Bertópolis20212.5</v>
      </c>
      <c r="B1969">
        <v>3106606</v>
      </c>
      <c r="C1969" t="s">
        <v>42</v>
      </c>
      <c r="D1969">
        <v>2021</v>
      </c>
      <c r="E1969">
        <v>6</v>
      </c>
      <c r="F1969">
        <v>32</v>
      </c>
      <c r="G1969" t="s">
        <v>24</v>
      </c>
      <c r="H1969" t="s">
        <v>18</v>
      </c>
      <c r="I1969" s="1" t="s">
        <v>25</v>
      </c>
      <c r="J1969">
        <v>0.5121</v>
      </c>
    </row>
    <row r="1970" spans="1:10" hidden="1" x14ac:dyDescent="0.35">
      <c r="A1970" t="str">
        <f t="shared" si="30"/>
        <v>Bertópolis20212.8</v>
      </c>
      <c r="B1970">
        <v>3106606</v>
      </c>
      <c r="C1970" t="s">
        <v>42</v>
      </c>
      <c r="D1970">
        <v>2021</v>
      </c>
      <c r="E1970">
        <v>6</v>
      </c>
      <c r="F1970">
        <v>35</v>
      </c>
      <c r="G1970" t="s">
        <v>26</v>
      </c>
      <c r="H1970" t="s">
        <v>18</v>
      </c>
      <c r="I1970" s="1" t="s">
        <v>27</v>
      </c>
      <c r="J1970">
        <v>0.2157</v>
      </c>
    </row>
    <row r="1971" spans="1:10" hidden="1" x14ac:dyDescent="0.35">
      <c r="A1971" t="str">
        <f t="shared" si="30"/>
        <v>Bertópolis20214.1</v>
      </c>
      <c r="B1971">
        <v>3106606</v>
      </c>
      <c r="C1971" t="s">
        <v>42</v>
      </c>
      <c r="D1971">
        <v>2021</v>
      </c>
      <c r="E1971">
        <v>6</v>
      </c>
      <c r="F1971">
        <v>44</v>
      </c>
      <c r="G1971" t="s">
        <v>28</v>
      </c>
      <c r="H1971" t="s">
        <v>29</v>
      </c>
      <c r="I1971" s="1" t="s">
        <v>30</v>
      </c>
      <c r="J1971">
        <v>6047.48</v>
      </c>
    </row>
    <row r="1972" spans="1:10" hidden="1" x14ac:dyDescent="0.35">
      <c r="A1972" t="str">
        <f t="shared" si="30"/>
        <v>Bertópolis20214.10</v>
      </c>
      <c r="B1972">
        <v>3106606</v>
      </c>
      <c r="C1972" t="s">
        <v>42</v>
      </c>
      <c r="D1972">
        <v>2021</v>
      </c>
      <c r="E1972">
        <v>6</v>
      </c>
      <c r="F1972">
        <v>58</v>
      </c>
      <c r="G1972" t="s">
        <v>31</v>
      </c>
      <c r="H1972" t="s">
        <v>29</v>
      </c>
      <c r="I1972" s="1" t="s">
        <v>32</v>
      </c>
      <c r="J1972">
        <v>4084.48</v>
      </c>
    </row>
    <row r="1973" spans="1:10" hidden="1" x14ac:dyDescent="0.35">
      <c r="A1973" t="str">
        <f t="shared" si="30"/>
        <v>Bertópolis20214.11</v>
      </c>
      <c r="B1973">
        <v>3106606</v>
      </c>
      <c r="C1973" t="s">
        <v>42</v>
      </c>
      <c r="D1973">
        <v>2021</v>
      </c>
      <c r="E1973">
        <v>6</v>
      </c>
      <c r="F1973">
        <v>59</v>
      </c>
      <c r="G1973" t="s">
        <v>33</v>
      </c>
      <c r="H1973" t="s">
        <v>29</v>
      </c>
      <c r="I1973" s="1" t="s">
        <v>34</v>
      </c>
      <c r="J1973">
        <v>1431.88</v>
      </c>
    </row>
    <row r="1974" spans="1:10" hidden="1" x14ac:dyDescent="0.35">
      <c r="A1974" t="str">
        <f t="shared" si="30"/>
        <v>Bertópolis20214.2</v>
      </c>
      <c r="B1974">
        <v>3106606</v>
      </c>
      <c r="C1974" t="s">
        <v>42</v>
      </c>
      <c r="D1974">
        <v>2021</v>
      </c>
      <c r="E1974">
        <v>6</v>
      </c>
      <c r="F1974">
        <v>45</v>
      </c>
      <c r="G1974" t="s">
        <v>35</v>
      </c>
      <c r="H1974" t="s">
        <v>29</v>
      </c>
      <c r="I1974" s="1" t="s">
        <v>36</v>
      </c>
      <c r="J1974">
        <v>7469.37</v>
      </c>
    </row>
    <row r="1975" spans="1:10" hidden="1" x14ac:dyDescent="0.35">
      <c r="A1975" t="str">
        <f t="shared" si="30"/>
        <v>Bertópolis20214.8</v>
      </c>
      <c r="B1975">
        <v>3106606</v>
      </c>
      <c r="C1975" t="s">
        <v>42</v>
      </c>
      <c r="D1975">
        <v>2021</v>
      </c>
      <c r="E1975">
        <v>6</v>
      </c>
      <c r="F1975">
        <v>56</v>
      </c>
      <c r="G1975" t="s">
        <v>37</v>
      </c>
      <c r="H1975" t="s">
        <v>29</v>
      </c>
      <c r="I1975" s="1" t="s">
        <v>38</v>
      </c>
      <c r="J1975">
        <v>7480.16</v>
      </c>
    </row>
    <row r="1976" spans="1:10" hidden="1" x14ac:dyDescent="0.35">
      <c r="A1976" t="str">
        <f t="shared" si="30"/>
        <v>Bertópolis20214.9</v>
      </c>
      <c r="B1976">
        <v>3106606</v>
      </c>
      <c r="C1976" t="s">
        <v>42</v>
      </c>
      <c r="D1976">
        <v>2021</v>
      </c>
      <c r="E1976">
        <v>6</v>
      </c>
      <c r="F1976">
        <v>57</v>
      </c>
      <c r="G1976" t="s">
        <v>39</v>
      </c>
      <c r="H1976" t="s">
        <v>29</v>
      </c>
      <c r="I1976" s="1" t="s">
        <v>40</v>
      </c>
      <c r="J1976">
        <v>7480.16</v>
      </c>
    </row>
    <row r="1977" spans="1:10" hidden="1" x14ac:dyDescent="0.35">
      <c r="A1977" t="str">
        <f t="shared" si="30"/>
        <v>Carlos Chagas20211.1</v>
      </c>
      <c r="B1977">
        <v>3113701</v>
      </c>
      <c r="C1977" t="s">
        <v>43</v>
      </c>
      <c r="D1977">
        <v>2021</v>
      </c>
      <c r="E1977">
        <v>6</v>
      </c>
      <c r="F1977">
        <v>24</v>
      </c>
      <c r="G1977" t="s">
        <v>10</v>
      </c>
      <c r="H1977" t="s">
        <v>11</v>
      </c>
      <c r="I1977" s="1" t="s">
        <v>12</v>
      </c>
      <c r="J1977">
        <v>0.25530000000000003</v>
      </c>
    </row>
    <row r="1978" spans="1:10" hidden="1" x14ac:dyDescent="0.35">
      <c r="A1978" t="str">
        <f t="shared" si="30"/>
        <v>Carlos Chagas20211.2</v>
      </c>
      <c r="B1978">
        <v>3113701</v>
      </c>
      <c r="C1978" t="s">
        <v>43</v>
      </c>
      <c r="D1978">
        <v>2021</v>
      </c>
      <c r="E1978">
        <v>6</v>
      </c>
      <c r="F1978">
        <v>67</v>
      </c>
      <c r="G1978" t="s">
        <v>13</v>
      </c>
      <c r="H1978" t="s">
        <v>11</v>
      </c>
      <c r="I1978" s="1" t="s">
        <v>14</v>
      </c>
      <c r="J1978">
        <v>0.71109999999999995</v>
      </c>
    </row>
    <row r="1979" spans="1:10" hidden="1" x14ac:dyDescent="0.35">
      <c r="A1979" t="str">
        <f t="shared" si="30"/>
        <v>Carlos Chagas20211.3</v>
      </c>
      <c r="B1979">
        <v>3113701</v>
      </c>
      <c r="C1979" t="s">
        <v>43</v>
      </c>
      <c r="D1979">
        <v>2021</v>
      </c>
      <c r="E1979">
        <v>6</v>
      </c>
      <c r="F1979">
        <v>68</v>
      </c>
      <c r="G1979" t="s">
        <v>15</v>
      </c>
      <c r="H1979" t="s">
        <v>11</v>
      </c>
      <c r="I1979" s="1" t="s">
        <v>16</v>
      </c>
      <c r="J1979">
        <v>0.27410000000000001</v>
      </c>
    </row>
    <row r="1980" spans="1:10" hidden="1" x14ac:dyDescent="0.35">
      <c r="A1980" t="str">
        <f t="shared" si="30"/>
        <v>Carlos Chagas20212.1</v>
      </c>
      <c r="B1980">
        <v>3113701</v>
      </c>
      <c r="C1980" t="s">
        <v>43</v>
      </c>
      <c r="D1980">
        <v>2021</v>
      </c>
      <c r="E1980">
        <v>6</v>
      </c>
      <c r="F1980">
        <v>28</v>
      </c>
      <c r="G1980" t="s">
        <v>17</v>
      </c>
      <c r="H1980" t="s">
        <v>18</v>
      </c>
      <c r="I1980" s="1" t="s">
        <v>19</v>
      </c>
      <c r="J1980">
        <v>7.5700000000000003E-2</v>
      </c>
    </row>
    <row r="1981" spans="1:10" hidden="1" x14ac:dyDescent="0.35">
      <c r="A1981" t="str">
        <f t="shared" si="30"/>
        <v>Carlos Chagas20212.2</v>
      </c>
      <c r="B1981">
        <v>3113701</v>
      </c>
      <c r="C1981" t="s">
        <v>43</v>
      </c>
      <c r="D1981">
        <v>2021</v>
      </c>
      <c r="E1981">
        <v>6</v>
      </c>
      <c r="F1981">
        <v>29</v>
      </c>
      <c r="G1981" t="s">
        <v>20</v>
      </c>
      <c r="H1981" t="s">
        <v>18</v>
      </c>
      <c r="I1981" s="1" t="s">
        <v>21</v>
      </c>
      <c r="J1981">
        <v>0.90939999999999999</v>
      </c>
    </row>
    <row r="1982" spans="1:10" hidden="1" x14ac:dyDescent="0.35">
      <c r="A1982" t="str">
        <f t="shared" si="30"/>
        <v>Carlos Chagas20212.4</v>
      </c>
      <c r="B1982">
        <v>3113701</v>
      </c>
      <c r="C1982" t="s">
        <v>43</v>
      </c>
      <c r="D1982">
        <v>2021</v>
      </c>
      <c r="E1982">
        <v>6</v>
      </c>
      <c r="F1982">
        <v>31</v>
      </c>
      <c r="G1982" t="s">
        <v>22</v>
      </c>
      <c r="H1982" t="s">
        <v>18</v>
      </c>
      <c r="I1982" s="1" t="s">
        <v>23</v>
      </c>
      <c r="J1982">
        <v>7.3800000000000004E-2</v>
      </c>
    </row>
    <row r="1983" spans="1:10" hidden="1" x14ac:dyDescent="0.35">
      <c r="A1983" t="str">
        <f t="shared" si="30"/>
        <v>Carlos Chagas20212.5</v>
      </c>
      <c r="B1983">
        <v>3113701</v>
      </c>
      <c r="C1983" t="s">
        <v>43</v>
      </c>
      <c r="D1983">
        <v>2021</v>
      </c>
      <c r="E1983">
        <v>6</v>
      </c>
      <c r="F1983">
        <v>32</v>
      </c>
      <c r="G1983" t="s">
        <v>24</v>
      </c>
      <c r="H1983" t="s">
        <v>18</v>
      </c>
      <c r="I1983" s="1" t="s">
        <v>25</v>
      </c>
      <c r="J1983">
        <v>0.78649999999999998</v>
      </c>
    </row>
    <row r="1984" spans="1:10" hidden="1" x14ac:dyDescent="0.35">
      <c r="A1984" t="str">
        <f t="shared" si="30"/>
        <v>Carlos Chagas20212.8</v>
      </c>
      <c r="B1984">
        <v>3113701</v>
      </c>
      <c r="C1984" t="s">
        <v>43</v>
      </c>
      <c r="D1984">
        <v>2021</v>
      </c>
      <c r="E1984">
        <v>6</v>
      </c>
      <c r="F1984">
        <v>35</v>
      </c>
      <c r="G1984" t="s">
        <v>26</v>
      </c>
      <c r="H1984" t="s">
        <v>18</v>
      </c>
      <c r="I1984" s="1" t="s">
        <v>27</v>
      </c>
      <c r="J1984">
        <v>0.25890000000000002</v>
      </c>
    </row>
    <row r="1985" spans="1:10" hidden="1" x14ac:dyDescent="0.35">
      <c r="A1985" t="str">
        <f t="shared" si="30"/>
        <v>Carlos Chagas20214.1</v>
      </c>
      <c r="B1985">
        <v>3113701</v>
      </c>
      <c r="C1985" t="s">
        <v>43</v>
      </c>
      <c r="D1985">
        <v>2021</v>
      </c>
      <c r="E1985">
        <v>6</v>
      </c>
      <c r="F1985">
        <v>44</v>
      </c>
      <c r="G1985" t="s">
        <v>28</v>
      </c>
      <c r="H1985" t="s">
        <v>29</v>
      </c>
      <c r="I1985" s="1" t="s">
        <v>30</v>
      </c>
      <c r="J1985">
        <v>2716.17</v>
      </c>
    </row>
    <row r="1986" spans="1:10" hidden="1" x14ac:dyDescent="0.35">
      <c r="A1986" t="str">
        <f t="shared" si="30"/>
        <v>Carlos Chagas20214.10</v>
      </c>
      <c r="B1986">
        <v>3113701</v>
      </c>
      <c r="C1986" t="s">
        <v>43</v>
      </c>
      <c r="D1986">
        <v>2021</v>
      </c>
      <c r="E1986">
        <v>6</v>
      </c>
      <c r="F1986">
        <v>58</v>
      </c>
      <c r="G1986" t="s">
        <v>31</v>
      </c>
      <c r="H1986" t="s">
        <v>29</v>
      </c>
      <c r="I1986" s="1" t="s">
        <v>32</v>
      </c>
      <c r="J1986">
        <v>4046.65</v>
      </c>
    </row>
    <row r="1987" spans="1:10" hidden="1" x14ac:dyDescent="0.35">
      <c r="A1987" t="str">
        <f t="shared" si="30"/>
        <v>Carlos Chagas20214.11</v>
      </c>
      <c r="B1987">
        <v>3113701</v>
      </c>
      <c r="C1987" t="s">
        <v>43</v>
      </c>
      <c r="D1987">
        <v>2021</v>
      </c>
      <c r="E1987">
        <v>6</v>
      </c>
      <c r="F1987">
        <v>59</v>
      </c>
      <c r="G1987" t="s">
        <v>33</v>
      </c>
      <c r="H1987" t="s">
        <v>29</v>
      </c>
      <c r="I1987" s="1" t="s">
        <v>34</v>
      </c>
      <c r="J1987">
        <v>1185.3900000000001</v>
      </c>
    </row>
    <row r="1988" spans="1:10" hidden="1" x14ac:dyDescent="0.35">
      <c r="A1988" t="str">
        <f t="shared" ref="A1988:A2051" si="31">C1988&amp;D1988&amp;G1988</f>
        <v>Carlos Chagas20214.2</v>
      </c>
      <c r="B1988">
        <v>3113701</v>
      </c>
      <c r="C1988" t="s">
        <v>43</v>
      </c>
      <c r="D1988">
        <v>2021</v>
      </c>
      <c r="E1988">
        <v>6</v>
      </c>
      <c r="F1988">
        <v>45</v>
      </c>
      <c r="G1988" t="s">
        <v>35</v>
      </c>
      <c r="H1988" t="s">
        <v>29</v>
      </c>
      <c r="I1988" s="1" t="s">
        <v>36</v>
      </c>
      <c r="J1988">
        <v>9195.24</v>
      </c>
    </row>
    <row r="1989" spans="1:10" hidden="1" x14ac:dyDescent="0.35">
      <c r="A1989" t="str">
        <f t="shared" si="31"/>
        <v>Carlos Chagas20214.8</v>
      </c>
      <c r="B1989">
        <v>3113701</v>
      </c>
      <c r="C1989" t="s">
        <v>43</v>
      </c>
      <c r="D1989">
        <v>2021</v>
      </c>
      <c r="E1989">
        <v>6</v>
      </c>
      <c r="F1989">
        <v>56</v>
      </c>
      <c r="G1989" t="s">
        <v>37</v>
      </c>
      <c r="H1989" t="s">
        <v>29</v>
      </c>
      <c r="I1989" s="1" t="s">
        <v>38</v>
      </c>
      <c r="J1989">
        <v>8527.09</v>
      </c>
    </row>
    <row r="1990" spans="1:10" hidden="1" x14ac:dyDescent="0.35">
      <c r="A1990" t="str">
        <f t="shared" si="31"/>
        <v>Carlos Chagas20214.9</v>
      </c>
      <c r="B1990">
        <v>3113701</v>
      </c>
      <c r="C1990" t="s">
        <v>43</v>
      </c>
      <c r="D1990">
        <v>2021</v>
      </c>
      <c r="E1990">
        <v>6</v>
      </c>
      <c r="F1990">
        <v>57</v>
      </c>
      <c r="G1990" t="s">
        <v>39</v>
      </c>
      <c r="H1990" t="s">
        <v>29</v>
      </c>
      <c r="I1990" s="1" t="s">
        <v>40</v>
      </c>
      <c r="J1990">
        <v>8527.09</v>
      </c>
    </row>
    <row r="1991" spans="1:10" hidden="1" x14ac:dyDescent="0.35">
      <c r="A1991" t="str">
        <f t="shared" si="31"/>
        <v>Catuji20211.1</v>
      </c>
      <c r="B1991">
        <v>3115458</v>
      </c>
      <c r="C1991" t="s">
        <v>44</v>
      </c>
      <c r="D1991">
        <v>2021</v>
      </c>
      <c r="E1991">
        <v>6</v>
      </c>
      <c r="F1991">
        <v>24</v>
      </c>
      <c r="G1991" t="s">
        <v>10</v>
      </c>
      <c r="H1991" t="s">
        <v>11</v>
      </c>
      <c r="I1991" s="1" t="s">
        <v>12</v>
      </c>
      <c r="J1991">
        <v>0.26500000000000001</v>
      </c>
    </row>
    <row r="1992" spans="1:10" hidden="1" x14ac:dyDescent="0.35">
      <c r="A1992" t="str">
        <f t="shared" si="31"/>
        <v>Catuji20211.2</v>
      </c>
      <c r="B1992">
        <v>3115458</v>
      </c>
      <c r="C1992" t="s">
        <v>44</v>
      </c>
      <c r="D1992">
        <v>2021</v>
      </c>
      <c r="E1992">
        <v>6</v>
      </c>
      <c r="F1992">
        <v>67</v>
      </c>
      <c r="G1992" t="s">
        <v>13</v>
      </c>
      <c r="H1992" t="s">
        <v>11</v>
      </c>
      <c r="I1992" s="1" t="s">
        <v>14</v>
      </c>
      <c r="J1992">
        <v>0.71760000000000002</v>
      </c>
    </row>
    <row r="1993" spans="1:10" hidden="1" x14ac:dyDescent="0.35">
      <c r="A1993" t="str">
        <f t="shared" si="31"/>
        <v>Catuji20211.3</v>
      </c>
      <c r="B1993">
        <v>3115458</v>
      </c>
      <c r="C1993" t="s">
        <v>44</v>
      </c>
      <c r="D1993">
        <v>2021</v>
      </c>
      <c r="E1993">
        <v>6</v>
      </c>
      <c r="F1993">
        <v>68</v>
      </c>
      <c r="G1993" t="s">
        <v>15</v>
      </c>
      <c r="H1993" t="s">
        <v>11</v>
      </c>
      <c r="I1993" s="1" t="s">
        <v>16</v>
      </c>
      <c r="J1993">
        <v>0.28239999999999998</v>
      </c>
    </row>
    <row r="1994" spans="1:10" hidden="1" x14ac:dyDescent="0.35">
      <c r="A1994" t="str">
        <f t="shared" si="31"/>
        <v>Catuji20212.1</v>
      </c>
      <c r="B1994">
        <v>3115458</v>
      </c>
      <c r="C1994" t="s">
        <v>44</v>
      </c>
      <c r="D1994">
        <v>2021</v>
      </c>
      <c r="E1994">
        <v>6</v>
      </c>
      <c r="F1994">
        <v>28</v>
      </c>
      <c r="G1994" t="s">
        <v>17</v>
      </c>
      <c r="H1994" t="s">
        <v>18</v>
      </c>
      <c r="I1994" s="1" t="s">
        <v>19</v>
      </c>
      <c r="J1994">
        <v>0.4425</v>
      </c>
    </row>
    <row r="1995" spans="1:10" hidden="1" x14ac:dyDescent="0.35">
      <c r="A1995" t="str">
        <f t="shared" si="31"/>
        <v>Catuji20212.2</v>
      </c>
      <c r="B1995">
        <v>3115458</v>
      </c>
      <c r="C1995" t="s">
        <v>44</v>
      </c>
      <c r="D1995">
        <v>2021</v>
      </c>
      <c r="E1995">
        <v>6</v>
      </c>
      <c r="F1995">
        <v>29</v>
      </c>
      <c r="G1995" t="s">
        <v>20</v>
      </c>
      <c r="H1995" t="s">
        <v>18</v>
      </c>
      <c r="I1995" s="1" t="s">
        <v>21</v>
      </c>
      <c r="J1995">
        <v>0.56230000000000002</v>
      </c>
    </row>
    <row r="1996" spans="1:10" hidden="1" x14ac:dyDescent="0.35">
      <c r="A1996" t="str">
        <f t="shared" si="31"/>
        <v>Catuji20212.4</v>
      </c>
      <c r="B1996">
        <v>3115458</v>
      </c>
      <c r="C1996" t="s">
        <v>44</v>
      </c>
      <c r="D1996">
        <v>2021</v>
      </c>
      <c r="E1996">
        <v>6</v>
      </c>
      <c r="F1996">
        <v>31</v>
      </c>
      <c r="G1996" t="s">
        <v>22</v>
      </c>
      <c r="H1996" t="s">
        <v>18</v>
      </c>
      <c r="I1996" s="1" t="s">
        <v>23</v>
      </c>
      <c r="J1996">
        <v>0.30459999999999998</v>
      </c>
    </row>
    <row r="1997" spans="1:10" hidden="1" x14ac:dyDescent="0.35">
      <c r="A1997" t="str">
        <f t="shared" si="31"/>
        <v>Catuji20212.5</v>
      </c>
      <c r="B1997">
        <v>3115458</v>
      </c>
      <c r="C1997" t="s">
        <v>44</v>
      </c>
      <c r="D1997">
        <v>2021</v>
      </c>
      <c r="E1997">
        <v>6</v>
      </c>
      <c r="F1997">
        <v>32</v>
      </c>
      <c r="G1997" t="s">
        <v>24</v>
      </c>
      <c r="H1997" t="s">
        <v>18</v>
      </c>
      <c r="I1997" s="1" t="s">
        <v>25</v>
      </c>
      <c r="J1997">
        <v>0.51180000000000003</v>
      </c>
    </row>
    <row r="1998" spans="1:10" hidden="1" x14ac:dyDescent="0.35">
      <c r="A1998" t="str">
        <f t="shared" si="31"/>
        <v>Catuji20212.8</v>
      </c>
      <c r="B1998">
        <v>3115458</v>
      </c>
      <c r="C1998" t="s">
        <v>44</v>
      </c>
      <c r="D1998">
        <v>2021</v>
      </c>
      <c r="E1998">
        <v>6</v>
      </c>
      <c r="F1998">
        <v>35</v>
      </c>
      <c r="G1998" t="s">
        <v>26</v>
      </c>
      <c r="H1998" t="s">
        <v>18</v>
      </c>
      <c r="I1998" s="1" t="s">
        <v>27</v>
      </c>
      <c r="J1998">
        <v>0.32440000000000002</v>
      </c>
    </row>
    <row r="1999" spans="1:10" hidden="1" x14ac:dyDescent="0.35">
      <c r="A1999" t="str">
        <f t="shared" si="31"/>
        <v>Catuji20214.1</v>
      </c>
      <c r="B1999">
        <v>3115458</v>
      </c>
      <c r="C1999" t="s">
        <v>44</v>
      </c>
      <c r="D1999">
        <v>2021</v>
      </c>
      <c r="E1999">
        <v>6</v>
      </c>
      <c r="F1999">
        <v>44</v>
      </c>
      <c r="G1999" t="s">
        <v>28</v>
      </c>
      <c r="H1999" t="s">
        <v>29</v>
      </c>
      <c r="I1999" s="1" t="s">
        <v>30</v>
      </c>
      <c r="J1999">
        <v>8971.7900000000009</v>
      </c>
    </row>
    <row r="2000" spans="1:10" hidden="1" x14ac:dyDescent="0.35">
      <c r="A2000" t="str">
        <f t="shared" si="31"/>
        <v>Catuji20214.10</v>
      </c>
      <c r="B2000">
        <v>3115458</v>
      </c>
      <c r="C2000" t="s">
        <v>44</v>
      </c>
      <c r="D2000">
        <v>2021</v>
      </c>
      <c r="E2000">
        <v>6</v>
      </c>
      <c r="F2000">
        <v>58</v>
      </c>
      <c r="G2000" t="s">
        <v>31</v>
      </c>
      <c r="H2000" t="s">
        <v>29</v>
      </c>
      <c r="I2000" s="1" t="s">
        <v>32</v>
      </c>
      <c r="J2000">
        <v>4586.17</v>
      </c>
    </row>
    <row r="2001" spans="1:10" hidden="1" x14ac:dyDescent="0.35">
      <c r="A2001" t="str">
        <f t="shared" si="31"/>
        <v>Catuji20214.11</v>
      </c>
      <c r="B2001">
        <v>3115458</v>
      </c>
      <c r="C2001" t="s">
        <v>44</v>
      </c>
      <c r="D2001">
        <v>2021</v>
      </c>
      <c r="E2001">
        <v>6</v>
      </c>
      <c r="F2001">
        <v>59</v>
      </c>
      <c r="G2001" t="s">
        <v>33</v>
      </c>
      <c r="H2001" t="s">
        <v>29</v>
      </c>
      <c r="I2001" s="1" t="s">
        <v>34</v>
      </c>
      <c r="J2001">
        <v>1170.9100000000001</v>
      </c>
    </row>
    <row r="2002" spans="1:10" hidden="1" x14ac:dyDescent="0.35">
      <c r="A2002" t="str">
        <f t="shared" si="31"/>
        <v>Catuji20214.2</v>
      </c>
      <c r="B2002">
        <v>3115458</v>
      </c>
      <c r="C2002" t="s">
        <v>44</v>
      </c>
      <c r="D2002">
        <v>2021</v>
      </c>
      <c r="E2002">
        <v>6</v>
      </c>
      <c r="F2002">
        <v>45</v>
      </c>
      <c r="G2002" t="s">
        <v>35</v>
      </c>
      <c r="H2002" t="s">
        <v>29</v>
      </c>
      <c r="I2002" s="1" t="s">
        <v>36</v>
      </c>
      <c r="J2002">
        <v>8014.89</v>
      </c>
    </row>
    <row r="2003" spans="1:10" hidden="1" x14ac:dyDescent="0.35">
      <c r="A2003" t="str">
        <f t="shared" si="31"/>
        <v>Catuji20214.8</v>
      </c>
      <c r="B2003">
        <v>3115458</v>
      </c>
      <c r="C2003" t="s">
        <v>44</v>
      </c>
      <c r="D2003">
        <v>2021</v>
      </c>
      <c r="E2003">
        <v>6</v>
      </c>
      <c r="F2003">
        <v>56</v>
      </c>
      <c r="G2003" t="s">
        <v>37</v>
      </c>
      <c r="H2003" t="s">
        <v>29</v>
      </c>
      <c r="I2003" s="1" t="s">
        <v>38</v>
      </c>
      <c r="J2003">
        <v>10223.450000000001</v>
      </c>
    </row>
    <row r="2004" spans="1:10" hidden="1" x14ac:dyDescent="0.35">
      <c r="A2004" t="str">
        <f t="shared" si="31"/>
        <v>Catuji20214.9</v>
      </c>
      <c r="B2004">
        <v>3115458</v>
      </c>
      <c r="C2004" t="s">
        <v>44</v>
      </c>
      <c r="D2004">
        <v>2021</v>
      </c>
      <c r="E2004">
        <v>6</v>
      </c>
      <c r="F2004">
        <v>57</v>
      </c>
      <c r="G2004" t="s">
        <v>39</v>
      </c>
      <c r="H2004" t="s">
        <v>29</v>
      </c>
      <c r="I2004" s="1" t="s">
        <v>40</v>
      </c>
      <c r="J2004">
        <v>10223.450000000001</v>
      </c>
    </row>
    <row r="2005" spans="1:10" hidden="1" x14ac:dyDescent="0.35">
      <c r="A2005" t="str">
        <f t="shared" si="31"/>
        <v>Crisólita20211.1</v>
      </c>
      <c r="B2005">
        <v>3120151</v>
      </c>
      <c r="C2005" t="s">
        <v>45</v>
      </c>
      <c r="D2005">
        <v>2021</v>
      </c>
      <c r="E2005">
        <v>6</v>
      </c>
      <c r="F2005">
        <v>24</v>
      </c>
      <c r="G2005" t="s">
        <v>10</v>
      </c>
      <c r="H2005" t="s">
        <v>11</v>
      </c>
      <c r="I2005" s="1" t="s">
        <v>12</v>
      </c>
      <c r="J2005">
        <v>0.25600000000000001</v>
      </c>
    </row>
    <row r="2006" spans="1:10" hidden="1" x14ac:dyDescent="0.35">
      <c r="A2006" t="str">
        <f t="shared" si="31"/>
        <v>Crisólita20211.2</v>
      </c>
      <c r="B2006">
        <v>3120151</v>
      </c>
      <c r="C2006" t="s">
        <v>45</v>
      </c>
      <c r="D2006">
        <v>2021</v>
      </c>
      <c r="E2006">
        <v>6</v>
      </c>
      <c r="F2006">
        <v>67</v>
      </c>
      <c r="G2006" t="s">
        <v>13</v>
      </c>
      <c r="H2006" t="s">
        <v>11</v>
      </c>
      <c r="I2006" s="1" t="s">
        <v>14</v>
      </c>
      <c r="J2006">
        <v>0.73550000000000004</v>
      </c>
    </row>
    <row r="2007" spans="1:10" hidden="1" x14ac:dyDescent="0.35">
      <c r="A2007" t="str">
        <f t="shared" si="31"/>
        <v>Crisólita20211.3</v>
      </c>
      <c r="B2007">
        <v>3120151</v>
      </c>
      <c r="C2007" t="s">
        <v>45</v>
      </c>
      <c r="D2007">
        <v>2021</v>
      </c>
      <c r="E2007">
        <v>6</v>
      </c>
      <c r="F2007">
        <v>68</v>
      </c>
      <c r="G2007" t="s">
        <v>15</v>
      </c>
      <c r="H2007" t="s">
        <v>11</v>
      </c>
      <c r="I2007" s="1" t="s">
        <v>16</v>
      </c>
      <c r="J2007">
        <v>0.2011</v>
      </c>
    </row>
    <row r="2008" spans="1:10" hidden="1" x14ac:dyDescent="0.35">
      <c r="A2008" t="str">
        <f t="shared" si="31"/>
        <v>Crisólita20212.1</v>
      </c>
      <c r="B2008">
        <v>3120151</v>
      </c>
      <c r="C2008" t="s">
        <v>45</v>
      </c>
      <c r="D2008">
        <v>2021</v>
      </c>
      <c r="E2008">
        <v>6</v>
      </c>
      <c r="F2008">
        <v>28</v>
      </c>
      <c r="G2008" t="s">
        <v>17</v>
      </c>
      <c r="H2008" t="s">
        <v>18</v>
      </c>
      <c r="I2008" s="1" t="s">
        <v>19</v>
      </c>
      <c r="J2008">
        <v>3.4000000000000002E-2</v>
      </c>
    </row>
    <row r="2009" spans="1:10" hidden="1" x14ac:dyDescent="0.35">
      <c r="A2009" t="str">
        <f t="shared" si="31"/>
        <v>Crisólita20212.2</v>
      </c>
      <c r="B2009">
        <v>3120151</v>
      </c>
      <c r="C2009" t="s">
        <v>45</v>
      </c>
      <c r="D2009">
        <v>2021</v>
      </c>
      <c r="E2009">
        <v>6</v>
      </c>
      <c r="F2009">
        <v>29</v>
      </c>
      <c r="G2009" t="s">
        <v>20</v>
      </c>
      <c r="H2009" t="s">
        <v>18</v>
      </c>
      <c r="I2009" s="1" t="s">
        <v>21</v>
      </c>
      <c r="J2009">
        <v>0.96930000000000005</v>
      </c>
    </row>
    <row r="2010" spans="1:10" hidden="1" x14ac:dyDescent="0.35">
      <c r="A2010" t="str">
        <f t="shared" si="31"/>
        <v>Crisólita20212.4</v>
      </c>
      <c r="B2010">
        <v>3120151</v>
      </c>
      <c r="C2010" t="s">
        <v>45</v>
      </c>
      <c r="D2010">
        <v>2021</v>
      </c>
      <c r="E2010">
        <v>6</v>
      </c>
      <c r="F2010">
        <v>31</v>
      </c>
      <c r="G2010" t="s">
        <v>22</v>
      </c>
      <c r="H2010" t="s">
        <v>18</v>
      </c>
      <c r="I2010" s="1" t="s">
        <v>23</v>
      </c>
      <c r="J2010">
        <v>8.3299999999999999E-2</v>
      </c>
    </row>
    <row r="2011" spans="1:10" hidden="1" x14ac:dyDescent="0.35">
      <c r="A2011" t="str">
        <f t="shared" si="31"/>
        <v>Crisólita20212.5</v>
      </c>
      <c r="B2011">
        <v>3120151</v>
      </c>
      <c r="C2011" t="s">
        <v>45</v>
      </c>
      <c r="D2011">
        <v>2021</v>
      </c>
      <c r="E2011">
        <v>6</v>
      </c>
      <c r="F2011">
        <v>32</v>
      </c>
      <c r="G2011" t="s">
        <v>24</v>
      </c>
      <c r="H2011" t="s">
        <v>18</v>
      </c>
      <c r="I2011" s="1" t="s">
        <v>25</v>
      </c>
      <c r="J2011">
        <v>0.82740000000000002</v>
      </c>
    </row>
    <row r="2012" spans="1:10" hidden="1" x14ac:dyDescent="0.35">
      <c r="A2012" t="str">
        <f t="shared" si="31"/>
        <v>Crisólita20212.8</v>
      </c>
      <c r="B2012">
        <v>3120151</v>
      </c>
      <c r="C2012" t="s">
        <v>45</v>
      </c>
      <c r="D2012">
        <v>2021</v>
      </c>
      <c r="E2012">
        <v>6</v>
      </c>
      <c r="F2012">
        <v>35</v>
      </c>
      <c r="G2012" t="s">
        <v>26</v>
      </c>
      <c r="H2012" t="s">
        <v>18</v>
      </c>
      <c r="I2012" s="1" t="s">
        <v>27</v>
      </c>
      <c r="J2012">
        <v>0.29730000000000001</v>
      </c>
    </row>
    <row r="2013" spans="1:10" hidden="1" x14ac:dyDescent="0.35">
      <c r="A2013" t="str">
        <f t="shared" si="31"/>
        <v>Crisólita20214.1</v>
      </c>
      <c r="B2013">
        <v>3120151</v>
      </c>
      <c r="C2013" t="s">
        <v>45</v>
      </c>
      <c r="D2013">
        <v>2021</v>
      </c>
      <c r="E2013">
        <v>6</v>
      </c>
      <c r="F2013">
        <v>44</v>
      </c>
      <c r="G2013" t="s">
        <v>28</v>
      </c>
      <c r="H2013" t="s">
        <v>29</v>
      </c>
      <c r="I2013" s="1" t="s">
        <v>30</v>
      </c>
      <c r="J2013">
        <v>2524.02</v>
      </c>
    </row>
    <row r="2014" spans="1:10" hidden="1" x14ac:dyDescent="0.35">
      <c r="A2014" t="str">
        <f t="shared" si="31"/>
        <v>Crisólita20214.10</v>
      </c>
      <c r="B2014">
        <v>3120151</v>
      </c>
      <c r="C2014" t="s">
        <v>45</v>
      </c>
      <c r="D2014">
        <v>2021</v>
      </c>
      <c r="E2014">
        <v>6</v>
      </c>
      <c r="F2014">
        <v>58</v>
      </c>
      <c r="G2014" t="s">
        <v>31</v>
      </c>
      <c r="H2014" t="s">
        <v>29</v>
      </c>
      <c r="I2014" s="1" t="s">
        <v>32</v>
      </c>
      <c r="J2014">
        <v>4654.4799999999996</v>
      </c>
    </row>
    <row r="2015" spans="1:10" hidden="1" x14ac:dyDescent="0.35">
      <c r="A2015" t="str">
        <f t="shared" si="31"/>
        <v>Crisólita20214.11</v>
      </c>
      <c r="B2015">
        <v>3120151</v>
      </c>
      <c r="C2015" t="s">
        <v>45</v>
      </c>
      <c r="D2015">
        <v>2021</v>
      </c>
      <c r="E2015">
        <v>6</v>
      </c>
      <c r="F2015">
        <v>59</v>
      </c>
      <c r="G2015" t="s">
        <v>33</v>
      </c>
      <c r="H2015" t="s">
        <v>29</v>
      </c>
      <c r="I2015" s="1" t="s">
        <v>34</v>
      </c>
      <c r="J2015">
        <v>1111.58</v>
      </c>
    </row>
    <row r="2016" spans="1:10" hidden="1" x14ac:dyDescent="0.35">
      <c r="A2016" t="str">
        <f t="shared" si="31"/>
        <v>Crisólita20214.2</v>
      </c>
      <c r="B2016">
        <v>3120151</v>
      </c>
      <c r="C2016" t="s">
        <v>45</v>
      </c>
      <c r="D2016">
        <v>2021</v>
      </c>
      <c r="E2016">
        <v>6</v>
      </c>
      <c r="F2016">
        <v>45</v>
      </c>
      <c r="G2016" t="s">
        <v>35</v>
      </c>
      <c r="H2016" t="s">
        <v>29</v>
      </c>
      <c r="I2016" s="1" t="s">
        <v>36</v>
      </c>
      <c r="J2016">
        <v>10162</v>
      </c>
    </row>
    <row r="2017" spans="1:10" hidden="1" x14ac:dyDescent="0.35">
      <c r="A2017" t="str">
        <f t="shared" si="31"/>
        <v>Crisólita20214.8</v>
      </c>
      <c r="B2017">
        <v>3120151</v>
      </c>
      <c r="C2017" t="s">
        <v>45</v>
      </c>
      <c r="D2017">
        <v>2021</v>
      </c>
      <c r="E2017">
        <v>6</v>
      </c>
      <c r="F2017">
        <v>56</v>
      </c>
      <c r="G2017" t="s">
        <v>37</v>
      </c>
      <c r="H2017" t="s">
        <v>29</v>
      </c>
      <c r="I2017" s="1" t="s">
        <v>38</v>
      </c>
      <c r="J2017">
        <v>8741.16</v>
      </c>
    </row>
    <row r="2018" spans="1:10" hidden="1" x14ac:dyDescent="0.35">
      <c r="A2018" t="str">
        <f t="shared" si="31"/>
        <v>Crisólita20214.9</v>
      </c>
      <c r="B2018">
        <v>3120151</v>
      </c>
      <c r="C2018" t="s">
        <v>45</v>
      </c>
      <c r="D2018">
        <v>2021</v>
      </c>
      <c r="E2018">
        <v>6</v>
      </c>
      <c r="F2018">
        <v>57</v>
      </c>
      <c r="G2018" t="s">
        <v>39</v>
      </c>
      <c r="H2018" t="s">
        <v>29</v>
      </c>
      <c r="I2018" s="1" t="s">
        <v>40</v>
      </c>
      <c r="J2018">
        <v>8741.16</v>
      </c>
    </row>
    <row r="2019" spans="1:10" hidden="1" x14ac:dyDescent="0.35">
      <c r="A2019" t="str">
        <f t="shared" si="31"/>
        <v>Franciscópolis20211.1</v>
      </c>
      <c r="B2019">
        <v>3126752</v>
      </c>
      <c r="C2019" t="s">
        <v>46</v>
      </c>
      <c r="D2019">
        <v>2021</v>
      </c>
      <c r="E2019">
        <v>6</v>
      </c>
      <c r="F2019">
        <v>24</v>
      </c>
      <c r="G2019" t="s">
        <v>10</v>
      </c>
      <c r="H2019" t="s">
        <v>11</v>
      </c>
      <c r="I2019" s="1" t="s">
        <v>12</v>
      </c>
      <c r="J2019">
        <v>0.25800000000000001</v>
      </c>
    </row>
    <row r="2020" spans="1:10" hidden="1" x14ac:dyDescent="0.35">
      <c r="A2020" t="str">
        <f t="shared" si="31"/>
        <v>Franciscópolis20211.2</v>
      </c>
      <c r="B2020">
        <v>3126752</v>
      </c>
      <c r="C2020" t="s">
        <v>46</v>
      </c>
      <c r="D2020">
        <v>2021</v>
      </c>
      <c r="E2020">
        <v>6</v>
      </c>
      <c r="F2020">
        <v>67</v>
      </c>
      <c r="G2020" t="s">
        <v>13</v>
      </c>
      <c r="H2020" t="s">
        <v>11</v>
      </c>
      <c r="I2020" s="1" t="s">
        <v>14</v>
      </c>
      <c r="J2020">
        <v>0.87909999999999999</v>
      </c>
    </row>
    <row r="2021" spans="1:10" hidden="1" x14ac:dyDescent="0.35">
      <c r="A2021" t="str">
        <f t="shared" si="31"/>
        <v>Franciscópolis20211.3</v>
      </c>
      <c r="B2021">
        <v>3126752</v>
      </c>
      <c r="C2021" t="s">
        <v>46</v>
      </c>
      <c r="D2021">
        <v>2021</v>
      </c>
      <c r="E2021">
        <v>6</v>
      </c>
      <c r="F2021">
        <v>68</v>
      </c>
      <c r="G2021" t="s">
        <v>15</v>
      </c>
      <c r="H2021" t="s">
        <v>11</v>
      </c>
      <c r="I2021" s="1" t="s">
        <v>16</v>
      </c>
      <c r="J2021">
        <v>0.1089</v>
      </c>
    </row>
    <row r="2022" spans="1:10" hidden="1" x14ac:dyDescent="0.35">
      <c r="A2022" t="str">
        <f t="shared" si="31"/>
        <v>Franciscópolis20212.1</v>
      </c>
      <c r="B2022">
        <v>3126752</v>
      </c>
      <c r="C2022" t="s">
        <v>46</v>
      </c>
      <c r="D2022">
        <v>2021</v>
      </c>
      <c r="E2022">
        <v>6</v>
      </c>
      <c r="F2022">
        <v>28</v>
      </c>
      <c r="G2022" t="s">
        <v>17</v>
      </c>
      <c r="H2022" t="s">
        <v>18</v>
      </c>
      <c r="I2022" s="1" t="s">
        <v>19</v>
      </c>
      <c r="J2022">
        <v>0.30349999999999999</v>
      </c>
    </row>
    <row r="2023" spans="1:10" hidden="1" x14ac:dyDescent="0.35">
      <c r="A2023" t="str">
        <f t="shared" si="31"/>
        <v>Franciscópolis20212.2</v>
      </c>
      <c r="B2023">
        <v>3126752</v>
      </c>
      <c r="C2023" t="s">
        <v>46</v>
      </c>
      <c r="D2023">
        <v>2021</v>
      </c>
      <c r="E2023">
        <v>6</v>
      </c>
      <c r="F2023">
        <v>29</v>
      </c>
      <c r="G2023" t="s">
        <v>20</v>
      </c>
      <c r="H2023" t="s">
        <v>18</v>
      </c>
      <c r="I2023" s="1" t="s">
        <v>21</v>
      </c>
      <c r="J2023">
        <v>0.6845</v>
      </c>
    </row>
    <row r="2024" spans="1:10" hidden="1" x14ac:dyDescent="0.35">
      <c r="A2024" t="str">
        <f t="shared" si="31"/>
        <v>Franciscópolis20212.4</v>
      </c>
      <c r="B2024">
        <v>3126752</v>
      </c>
      <c r="C2024" t="s">
        <v>46</v>
      </c>
      <c r="D2024">
        <v>2021</v>
      </c>
      <c r="E2024">
        <v>6</v>
      </c>
      <c r="F2024">
        <v>31</v>
      </c>
      <c r="G2024" t="s">
        <v>22</v>
      </c>
      <c r="H2024" t="s">
        <v>18</v>
      </c>
      <c r="I2024" s="1" t="s">
        <v>23</v>
      </c>
      <c r="J2024">
        <v>0.21079999999999999</v>
      </c>
    </row>
    <row r="2025" spans="1:10" hidden="1" x14ac:dyDescent="0.35">
      <c r="A2025" t="str">
        <f t="shared" si="31"/>
        <v>Franciscópolis20212.5</v>
      </c>
      <c r="B2025">
        <v>3126752</v>
      </c>
      <c r="C2025" t="s">
        <v>46</v>
      </c>
      <c r="D2025">
        <v>2021</v>
      </c>
      <c r="E2025">
        <v>6</v>
      </c>
      <c r="F2025">
        <v>32</v>
      </c>
      <c r="G2025" t="s">
        <v>24</v>
      </c>
      <c r="H2025" t="s">
        <v>18</v>
      </c>
      <c r="I2025" s="1" t="s">
        <v>25</v>
      </c>
      <c r="J2025">
        <v>0.68710000000000004</v>
      </c>
    </row>
    <row r="2026" spans="1:10" hidden="1" x14ac:dyDescent="0.35">
      <c r="A2026" t="str">
        <f t="shared" si="31"/>
        <v>Franciscópolis20212.8</v>
      </c>
      <c r="B2026">
        <v>3126752</v>
      </c>
      <c r="C2026" t="s">
        <v>46</v>
      </c>
      <c r="D2026">
        <v>2021</v>
      </c>
      <c r="E2026">
        <v>6</v>
      </c>
      <c r="F2026">
        <v>35</v>
      </c>
      <c r="G2026" t="s">
        <v>26</v>
      </c>
      <c r="H2026" t="s">
        <v>18</v>
      </c>
      <c r="I2026" s="1" t="s">
        <v>27</v>
      </c>
      <c r="J2026">
        <v>0.28029999999999999</v>
      </c>
    </row>
    <row r="2027" spans="1:10" hidden="1" x14ac:dyDescent="0.35">
      <c r="A2027" t="str">
        <f t="shared" si="31"/>
        <v>Franciscópolis20214.1</v>
      </c>
      <c r="B2027">
        <v>3126752</v>
      </c>
      <c r="C2027" t="s">
        <v>46</v>
      </c>
      <c r="D2027">
        <v>2021</v>
      </c>
      <c r="E2027">
        <v>6</v>
      </c>
      <c r="F2027">
        <v>44</v>
      </c>
      <c r="G2027" t="s">
        <v>28</v>
      </c>
      <c r="H2027" t="s">
        <v>29</v>
      </c>
      <c r="I2027" s="1" t="s">
        <v>30</v>
      </c>
      <c r="J2027">
        <v>5906.44</v>
      </c>
    </row>
    <row r="2028" spans="1:10" hidden="1" x14ac:dyDescent="0.35">
      <c r="A2028" t="str">
        <f t="shared" si="31"/>
        <v>Franciscópolis20214.10</v>
      </c>
      <c r="B2028">
        <v>3126752</v>
      </c>
      <c r="C2028" t="s">
        <v>46</v>
      </c>
      <c r="D2028">
        <v>2021</v>
      </c>
      <c r="E2028">
        <v>6</v>
      </c>
      <c r="F2028">
        <v>58</v>
      </c>
      <c r="G2028" t="s">
        <v>31</v>
      </c>
      <c r="H2028" t="s">
        <v>29</v>
      </c>
      <c r="I2028" s="1" t="s">
        <v>32</v>
      </c>
      <c r="J2028">
        <v>4140.46</v>
      </c>
    </row>
    <row r="2029" spans="1:10" hidden="1" x14ac:dyDescent="0.35">
      <c r="A2029" t="str">
        <f t="shared" si="31"/>
        <v>Franciscópolis20214.11</v>
      </c>
      <c r="B2029">
        <v>3126752</v>
      </c>
      <c r="C2029" t="s">
        <v>46</v>
      </c>
      <c r="D2029">
        <v>2021</v>
      </c>
      <c r="E2029">
        <v>6</v>
      </c>
      <c r="F2029">
        <v>59</v>
      </c>
      <c r="G2029" t="s">
        <v>33</v>
      </c>
      <c r="H2029" t="s">
        <v>29</v>
      </c>
      <c r="I2029" s="1" t="s">
        <v>34</v>
      </c>
      <c r="J2029">
        <v>386.73</v>
      </c>
    </row>
    <row r="2030" spans="1:10" hidden="1" x14ac:dyDescent="0.35">
      <c r="A2030" t="str">
        <f t="shared" si="31"/>
        <v>Franciscópolis20214.2</v>
      </c>
      <c r="B2030">
        <v>3126752</v>
      </c>
      <c r="C2030" t="s">
        <v>46</v>
      </c>
      <c r="D2030">
        <v>2021</v>
      </c>
      <c r="E2030">
        <v>6</v>
      </c>
      <c r="F2030">
        <v>45</v>
      </c>
      <c r="G2030" t="s">
        <v>35</v>
      </c>
      <c r="H2030" t="s">
        <v>29</v>
      </c>
      <c r="I2030" s="1" t="s">
        <v>36</v>
      </c>
      <c r="J2030">
        <v>11944.88</v>
      </c>
    </row>
    <row r="2031" spans="1:10" hidden="1" x14ac:dyDescent="0.35">
      <c r="A2031" t="str">
        <f t="shared" si="31"/>
        <v>Franciscópolis20214.8</v>
      </c>
      <c r="B2031">
        <v>3126752</v>
      </c>
      <c r="C2031" t="s">
        <v>46</v>
      </c>
      <c r="D2031">
        <v>2021</v>
      </c>
      <c r="E2031">
        <v>6</v>
      </c>
      <c r="F2031">
        <v>56</v>
      </c>
      <c r="G2031" t="s">
        <v>37</v>
      </c>
      <c r="H2031" t="s">
        <v>29</v>
      </c>
      <c r="I2031" s="1" t="s">
        <v>38</v>
      </c>
      <c r="J2031">
        <v>10288.48</v>
      </c>
    </row>
    <row r="2032" spans="1:10" hidden="1" x14ac:dyDescent="0.35">
      <c r="A2032" t="str">
        <f t="shared" si="31"/>
        <v>Franciscópolis20214.9</v>
      </c>
      <c r="B2032">
        <v>3126752</v>
      </c>
      <c r="C2032" t="s">
        <v>46</v>
      </c>
      <c r="D2032">
        <v>2021</v>
      </c>
      <c r="E2032">
        <v>6</v>
      </c>
      <c r="F2032">
        <v>57</v>
      </c>
      <c r="G2032" t="s">
        <v>39</v>
      </c>
      <c r="H2032" t="s">
        <v>29</v>
      </c>
      <c r="I2032" s="1" t="s">
        <v>40</v>
      </c>
      <c r="J2032">
        <v>10288.48</v>
      </c>
    </row>
    <row r="2033" spans="1:10" hidden="1" x14ac:dyDescent="0.35">
      <c r="A2033" t="str">
        <f t="shared" si="31"/>
        <v>Frei Gaspar20211.1</v>
      </c>
      <c r="B2033">
        <v>3126802</v>
      </c>
      <c r="C2033" t="s">
        <v>47</v>
      </c>
      <c r="D2033">
        <v>2021</v>
      </c>
      <c r="E2033">
        <v>6</v>
      </c>
      <c r="F2033">
        <v>24</v>
      </c>
      <c r="G2033" t="s">
        <v>10</v>
      </c>
      <c r="H2033" t="s">
        <v>11</v>
      </c>
      <c r="I2033" s="1" t="s">
        <v>12</v>
      </c>
      <c r="J2033">
        <v>0.2732</v>
      </c>
    </row>
    <row r="2034" spans="1:10" hidden="1" x14ac:dyDescent="0.35">
      <c r="A2034" t="str">
        <f t="shared" si="31"/>
        <v>Frei Gaspar20211.2</v>
      </c>
      <c r="B2034">
        <v>3126802</v>
      </c>
      <c r="C2034" t="s">
        <v>47</v>
      </c>
      <c r="D2034">
        <v>2021</v>
      </c>
      <c r="E2034">
        <v>6</v>
      </c>
      <c r="F2034">
        <v>67</v>
      </c>
      <c r="G2034" t="s">
        <v>13</v>
      </c>
      <c r="H2034" t="s">
        <v>11</v>
      </c>
      <c r="I2034" s="1" t="s">
        <v>14</v>
      </c>
      <c r="J2034">
        <v>0.72119999999999995</v>
      </c>
    </row>
    <row r="2035" spans="1:10" hidden="1" x14ac:dyDescent="0.35">
      <c r="A2035" t="str">
        <f t="shared" si="31"/>
        <v>Frei Gaspar20211.3</v>
      </c>
      <c r="B2035">
        <v>3126802</v>
      </c>
      <c r="C2035" t="s">
        <v>47</v>
      </c>
      <c r="D2035">
        <v>2021</v>
      </c>
      <c r="E2035">
        <v>6</v>
      </c>
      <c r="F2035">
        <v>68</v>
      </c>
      <c r="G2035" t="s">
        <v>15</v>
      </c>
      <c r="H2035" t="s">
        <v>11</v>
      </c>
      <c r="I2035" s="1" t="s">
        <v>16</v>
      </c>
      <c r="J2035">
        <v>0.26900000000000002</v>
      </c>
    </row>
    <row r="2036" spans="1:10" hidden="1" x14ac:dyDescent="0.35">
      <c r="A2036" t="str">
        <f t="shared" si="31"/>
        <v>Frei Gaspar20212.1</v>
      </c>
      <c r="B2036">
        <v>3126802</v>
      </c>
      <c r="C2036" t="s">
        <v>47</v>
      </c>
      <c r="D2036">
        <v>2021</v>
      </c>
      <c r="E2036">
        <v>6</v>
      </c>
      <c r="F2036">
        <v>28</v>
      </c>
      <c r="G2036" t="s">
        <v>17</v>
      </c>
      <c r="H2036" t="s">
        <v>18</v>
      </c>
      <c r="I2036" s="1" t="s">
        <v>19</v>
      </c>
      <c r="J2036">
        <v>1.38E-2</v>
      </c>
    </row>
    <row r="2037" spans="1:10" hidden="1" x14ac:dyDescent="0.35">
      <c r="A2037" t="str">
        <f t="shared" si="31"/>
        <v>Frei Gaspar20212.2</v>
      </c>
      <c r="B2037">
        <v>3126802</v>
      </c>
      <c r="C2037" t="s">
        <v>47</v>
      </c>
      <c r="D2037">
        <v>2021</v>
      </c>
      <c r="E2037">
        <v>6</v>
      </c>
      <c r="F2037">
        <v>29</v>
      </c>
      <c r="G2037" t="s">
        <v>20</v>
      </c>
      <c r="H2037" t="s">
        <v>18</v>
      </c>
      <c r="I2037" s="1" t="s">
        <v>21</v>
      </c>
      <c r="J2037">
        <v>0.97640000000000005</v>
      </c>
    </row>
    <row r="2038" spans="1:10" hidden="1" x14ac:dyDescent="0.35">
      <c r="A2038" t="str">
        <f t="shared" si="31"/>
        <v>Frei Gaspar20212.4</v>
      </c>
      <c r="B2038">
        <v>3126802</v>
      </c>
      <c r="C2038" t="s">
        <v>47</v>
      </c>
      <c r="D2038">
        <v>2021</v>
      </c>
      <c r="E2038">
        <v>6</v>
      </c>
      <c r="F2038">
        <v>31</v>
      </c>
      <c r="G2038" t="s">
        <v>22</v>
      </c>
      <c r="H2038" t="s">
        <v>18</v>
      </c>
      <c r="I2038" s="1" t="s">
        <v>23</v>
      </c>
      <c r="J2038">
        <v>5.4800000000000001E-2</v>
      </c>
    </row>
    <row r="2039" spans="1:10" hidden="1" x14ac:dyDescent="0.35">
      <c r="A2039" t="str">
        <f t="shared" si="31"/>
        <v>Frei Gaspar20212.5</v>
      </c>
      <c r="B2039">
        <v>3126802</v>
      </c>
      <c r="C2039" t="s">
        <v>47</v>
      </c>
      <c r="D2039">
        <v>2021</v>
      </c>
      <c r="E2039">
        <v>6</v>
      </c>
      <c r="F2039">
        <v>32</v>
      </c>
      <c r="G2039" t="s">
        <v>24</v>
      </c>
      <c r="H2039" t="s">
        <v>18</v>
      </c>
      <c r="I2039" s="1" t="s">
        <v>25</v>
      </c>
      <c r="J2039">
        <v>0.81879999999999997</v>
      </c>
    </row>
    <row r="2040" spans="1:10" hidden="1" x14ac:dyDescent="0.35">
      <c r="A2040" t="str">
        <f t="shared" si="31"/>
        <v>Frei Gaspar20212.8</v>
      </c>
      <c r="B2040">
        <v>3126802</v>
      </c>
      <c r="C2040" t="s">
        <v>47</v>
      </c>
      <c r="D2040">
        <v>2021</v>
      </c>
      <c r="E2040">
        <v>6</v>
      </c>
      <c r="F2040">
        <v>35</v>
      </c>
      <c r="G2040" t="s">
        <v>26</v>
      </c>
      <c r="H2040" t="s">
        <v>18</v>
      </c>
      <c r="I2040" s="1" t="s">
        <v>27</v>
      </c>
      <c r="J2040">
        <v>0.57709999999999995</v>
      </c>
    </row>
    <row r="2041" spans="1:10" hidden="1" x14ac:dyDescent="0.35">
      <c r="A2041" t="str">
        <f t="shared" si="31"/>
        <v>Frei Gaspar20214.1</v>
      </c>
      <c r="B2041">
        <v>3126802</v>
      </c>
      <c r="C2041" t="s">
        <v>47</v>
      </c>
      <c r="D2041">
        <v>2021</v>
      </c>
      <c r="E2041">
        <v>6</v>
      </c>
      <c r="F2041">
        <v>44</v>
      </c>
      <c r="G2041" t="s">
        <v>28</v>
      </c>
      <c r="H2041" t="s">
        <v>29</v>
      </c>
      <c r="I2041" s="1" t="s">
        <v>30</v>
      </c>
      <c r="J2041">
        <v>2108.7800000000002</v>
      </c>
    </row>
    <row r="2042" spans="1:10" hidden="1" x14ac:dyDescent="0.35">
      <c r="A2042" t="str">
        <f t="shared" si="31"/>
        <v>Frei Gaspar20214.10</v>
      </c>
      <c r="B2042">
        <v>3126802</v>
      </c>
      <c r="C2042" t="s">
        <v>47</v>
      </c>
      <c r="D2042">
        <v>2021</v>
      </c>
      <c r="E2042">
        <v>6</v>
      </c>
      <c r="F2042">
        <v>58</v>
      </c>
      <c r="G2042" t="s">
        <v>31</v>
      </c>
      <c r="H2042" t="s">
        <v>29</v>
      </c>
      <c r="I2042" s="1" t="s">
        <v>32</v>
      </c>
      <c r="J2042">
        <v>3350.71</v>
      </c>
    </row>
    <row r="2043" spans="1:10" hidden="1" x14ac:dyDescent="0.35">
      <c r="A2043" t="str">
        <f t="shared" si="31"/>
        <v>Frei Gaspar20214.11</v>
      </c>
      <c r="B2043">
        <v>3126802</v>
      </c>
      <c r="C2043" t="s">
        <v>47</v>
      </c>
      <c r="D2043">
        <v>2021</v>
      </c>
      <c r="E2043">
        <v>6</v>
      </c>
      <c r="F2043">
        <v>59</v>
      </c>
      <c r="G2043" t="s">
        <v>33</v>
      </c>
      <c r="H2043" t="s">
        <v>29</v>
      </c>
      <c r="I2043" s="1" t="s">
        <v>34</v>
      </c>
      <c r="J2043">
        <v>1584.12</v>
      </c>
    </row>
    <row r="2044" spans="1:10" hidden="1" x14ac:dyDescent="0.35">
      <c r="A2044" t="str">
        <f t="shared" si="31"/>
        <v>Frei Gaspar20214.2</v>
      </c>
      <c r="B2044">
        <v>3126802</v>
      </c>
      <c r="C2044" t="s">
        <v>47</v>
      </c>
      <c r="D2044">
        <v>2021</v>
      </c>
      <c r="E2044">
        <v>6</v>
      </c>
      <c r="F2044">
        <v>45</v>
      </c>
      <c r="G2044" t="s">
        <v>35</v>
      </c>
      <c r="H2044" t="s">
        <v>29</v>
      </c>
      <c r="I2044" s="1" t="s">
        <v>36</v>
      </c>
      <c r="J2044">
        <v>10502.55</v>
      </c>
    </row>
    <row r="2045" spans="1:10" hidden="1" x14ac:dyDescent="0.35">
      <c r="A2045" t="str">
        <f t="shared" si="31"/>
        <v>Frei Gaspar20214.8</v>
      </c>
      <c r="B2045">
        <v>3126802</v>
      </c>
      <c r="C2045" t="s">
        <v>47</v>
      </c>
      <c r="D2045">
        <v>2021</v>
      </c>
      <c r="E2045">
        <v>6</v>
      </c>
      <c r="F2045">
        <v>56</v>
      </c>
      <c r="G2045" t="s">
        <v>37</v>
      </c>
      <c r="H2045" t="s">
        <v>29</v>
      </c>
      <c r="I2045" s="1" t="s">
        <v>38</v>
      </c>
      <c r="J2045">
        <v>9619.8700000000008</v>
      </c>
    </row>
    <row r="2046" spans="1:10" hidden="1" x14ac:dyDescent="0.35">
      <c r="A2046" t="str">
        <f t="shared" si="31"/>
        <v>Frei Gaspar20214.9</v>
      </c>
      <c r="B2046">
        <v>3126802</v>
      </c>
      <c r="C2046" t="s">
        <v>47</v>
      </c>
      <c r="D2046">
        <v>2021</v>
      </c>
      <c r="E2046">
        <v>6</v>
      </c>
      <c r="F2046">
        <v>57</v>
      </c>
      <c r="G2046" t="s">
        <v>39</v>
      </c>
      <c r="H2046" t="s">
        <v>29</v>
      </c>
      <c r="I2046" s="1" t="s">
        <v>40</v>
      </c>
      <c r="J2046">
        <v>9619.8700000000008</v>
      </c>
    </row>
    <row r="2047" spans="1:10" hidden="1" x14ac:dyDescent="0.35">
      <c r="A2047" t="str">
        <f t="shared" si="31"/>
        <v>Fronteira dos Vales20211.1</v>
      </c>
      <c r="B2047">
        <v>3127057</v>
      </c>
      <c r="C2047" t="s">
        <v>48</v>
      </c>
      <c r="D2047">
        <v>2021</v>
      </c>
      <c r="E2047">
        <v>6</v>
      </c>
      <c r="F2047">
        <v>24</v>
      </c>
      <c r="G2047" t="s">
        <v>10</v>
      </c>
      <c r="H2047" t="s">
        <v>11</v>
      </c>
      <c r="I2047" s="1" t="s">
        <v>12</v>
      </c>
      <c r="J2047">
        <v>0.24660000000000001</v>
      </c>
    </row>
    <row r="2048" spans="1:10" hidden="1" x14ac:dyDescent="0.35">
      <c r="A2048" t="str">
        <f t="shared" si="31"/>
        <v>Fronteira dos Vales20211.2</v>
      </c>
      <c r="B2048">
        <v>3127057</v>
      </c>
      <c r="C2048" t="s">
        <v>48</v>
      </c>
      <c r="D2048">
        <v>2021</v>
      </c>
      <c r="E2048">
        <v>6</v>
      </c>
      <c r="F2048">
        <v>67</v>
      </c>
      <c r="G2048" t="s">
        <v>13</v>
      </c>
      <c r="H2048" t="s">
        <v>11</v>
      </c>
      <c r="I2048" s="1" t="s">
        <v>14</v>
      </c>
      <c r="J2048">
        <v>0.70799999999999996</v>
      </c>
    </row>
    <row r="2049" spans="1:10" hidden="1" x14ac:dyDescent="0.35">
      <c r="A2049" t="str">
        <f t="shared" si="31"/>
        <v>Fronteira dos Vales20211.3</v>
      </c>
      <c r="B2049">
        <v>3127057</v>
      </c>
      <c r="C2049" t="s">
        <v>48</v>
      </c>
      <c r="D2049">
        <v>2021</v>
      </c>
      <c r="E2049">
        <v>6</v>
      </c>
      <c r="F2049">
        <v>68</v>
      </c>
      <c r="G2049" t="s">
        <v>15</v>
      </c>
      <c r="H2049" t="s">
        <v>11</v>
      </c>
      <c r="I2049" s="1" t="s">
        <v>16</v>
      </c>
      <c r="J2049">
        <v>0.2621</v>
      </c>
    </row>
    <row r="2050" spans="1:10" hidden="1" x14ac:dyDescent="0.35">
      <c r="A2050" t="str">
        <f t="shared" si="31"/>
        <v>Fronteira dos Vales20212.1</v>
      </c>
      <c r="B2050">
        <v>3127057</v>
      </c>
      <c r="C2050" t="s">
        <v>48</v>
      </c>
      <c r="D2050">
        <v>2021</v>
      </c>
      <c r="E2050">
        <v>6</v>
      </c>
      <c r="F2050">
        <v>28</v>
      </c>
      <c r="G2050" t="s">
        <v>17</v>
      </c>
      <c r="H2050" t="s">
        <v>18</v>
      </c>
      <c r="I2050" s="1" t="s">
        <v>19</v>
      </c>
      <c r="J2050">
        <v>8.0100000000000005E-2</v>
      </c>
    </row>
    <row r="2051" spans="1:10" hidden="1" x14ac:dyDescent="0.35">
      <c r="A2051" t="str">
        <f t="shared" si="31"/>
        <v>Fronteira dos Vales20212.2</v>
      </c>
      <c r="B2051">
        <v>3127057</v>
      </c>
      <c r="C2051" t="s">
        <v>48</v>
      </c>
      <c r="D2051">
        <v>2021</v>
      </c>
      <c r="E2051">
        <v>6</v>
      </c>
      <c r="F2051">
        <v>29</v>
      </c>
      <c r="G2051" t="s">
        <v>20</v>
      </c>
      <c r="H2051" t="s">
        <v>18</v>
      </c>
      <c r="I2051" s="1" t="s">
        <v>21</v>
      </c>
      <c r="J2051">
        <v>0.89</v>
      </c>
    </row>
    <row r="2052" spans="1:10" hidden="1" x14ac:dyDescent="0.35">
      <c r="A2052" t="str">
        <f t="shared" ref="A2052:A2115" si="32">C2052&amp;D2052&amp;G2052</f>
        <v>Fronteira dos Vales20212.4</v>
      </c>
      <c r="B2052">
        <v>3127057</v>
      </c>
      <c r="C2052" t="s">
        <v>48</v>
      </c>
      <c r="D2052">
        <v>2021</v>
      </c>
      <c r="E2052">
        <v>6</v>
      </c>
      <c r="F2052">
        <v>31</v>
      </c>
      <c r="G2052" t="s">
        <v>22</v>
      </c>
      <c r="H2052" t="s">
        <v>18</v>
      </c>
      <c r="I2052" s="1" t="s">
        <v>23</v>
      </c>
      <c r="J2052">
        <v>5.3999999999999999E-2</v>
      </c>
    </row>
    <row r="2053" spans="1:10" hidden="1" x14ac:dyDescent="0.35">
      <c r="A2053" t="str">
        <f t="shared" si="32"/>
        <v>Fronteira dos Vales20212.5</v>
      </c>
      <c r="B2053">
        <v>3127057</v>
      </c>
      <c r="C2053" t="s">
        <v>48</v>
      </c>
      <c r="D2053">
        <v>2021</v>
      </c>
      <c r="E2053">
        <v>6</v>
      </c>
      <c r="F2053">
        <v>32</v>
      </c>
      <c r="G2053" t="s">
        <v>24</v>
      </c>
      <c r="H2053" t="s">
        <v>18</v>
      </c>
      <c r="I2053" s="1" t="s">
        <v>25</v>
      </c>
      <c r="J2053">
        <v>0.88070000000000004</v>
      </c>
    </row>
    <row r="2054" spans="1:10" hidden="1" x14ac:dyDescent="0.35">
      <c r="A2054" t="str">
        <f t="shared" si="32"/>
        <v>Fronteira dos Vales20212.8</v>
      </c>
      <c r="B2054">
        <v>3127057</v>
      </c>
      <c r="C2054" t="s">
        <v>48</v>
      </c>
      <c r="D2054">
        <v>2021</v>
      </c>
      <c r="E2054">
        <v>6</v>
      </c>
      <c r="F2054">
        <v>35</v>
      </c>
      <c r="G2054" t="s">
        <v>26</v>
      </c>
      <c r="H2054" t="s">
        <v>18</v>
      </c>
      <c r="I2054" s="1" t="s">
        <v>27</v>
      </c>
      <c r="J2054">
        <v>0.1724</v>
      </c>
    </row>
    <row r="2055" spans="1:10" hidden="1" x14ac:dyDescent="0.35">
      <c r="A2055" t="str">
        <f t="shared" si="32"/>
        <v>Fronteira dos Vales20214.1</v>
      </c>
      <c r="B2055">
        <v>3127057</v>
      </c>
      <c r="C2055" t="s">
        <v>48</v>
      </c>
      <c r="D2055">
        <v>2021</v>
      </c>
      <c r="E2055">
        <v>6</v>
      </c>
      <c r="F2055">
        <v>44</v>
      </c>
      <c r="G2055" t="s">
        <v>28</v>
      </c>
      <c r="H2055" t="s">
        <v>29</v>
      </c>
      <c r="I2055" s="1" t="s">
        <v>30</v>
      </c>
      <c r="J2055">
        <v>2707.02</v>
      </c>
    </row>
    <row r="2056" spans="1:10" hidden="1" x14ac:dyDescent="0.35">
      <c r="A2056" t="str">
        <f t="shared" si="32"/>
        <v>Fronteira dos Vales20214.10</v>
      </c>
      <c r="B2056">
        <v>3127057</v>
      </c>
      <c r="C2056" t="s">
        <v>48</v>
      </c>
      <c r="D2056">
        <v>2021</v>
      </c>
      <c r="E2056">
        <v>6</v>
      </c>
      <c r="F2056">
        <v>58</v>
      </c>
      <c r="G2056" t="s">
        <v>31</v>
      </c>
      <c r="H2056" t="s">
        <v>29</v>
      </c>
      <c r="I2056" s="1" t="s">
        <v>32</v>
      </c>
      <c r="J2056">
        <v>4226.45</v>
      </c>
    </row>
    <row r="2057" spans="1:10" hidden="1" x14ac:dyDescent="0.35">
      <c r="A2057" t="str">
        <f t="shared" si="32"/>
        <v>Fronteira dos Vales20214.11</v>
      </c>
      <c r="B2057">
        <v>3127057</v>
      </c>
      <c r="C2057" t="s">
        <v>48</v>
      </c>
      <c r="D2057">
        <v>2021</v>
      </c>
      <c r="E2057">
        <v>6</v>
      </c>
      <c r="F2057">
        <v>59</v>
      </c>
      <c r="G2057" t="s">
        <v>33</v>
      </c>
      <c r="H2057" t="s">
        <v>29</v>
      </c>
      <c r="I2057" s="1" t="s">
        <v>34</v>
      </c>
      <c r="J2057">
        <v>1563.02</v>
      </c>
    </row>
    <row r="2058" spans="1:10" hidden="1" x14ac:dyDescent="0.35">
      <c r="A2058" t="str">
        <f t="shared" si="32"/>
        <v>Fronteira dos Vales20214.2</v>
      </c>
      <c r="B2058">
        <v>3127057</v>
      </c>
      <c r="C2058" t="s">
        <v>48</v>
      </c>
      <c r="D2058">
        <v>2021</v>
      </c>
      <c r="E2058">
        <v>6</v>
      </c>
      <c r="F2058">
        <v>45</v>
      </c>
      <c r="G2058" t="s">
        <v>35</v>
      </c>
      <c r="H2058" t="s">
        <v>29</v>
      </c>
      <c r="I2058" s="1" t="s">
        <v>36</v>
      </c>
      <c r="J2058">
        <v>9693.81</v>
      </c>
    </row>
    <row r="2059" spans="1:10" hidden="1" x14ac:dyDescent="0.35">
      <c r="A2059" t="str">
        <f t="shared" si="32"/>
        <v>Fronteira dos Vales20214.8</v>
      </c>
      <c r="B2059">
        <v>3127057</v>
      </c>
      <c r="C2059" t="s">
        <v>48</v>
      </c>
      <c r="D2059">
        <v>2021</v>
      </c>
      <c r="E2059">
        <v>6</v>
      </c>
      <c r="F2059">
        <v>56</v>
      </c>
      <c r="G2059" t="s">
        <v>37</v>
      </c>
      <c r="H2059" t="s">
        <v>29</v>
      </c>
      <c r="I2059" s="1" t="s">
        <v>38</v>
      </c>
      <c r="J2059">
        <v>9025.91</v>
      </c>
    </row>
    <row r="2060" spans="1:10" hidden="1" x14ac:dyDescent="0.35">
      <c r="A2060" t="str">
        <f t="shared" si="32"/>
        <v>Fronteira dos Vales20214.9</v>
      </c>
      <c r="B2060">
        <v>3127057</v>
      </c>
      <c r="C2060" t="s">
        <v>48</v>
      </c>
      <c r="D2060">
        <v>2021</v>
      </c>
      <c r="E2060">
        <v>6</v>
      </c>
      <c r="F2060">
        <v>57</v>
      </c>
      <c r="G2060" t="s">
        <v>39</v>
      </c>
      <c r="H2060" t="s">
        <v>29</v>
      </c>
      <c r="I2060" s="1" t="s">
        <v>40</v>
      </c>
      <c r="J2060">
        <v>9025.91</v>
      </c>
    </row>
    <row r="2061" spans="1:10" hidden="1" x14ac:dyDescent="0.35">
      <c r="A2061" t="str">
        <f t="shared" si="32"/>
        <v>Itaipé20211.1</v>
      </c>
      <c r="B2061">
        <v>3132305</v>
      </c>
      <c r="C2061" t="s">
        <v>49</v>
      </c>
      <c r="D2061">
        <v>2021</v>
      </c>
      <c r="E2061">
        <v>6</v>
      </c>
      <c r="F2061">
        <v>24</v>
      </c>
      <c r="G2061" t="s">
        <v>10</v>
      </c>
      <c r="H2061" t="s">
        <v>11</v>
      </c>
      <c r="I2061" s="1" t="s">
        <v>12</v>
      </c>
      <c r="J2061">
        <v>0.24390000000000001</v>
      </c>
    </row>
    <row r="2062" spans="1:10" hidden="1" x14ac:dyDescent="0.35">
      <c r="A2062" t="str">
        <f t="shared" si="32"/>
        <v>Itaipé20211.2</v>
      </c>
      <c r="B2062">
        <v>3132305</v>
      </c>
      <c r="C2062" t="s">
        <v>49</v>
      </c>
      <c r="D2062">
        <v>2021</v>
      </c>
      <c r="E2062">
        <v>6</v>
      </c>
      <c r="F2062">
        <v>67</v>
      </c>
      <c r="G2062" t="s">
        <v>13</v>
      </c>
      <c r="H2062" t="s">
        <v>11</v>
      </c>
      <c r="I2062" s="1" t="s">
        <v>14</v>
      </c>
      <c r="J2062">
        <v>0.70320000000000005</v>
      </c>
    </row>
    <row r="2063" spans="1:10" hidden="1" x14ac:dyDescent="0.35">
      <c r="A2063" t="str">
        <f t="shared" si="32"/>
        <v>Itaipé20211.3</v>
      </c>
      <c r="B2063">
        <v>3132305</v>
      </c>
      <c r="C2063" t="s">
        <v>49</v>
      </c>
      <c r="D2063">
        <v>2021</v>
      </c>
      <c r="E2063">
        <v>6</v>
      </c>
      <c r="F2063">
        <v>68</v>
      </c>
      <c r="G2063" t="s">
        <v>15</v>
      </c>
      <c r="H2063" t="s">
        <v>11</v>
      </c>
      <c r="I2063" s="1" t="s">
        <v>16</v>
      </c>
      <c r="J2063">
        <v>0.28260000000000002</v>
      </c>
    </row>
    <row r="2064" spans="1:10" hidden="1" x14ac:dyDescent="0.35">
      <c r="A2064" t="str">
        <f t="shared" si="32"/>
        <v>Itaipé20212.1</v>
      </c>
      <c r="B2064">
        <v>3132305</v>
      </c>
      <c r="C2064" t="s">
        <v>49</v>
      </c>
      <c r="D2064">
        <v>2021</v>
      </c>
      <c r="E2064">
        <v>6</v>
      </c>
      <c r="F2064">
        <v>28</v>
      </c>
      <c r="G2064" t="s">
        <v>17</v>
      </c>
      <c r="H2064" t="s">
        <v>18</v>
      </c>
      <c r="I2064" s="1" t="s">
        <v>19</v>
      </c>
      <c r="J2064">
        <v>0.1719</v>
      </c>
    </row>
    <row r="2065" spans="1:10" hidden="1" x14ac:dyDescent="0.35">
      <c r="A2065" t="str">
        <f t="shared" si="32"/>
        <v>Itaipé20212.2</v>
      </c>
      <c r="B2065">
        <v>3132305</v>
      </c>
      <c r="C2065" t="s">
        <v>49</v>
      </c>
      <c r="D2065">
        <v>2021</v>
      </c>
      <c r="E2065">
        <v>6</v>
      </c>
      <c r="F2065">
        <v>29</v>
      </c>
      <c r="G2065" t="s">
        <v>20</v>
      </c>
      <c r="H2065" t="s">
        <v>18</v>
      </c>
      <c r="I2065" s="1" t="s">
        <v>21</v>
      </c>
      <c r="J2065">
        <v>0.81389999999999996</v>
      </c>
    </row>
    <row r="2066" spans="1:10" hidden="1" x14ac:dyDescent="0.35">
      <c r="A2066" t="str">
        <f t="shared" si="32"/>
        <v>Itaipé20212.4</v>
      </c>
      <c r="B2066">
        <v>3132305</v>
      </c>
      <c r="C2066" t="s">
        <v>49</v>
      </c>
      <c r="D2066">
        <v>2021</v>
      </c>
      <c r="E2066">
        <v>6</v>
      </c>
      <c r="F2066">
        <v>31</v>
      </c>
      <c r="G2066" t="s">
        <v>22</v>
      </c>
      <c r="H2066" t="s">
        <v>18</v>
      </c>
      <c r="I2066" s="1" t="s">
        <v>23</v>
      </c>
      <c r="J2066">
        <v>0.13009999999999999</v>
      </c>
    </row>
    <row r="2067" spans="1:10" hidden="1" x14ac:dyDescent="0.35">
      <c r="A2067" t="str">
        <f t="shared" si="32"/>
        <v>Itaipé20212.5</v>
      </c>
      <c r="B2067">
        <v>3132305</v>
      </c>
      <c r="C2067" t="s">
        <v>49</v>
      </c>
      <c r="D2067">
        <v>2021</v>
      </c>
      <c r="E2067">
        <v>6</v>
      </c>
      <c r="F2067">
        <v>32</v>
      </c>
      <c r="G2067" t="s">
        <v>24</v>
      </c>
      <c r="H2067" t="s">
        <v>18</v>
      </c>
      <c r="I2067" s="1" t="s">
        <v>25</v>
      </c>
      <c r="J2067">
        <v>0.72599999999999998</v>
      </c>
    </row>
    <row r="2068" spans="1:10" hidden="1" x14ac:dyDescent="0.35">
      <c r="A2068" t="str">
        <f t="shared" si="32"/>
        <v>Itaipé20212.8</v>
      </c>
      <c r="B2068">
        <v>3132305</v>
      </c>
      <c r="C2068" t="s">
        <v>49</v>
      </c>
      <c r="D2068">
        <v>2021</v>
      </c>
      <c r="E2068">
        <v>6</v>
      </c>
      <c r="F2068">
        <v>35</v>
      </c>
      <c r="G2068" t="s">
        <v>26</v>
      </c>
      <c r="H2068" t="s">
        <v>18</v>
      </c>
      <c r="I2068" s="1" t="s">
        <v>27</v>
      </c>
      <c r="J2068">
        <v>0.5101</v>
      </c>
    </row>
    <row r="2069" spans="1:10" hidden="1" x14ac:dyDescent="0.35">
      <c r="A2069" t="str">
        <f t="shared" si="32"/>
        <v>Itaipé20214.1</v>
      </c>
      <c r="B2069">
        <v>3132305</v>
      </c>
      <c r="C2069" t="s">
        <v>49</v>
      </c>
      <c r="D2069">
        <v>2021</v>
      </c>
      <c r="E2069">
        <v>6</v>
      </c>
      <c r="F2069">
        <v>44</v>
      </c>
      <c r="G2069" t="s">
        <v>28</v>
      </c>
      <c r="H2069" t="s">
        <v>29</v>
      </c>
      <c r="I2069" s="1" t="s">
        <v>30</v>
      </c>
      <c r="J2069">
        <v>3661.61</v>
      </c>
    </row>
    <row r="2070" spans="1:10" hidden="1" x14ac:dyDescent="0.35">
      <c r="A2070" t="str">
        <f t="shared" si="32"/>
        <v>Itaipé20214.10</v>
      </c>
      <c r="B2070">
        <v>3132305</v>
      </c>
      <c r="C2070" t="s">
        <v>49</v>
      </c>
      <c r="D2070">
        <v>2021</v>
      </c>
      <c r="E2070">
        <v>6</v>
      </c>
      <c r="F2070">
        <v>58</v>
      </c>
      <c r="G2070" t="s">
        <v>31</v>
      </c>
      <c r="H2070" t="s">
        <v>29</v>
      </c>
      <c r="I2070" s="1" t="s">
        <v>32</v>
      </c>
      <c r="J2070">
        <v>4133.25</v>
      </c>
    </row>
    <row r="2071" spans="1:10" hidden="1" x14ac:dyDescent="0.35">
      <c r="A2071" t="str">
        <f t="shared" si="32"/>
        <v>Itaipé20214.11</v>
      </c>
      <c r="B2071">
        <v>3132305</v>
      </c>
      <c r="C2071" t="s">
        <v>49</v>
      </c>
      <c r="D2071">
        <v>2021</v>
      </c>
      <c r="E2071">
        <v>6</v>
      </c>
      <c r="F2071">
        <v>59</v>
      </c>
      <c r="G2071" t="s">
        <v>33</v>
      </c>
      <c r="H2071" t="s">
        <v>29</v>
      </c>
      <c r="I2071" s="1" t="s">
        <v>34</v>
      </c>
      <c r="J2071">
        <v>1471.44</v>
      </c>
    </row>
    <row r="2072" spans="1:10" hidden="1" x14ac:dyDescent="0.35">
      <c r="A2072" t="str">
        <f t="shared" si="32"/>
        <v>Itaipé20214.2</v>
      </c>
      <c r="B2072">
        <v>3132305</v>
      </c>
      <c r="C2072" t="s">
        <v>49</v>
      </c>
      <c r="D2072">
        <v>2021</v>
      </c>
      <c r="E2072">
        <v>6</v>
      </c>
      <c r="F2072">
        <v>45</v>
      </c>
      <c r="G2072" t="s">
        <v>35</v>
      </c>
      <c r="H2072" t="s">
        <v>29</v>
      </c>
      <c r="I2072" s="1" t="s">
        <v>36</v>
      </c>
      <c r="J2072">
        <v>8650.65</v>
      </c>
    </row>
    <row r="2073" spans="1:10" hidden="1" x14ac:dyDescent="0.35">
      <c r="A2073" t="str">
        <f t="shared" si="32"/>
        <v>Itaipé20214.8</v>
      </c>
      <c r="B2073">
        <v>3132305</v>
      </c>
      <c r="C2073" t="s">
        <v>49</v>
      </c>
      <c r="D2073">
        <v>2021</v>
      </c>
      <c r="E2073">
        <v>6</v>
      </c>
      <c r="F2073">
        <v>56</v>
      </c>
      <c r="G2073" t="s">
        <v>37</v>
      </c>
      <c r="H2073" t="s">
        <v>29</v>
      </c>
      <c r="I2073" s="1" t="s">
        <v>38</v>
      </c>
      <c r="J2073">
        <v>7763.01</v>
      </c>
    </row>
    <row r="2074" spans="1:10" hidden="1" x14ac:dyDescent="0.35">
      <c r="A2074" t="str">
        <f t="shared" si="32"/>
        <v>Itaipé20214.9</v>
      </c>
      <c r="B2074">
        <v>3132305</v>
      </c>
      <c r="C2074" t="s">
        <v>49</v>
      </c>
      <c r="D2074">
        <v>2021</v>
      </c>
      <c r="E2074">
        <v>6</v>
      </c>
      <c r="F2074">
        <v>57</v>
      </c>
      <c r="G2074" t="s">
        <v>39</v>
      </c>
      <c r="H2074" t="s">
        <v>29</v>
      </c>
      <c r="I2074" s="1" t="s">
        <v>40</v>
      </c>
      <c r="J2074">
        <v>7763.01</v>
      </c>
    </row>
    <row r="2075" spans="1:10" hidden="1" x14ac:dyDescent="0.35">
      <c r="A2075" t="str">
        <f t="shared" si="32"/>
        <v>Ladainha20211.1</v>
      </c>
      <c r="B2075">
        <v>3137007</v>
      </c>
      <c r="C2075" t="s">
        <v>50</v>
      </c>
      <c r="D2075">
        <v>2021</v>
      </c>
      <c r="E2075">
        <v>6</v>
      </c>
      <c r="F2075">
        <v>24</v>
      </c>
      <c r="G2075" t="s">
        <v>10</v>
      </c>
      <c r="H2075" t="s">
        <v>11</v>
      </c>
      <c r="I2075" s="1" t="s">
        <v>12</v>
      </c>
      <c r="J2075">
        <v>0.2676</v>
      </c>
    </row>
    <row r="2076" spans="1:10" hidden="1" x14ac:dyDescent="0.35">
      <c r="A2076" t="str">
        <f t="shared" si="32"/>
        <v>Ladainha20211.2</v>
      </c>
      <c r="B2076">
        <v>3137007</v>
      </c>
      <c r="C2076" t="s">
        <v>50</v>
      </c>
      <c r="D2076">
        <v>2021</v>
      </c>
      <c r="E2076">
        <v>6</v>
      </c>
      <c r="F2076">
        <v>67</v>
      </c>
      <c r="G2076" t="s">
        <v>13</v>
      </c>
      <c r="H2076" t="s">
        <v>11</v>
      </c>
      <c r="I2076" s="1" t="s">
        <v>14</v>
      </c>
      <c r="J2076">
        <v>0.81030000000000002</v>
      </c>
    </row>
    <row r="2077" spans="1:10" hidden="1" x14ac:dyDescent="0.35">
      <c r="A2077" t="str">
        <f t="shared" si="32"/>
        <v>Ladainha20211.3</v>
      </c>
      <c r="B2077">
        <v>3137007</v>
      </c>
      <c r="C2077" t="s">
        <v>50</v>
      </c>
      <c r="D2077">
        <v>2021</v>
      </c>
      <c r="E2077">
        <v>6</v>
      </c>
      <c r="F2077">
        <v>68</v>
      </c>
      <c r="G2077" t="s">
        <v>15</v>
      </c>
      <c r="H2077" t="s">
        <v>11</v>
      </c>
      <c r="I2077" s="1" t="s">
        <v>16</v>
      </c>
      <c r="J2077">
        <v>0.14299999999999999</v>
      </c>
    </row>
    <row r="2078" spans="1:10" hidden="1" x14ac:dyDescent="0.35">
      <c r="A2078" t="str">
        <f t="shared" si="32"/>
        <v>Ladainha20212.1</v>
      </c>
      <c r="B2078">
        <v>3137007</v>
      </c>
      <c r="C2078" t="s">
        <v>50</v>
      </c>
      <c r="D2078">
        <v>2021</v>
      </c>
      <c r="E2078">
        <v>6</v>
      </c>
      <c r="F2078">
        <v>28</v>
      </c>
      <c r="G2078" t="s">
        <v>17</v>
      </c>
      <c r="H2078" t="s">
        <v>18</v>
      </c>
      <c r="I2078" s="1" t="s">
        <v>19</v>
      </c>
      <c r="J2078">
        <v>0.15329999999999999</v>
      </c>
    </row>
    <row r="2079" spans="1:10" hidden="1" x14ac:dyDescent="0.35">
      <c r="A2079" t="str">
        <f t="shared" si="32"/>
        <v>Ladainha20212.2</v>
      </c>
      <c r="B2079">
        <v>3137007</v>
      </c>
      <c r="C2079" t="s">
        <v>50</v>
      </c>
      <c r="D2079">
        <v>2021</v>
      </c>
      <c r="E2079">
        <v>6</v>
      </c>
      <c r="F2079">
        <v>29</v>
      </c>
      <c r="G2079" t="s">
        <v>20</v>
      </c>
      <c r="H2079" t="s">
        <v>18</v>
      </c>
      <c r="I2079" s="1" t="s">
        <v>21</v>
      </c>
      <c r="J2079">
        <v>0.8</v>
      </c>
    </row>
    <row r="2080" spans="1:10" hidden="1" x14ac:dyDescent="0.35">
      <c r="A2080" t="str">
        <f t="shared" si="32"/>
        <v>Ladainha20212.4</v>
      </c>
      <c r="B2080">
        <v>3137007</v>
      </c>
      <c r="C2080" t="s">
        <v>50</v>
      </c>
      <c r="D2080">
        <v>2021</v>
      </c>
      <c r="E2080">
        <v>6</v>
      </c>
      <c r="F2080">
        <v>31</v>
      </c>
      <c r="G2080" t="s">
        <v>22</v>
      </c>
      <c r="H2080" t="s">
        <v>18</v>
      </c>
      <c r="I2080" s="1" t="s">
        <v>23</v>
      </c>
      <c r="J2080">
        <v>0.1633</v>
      </c>
    </row>
    <row r="2081" spans="1:10" hidden="1" x14ac:dyDescent="0.35">
      <c r="A2081" t="str">
        <f t="shared" si="32"/>
        <v>Ladainha20212.5</v>
      </c>
      <c r="B2081">
        <v>3137007</v>
      </c>
      <c r="C2081" t="s">
        <v>50</v>
      </c>
      <c r="D2081">
        <v>2021</v>
      </c>
      <c r="E2081">
        <v>6</v>
      </c>
      <c r="F2081">
        <v>32</v>
      </c>
      <c r="G2081" t="s">
        <v>24</v>
      </c>
      <c r="H2081" t="s">
        <v>18</v>
      </c>
      <c r="I2081" s="1" t="s">
        <v>25</v>
      </c>
      <c r="J2081">
        <v>0.76749999999999996</v>
      </c>
    </row>
    <row r="2082" spans="1:10" hidden="1" x14ac:dyDescent="0.35">
      <c r="A2082" t="str">
        <f t="shared" si="32"/>
        <v>Ladainha20212.8</v>
      </c>
      <c r="B2082">
        <v>3137007</v>
      </c>
      <c r="C2082" t="s">
        <v>50</v>
      </c>
      <c r="D2082">
        <v>2021</v>
      </c>
      <c r="E2082">
        <v>6</v>
      </c>
      <c r="F2082">
        <v>35</v>
      </c>
      <c r="G2082" t="s">
        <v>26</v>
      </c>
      <c r="H2082" t="s">
        <v>18</v>
      </c>
      <c r="I2082" s="1" t="s">
        <v>27</v>
      </c>
      <c r="J2082">
        <v>0.45879999999999999</v>
      </c>
    </row>
    <row r="2083" spans="1:10" hidden="1" x14ac:dyDescent="0.35">
      <c r="A2083" t="str">
        <f t="shared" si="32"/>
        <v>Ladainha20214.1</v>
      </c>
      <c r="B2083">
        <v>3137007</v>
      </c>
      <c r="C2083" t="s">
        <v>50</v>
      </c>
      <c r="D2083">
        <v>2021</v>
      </c>
      <c r="E2083">
        <v>6</v>
      </c>
      <c r="F2083">
        <v>44</v>
      </c>
      <c r="G2083" t="s">
        <v>28</v>
      </c>
      <c r="H2083" t="s">
        <v>29</v>
      </c>
      <c r="I2083" s="1" t="s">
        <v>30</v>
      </c>
      <c r="J2083">
        <v>4083.29</v>
      </c>
    </row>
    <row r="2084" spans="1:10" hidden="1" x14ac:dyDescent="0.35">
      <c r="A2084" t="str">
        <f t="shared" si="32"/>
        <v>Ladainha20214.10</v>
      </c>
      <c r="B2084">
        <v>3137007</v>
      </c>
      <c r="C2084" t="s">
        <v>50</v>
      </c>
      <c r="D2084">
        <v>2021</v>
      </c>
      <c r="E2084">
        <v>6</v>
      </c>
      <c r="F2084">
        <v>58</v>
      </c>
      <c r="G2084" t="s">
        <v>31</v>
      </c>
      <c r="H2084" t="s">
        <v>29</v>
      </c>
      <c r="I2084" s="1" t="s">
        <v>32</v>
      </c>
      <c r="J2084">
        <v>5185.3500000000004</v>
      </c>
    </row>
    <row r="2085" spans="1:10" hidden="1" x14ac:dyDescent="0.35">
      <c r="A2085" t="str">
        <f t="shared" si="32"/>
        <v>Ladainha20214.11</v>
      </c>
      <c r="B2085">
        <v>3137007</v>
      </c>
      <c r="C2085" t="s">
        <v>50</v>
      </c>
      <c r="D2085">
        <v>2021</v>
      </c>
      <c r="E2085">
        <v>6</v>
      </c>
      <c r="F2085">
        <v>59</v>
      </c>
      <c r="G2085" t="s">
        <v>33</v>
      </c>
      <c r="H2085" t="s">
        <v>29</v>
      </c>
      <c r="I2085" s="1" t="s">
        <v>34</v>
      </c>
      <c r="J2085">
        <v>915.22</v>
      </c>
    </row>
    <row r="2086" spans="1:10" hidden="1" x14ac:dyDescent="0.35">
      <c r="A2086" t="str">
        <f t="shared" si="32"/>
        <v>Ladainha20214.2</v>
      </c>
      <c r="B2086">
        <v>3137007</v>
      </c>
      <c r="C2086" t="s">
        <v>50</v>
      </c>
      <c r="D2086">
        <v>2021</v>
      </c>
      <c r="E2086">
        <v>6</v>
      </c>
      <c r="F2086">
        <v>45</v>
      </c>
      <c r="G2086" t="s">
        <v>35</v>
      </c>
      <c r="H2086" t="s">
        <v>29</v>
      </c>
      <c r="I2086" s="1" t="s">
        <v>36</v>
      </c>
      <c r="J2086">
        <v>12221.95</v>
      </c>
    </row>
    <row r="2087" spans="1:10" hidden="1" x14ac:dyDescent="0.35">
      <c r="A2087" t="str">
        <f t="shared" si="32"/>
        <v>Ladainha20214.8</v>
      </c>
      <c r="B2087">
        <v>3137007</v>
      </c>
      <c r="C2087" t="s">
        <v>50</v>
      </c>
      <c r="D2087">
        <v>2021</v>
      </c>
      <c r="E2087">
        <v>6</v>
      </c>
      <c r="F2087">
        <v>56</v>
      </c>
      <c r="G2087" t="s">
        <v>37</v>
      </c>
      <c r="H2087" t="s">
        <v>29</v>
      </c>
      <c r="I2087" s="1" t="s">
        <v>38</v>
      </c>
      <c r="J2087">
        <v>9727.91</v>
      </c>
    </row>
    <row r="2088" spans="1:10" hidden="1" x14ac:dyDescent="0.35">
      <c r="A2088" t="str">
        <f t="shared" si="32"/>
        <v>Ladainha20214.9</v>
      </c>
      <c r="B2088">
        <v>3137007</v>
      </c>
      <c r="C2088" t="s">
        <v>50</v>
      </c>
      <c r="D2088">
        <v>2021</v>
      </c>
      <c r="E2088">
        <v>6</v>
      </c>
      <c r="F2088">
        <v>57</v>
      </c>
      <c r="G2088" t="s">
        <v>39</v>
      </c>
      <c r="H2088" t="s">
        <v>29</v>
      </c>
      <c r="I2088" s="1" t="s">
        <v>40</v>
      </c>
      <c r="J2088">
        <v>9727.91</v>
      </c>
    </row>
    <row r="2089" spans="1:10" hidden="1" x14ac:dyDescent="0.35">
      <c r="A2089" t="str">
        <f t="shared" si="32"/>
        <v>Machacalis20211.1</v>
      </c>
      <c r="B2089">
        <v>3138906</v>
      </c>
      <c r="C2089" t="s">
        <v>51</v>
      </c>
      <c r="D2089">
        <v>2021</v>
      </c>
      <c r="E2089">
        <v>6</v>
      </c>
      <c r="F2089">
        <v>24</v>
      </c>
      <c r="G2089" t="s">
        <v>10</v>
      </c>
      <c r="H2089" t="s">
        <v>11</v>
      </c>
      <c r="I2089" s="1" t="s">
        <v>12</v>
      </c>
      <c r="J2089">
        <v>0.22090000000000001</v>
      </c>
    </row>
    <row r="2090" spans="1:10" hidden="1" x14ac:dyDescent="0.35">
      <c r="A2090" t="str">
        <f t="shared" si="32"/>
        <v>Machacalis20211.2</v>
      </c>
      <c r="B2090">
        <v>3138906</v>
      </c>
      <c r="C2090" t="s">
        <v>51</v>
      </c>
      <c r="D2090">
        <v>2021</v>
      </c>
      <c r="E2090">
        <v>6</v>
      </c>
      <c r="F2090">
        <v>67</v>
      </c>
      <c r="G2090" t="s">
        <v>13</v>
      </c>
      <c r="H2090" t="s">
        <v>11</v>
      </c>
      <c r="I2090" s="1" t="s">
        <v>14</v>
      </c>
      <c r="J2090">
        <v>0.71140000000000003</v>
      </c>
    </row>
    <row r="2091" spans="1:10" hidden="1" x14ac:dyDescent="0.35">
      <c r="A2091" t="str">
        <f t="shared" si="32"/>
        <v>Machacalis20211.3</v>
      </c>
      <c r="B2091">
        <v>3138906</v>
      </c>
      <c r="C2091" t="s">
        <v>51</v>
      </c>
      <c r="D2091">
        <v>2021</v>
      </c>
      <c r="E2091">
        <v>6</v>
      </c>
      <c r="F2091">
        <v>68</v>
      </c>
      <c r="G2091" t="s">
        <v>15</v>
      </c>
      <c r="H2091" t="s">
        <v>11</v>
      </c>
      <c r="I2091" s="1" t="s">
        <v>16</v>
      </c>
      <c r="J2091">
        <v>0.25119999999999998</v>
      </c>
    </row>
    <row r="2092" spans="1:10" hidden="1" x14ac:dyDescent="0.35">
      <c r="A2092" t="str">
        <f t="shared" si="32"/>
        <v>Machacalis20212.1</v>
      </c>
      <c r="B2092">
        <v>3138906</v>
      </c>
      <c r="C2092" t="s">
        <v>51</v>
      </c>
      <c r="D2092">
        <v>2021</v>
      </c>
      <c r="E2092">
        <v>6</v>
      </c>
      <c r="F2092">
        <v>28</v>
      </c>
      <c r="G2092" t="s">
        <v>17</v>
      </c>
      <c r="H2092" t="s">
        <v>18</v>
      </c>
      <c r="I2092" s="1" t="s">
        <v>19</v>
      </c>
      <c r="J2092">
        <v>0.13070000000000001</v>
      </c>
    </row>
    <row r="2093" spans="1:10" hidden="1" x14ac:dyDescent="0.35">
      <c r="A2093" t="str">
        <f t="shared" si="32"/>
        <v>Machacalis20212.2</v>
      </c>
      <c r="B2093">
        <v>3138906</v>
      </c>
      <c r="C2093" t="s">
        <v>51</v>
      </c>
      <c r="D2093">
        <v>2021</v>
      </c>
      <c r="E2093">
        <v>6</v>
      </c>
      <c r="F2093">
        <v>29</v>
      </c>
      <c r="G2093" t="s">
        <v>20</v>
      </c>
      <c r="H2093" t="s">
        <v>18</v>
      </c>
      <c r="I2093" s="1" t="s">
        <v>21</v>
      </c>
      <c r="J2093">
        <v>0.83189999999999997</v>
      </c>
    </row>
    <row r="2094" spans="1:10" hidden="1" x14ac:dyDescent="0.35">
      <c r="A2094" t="str">
        <f t="shared" si="32"/>
        <v>Machacalis20212.4</v>
      </c>
      <c r="B2094">
        <v>3138906</v>
      </c>
      <c r="C2094" t="s">
        <v>51</v>
      </c>
      <c r="D2094">
        <v>2021</v>
      </c>
      <c r="E2094">
        <v>6</v>
      </c>
      <c r="F2094">
        <v>31</v>
      </c>
      <c r="G2094" t="s">
        <v>22</v>
      </c>
      <c r="H2094" t="s">
        <v>18</v>
      </c>
      <c r="I2094" s="1" t="s">
        <v>23</v>
      </c>
      <c r="J2094">
        <v>9.5600000000000004E-2</v>
      </c>
    </row>
    <row r="2095" spans="1:10" hidden="1" x14ac:dyDescent="0.35">
      <c r="A2095" t="str">
        <f t="shared" si="32"/>
        <v>Machacalis20212.5</v>
      </c>
      <c r="B2095">
        <v>3138906</v>
      </c>
      <c r="C2095" t="s">
        <v>51</v>
      </c>
      <c r="D2095">
        <v>2021</v>
      </c>
      <c r="E2095">
        <v>6</v>
      </c>
      <c r="F2095">
        <v>32</v>
      </c>
      <c r="G2095" t="s">
        <v>24</v>
      </c>
      <c r="H2095" t="s">
        <v>18</v>
      </c>
      <c r="I2095" s="1" t="s">
        <v>25</v>
      </c>
      <c r="J2095">
        <v>0.8014</v>
      </c>
    </row>
    <row r="2096" spans="1:10" hidden="1" x14ac:dyDescent="0.35">
      <c r="A2096" t="str">
        <f t="shared" si="32"/>
        <v>Machacalis20212.8</v>
      </c>
      <c r="B2096">
        <v>3138906</v>
      </c>
      <c r="C2096" t="s">
        <v>51</v>
      </c>
      <c r="D2096">
        <v>2021</v>
      </c>
      <c r="E2096">
        <v>6</v>
      </c>
      <c r="F2096">
        <v>35</v>
      </c>
      <c r="G2096" t="s">
        <v>26</v>
      </c>
      <c r="H2096" t="s">
        <v>18</v>
      </c>
      <c r="I2096" s="1" t="s">
        <v>27</v>
      </c>
      <c r="J2096">
        <v>0.1797</v>
      </c>
    </row>
    <row r="2097" spans="1:10" hidden="1" x14ac:dyDescent="0.35">
      <c r="A2097" t="str">
        <f t="shared" si="32"/>
        <v>Machacalis20214.1</v>
      </c>
      <c r="B2097">
        <v>3138906</v>
      </c>
      <c r="C2097" t="s">
        <v>51</v>
      </c>
      <c r="D2097">
        <v>2021</v>
      </c>
      <c r="E2097">
        <v>6</v>
      </c>
      <c r="F2097">
        <v>44</v>
      </c>
      <c r="G2097" t="s">
        <v>28</v>
      </c>
      <c r="H2097" t="s">
        <v>29</v>
      </c>
      <c r="I2097" s="1" t="s">
        <v>30</v>
      </c>
      <c r="J2097">
        <v>1892.84</v>
      </c>
    </row>
    <row r="2098" spans="1:10" hidden="1" x14ac:dyDescent="0.35">
      <c r="A2098" t="str">
        <f t="shared" si="32"/>
        <v>Machacalis20214.10</v>
      </c>
      <c r="B2098">
        <v>3138906</v>
      </c>
      <c r="C2098" t="s">
        <v>51</v>
      </c>
      <c r="D2098">
        <v>2021</v>
      </c>
      <c r="E2098">
        <v>6</v>
      </c>
      <c r="F2098">
        <v>58</v>
      </c>
      <c r="G2098" t="s">
        <v>31</v>
      </c>
      <c r="H2098" t="s">
        <v>29</v>
      </c>
      <c r="I2098" s="1" t="s">
        <v>32</v>
      </c>
      <c r="J2098">
        <v>4194.7700000000004</v>
      </c>
    </row>
    <row r="2099" spans="1:10" hidden="1" x14ac:dyDescent="0.35">
      <c r="A2099" t="str">
        <f t="shared" si="32"/>
        <v>Machacalis20214.11</v>
      </c>
      <c r="B2099">
        <v>3138906</v>
      </c>
      <c r="C2099" t="s">
        <v>51</v>
      </c>
      <c r="D2099">
        <v>2021</v>
      </c>
      <c r="E2099">
        <v>6</v>
      </c>
      <c r="F2099">
        <v>59</v>
      </c>
      <c r="G2099" t="s">
        <v>33</v>
      </c>
      <c r="H2099" t="s">
        <v>29</v>
      </c>
      <c r="I2099" s="1" t="s">
        <v>34</v>
      </c>
      <c r="J2099">
        <v>980.6</v>
      </c>
    </row>
    <row r="2100" spans="1:10" hidden="1" x14ac:dyDescent="0.35">
      <c r="A2100" t="str">
        <f t="shared" si="32"/>
        <v>Machacalis20214.2</v>
      </c>
      <c r="B2100">
        <v>3138906</v>
      </c>
      <c r="C2100" t="s">
        <v>51</v>
      </c>
      <c r="D2100">
        <v>2021</v>
      </c>
      <c r="E2100">
        <v>6</v>
      </c>
      <c r="F2100">
        <v>45</v>
      </c>
      <c r="G2100" t="s">
        <v>35</v>
      </c>
      <c r="H2100" t="s">
        <v>29</v>
      </c>
      <c r="I2100" s="1" t="s">
        <v>36</v>
      </c>
      <c r="J2100">
        <v>10992.34</v>
      </c>
    </row>
    <row r="2101" spans="1:10" hidden="1" x14ac:dyDescent="0.35">
      <c r="A2101" t="str">
        <f t="shared" si="32"/>
        <v>Machacalis20214.8</v>
      </c>
      <c r="B2101">
        <v>3138906</v>
      </c>
      <c r="C2101" t="s">
        <v>51</v>
      </c>
      <c r="D2101">
        <v>2021</v>
      </c>
      <c r="E2101">
        <v>6</v>
      </c>
      <c r="F2101">
        <v>56</v>
      </c>
      <c r="G2101" t="s">
        <v>37</v>
      </c>
      <c r="H2101" t="s">
        <v>29</v>
      </c>
      <c r="I2101" s="1" t="s">
        <v>38</v>
      </c>
      <c r="J2101">
        <v>8103.36</v>
      </c>
    </row>
    <row r="2102" spans="1:10" hidden="1" x14ac:dyDescent="0.35">
      <c r="A2102" t="str">
        <f t="shared" si="32"/>
        <v>Machacalis20214.9</v>
      </c>
      <c r="B2102">
        <v>3138906</v>
      </c>
      <c r="C2102" t="s">
        <v>51</v>
      </c>
      <c r="D2102">
        <v>2021</v>
      </c>
      <c r="E2102">
        <v>6</v>
      </c>
      <c r="F2102">
        <v>57</v>
      </c>
      <c r="G2102" t="s">
        <v>39</v>
      </c>
      <c r="H2102" t="s">
        <v>29</v>
      </c>
      <c r="I2102" s="1" t="s">
        <v>40</v>
      </c>
      <c r="J2102">
        <v>8103.36</v>
      </c>
    </row>
    <row r="2103" spans="1:10" hidden="1" x14ac:dyDescent="0.35">
      <c r="A2103" t="str">
        <f t="shared" si="32"/>
        <v>Malacacheta20211.1</v>
      </c>
      <c r="B2103">
        <v>3139201</v>
      </c>
      <c r="C2103" t="s">
        <v>52</v>
      </c>
      <c r="D2103">
        <v>2021</v>
      </c>
      <c r="E2103">
        <v>6</v>
      </c>
      <c r="F2103">
        <v>24</v>
      </c>
      <c r="G2103" t="s">
        <v>10</v>
      </c>
      <c r="H2103" t="s">
        <v>11</v>
      </c>
      <c r="I2103" s="1" t="s">
        <v>12</v>
      </c>
      <c r="J2103">
        <v>0.25080000000000002</v>
      </c>
    </row>
    <row r="2104" spans="1:10" hidden="1" x14ac:dyDescent="0.35">
      <c r="A2104" t="str">
        <f t="shared" si="32"/>
        <v>Malacacheta20211.2</v>
      </c>
      <c r="B2104">
        <v>3139201</v>
      </c>
      <c r="C2104" t="s">
        <v>52</v>
      </c>
      <c r="D2104">
        <v>2021</v>
      </c>
      <c r="E2104">
        <v>6</v>
      </c>
      <c r="F2104">
        <v>67</v>
      </c>
      <c r="G2104" t="s">
        <v>13</v>
      </c>
      <c r="H2104" t="s">
        <v>11</v>
      </c>
      <c r="I2104" s="1" t="s">
        <v>14</v>
      </c>
      <c r="J2104">
        <v>0.70279999999999998</v>
      </c>
    </row>
    <row r="2105" spans="1:10" hidden="1" x14ac:dyDescent="0.35">
      <c r="A2105" t="str">
        <f t="shared" si="32"/>
        <v>Malacacheta20211.3</v>
      </c>
      <c r="B2105">
        <v>3139201</v>
      </c>
      <c r="C2105" t="s">
        <v>52</v>
      </c>
      <c r="D2105">
        <v>2021</v>
      </c>
      <c r="E2105">
        <v>6</v>
      </c>
      <c r="F2105">
        <v>68</v>
      </c>
      <c r="G2105" t="s">
        <v>15</v>
      </c>
      <c r="H2105" t="s">
        <v>11</v>
      </c>
      <c r="I2105" s="1" t="s">
        <v>16</v>
      </c>
      <c r="J2105">
        <v>0.2303</v>
      </c>
    </row>
    <row r="2106" spans="1:10" hidden="1" x14ac:dyDescent="0.35">
      <c r="A2106" t="str">
        <f t="shared" si="32"/>
        <v>Malacacheta20212.1</v>
      </c>
      <c r="B2106">
        <v>3139201</v>
      </c>
      <c r="C2106" t="s">
        <v>52</v>
      </c>
      <c r="D2106">
        <v>2021</v>
      </c>
      <c r="E2106">
        <v>6</v>
      </c>
      <c r="F2106">
        <v>28</v>
      </c>
      <c r="G2106" t="s">
        <v>17</v>
      </c>
      <c r="H2106" t="s">
        <v>18</v>
      </c>
      <c r="I2106" s="1" t="s">
        <v>19</v>
      </c>
      <c r="J2106">
        <v>0.44640000000000002</v>
      </c>
    </row>
    <row r="2107" spans="1:10" hidden="1" x14ac:dyDescent="0.35">
      <c r="A2107" t="str">
        <f t="shared" si="32"/>
        <v>Malacacheta20212.2</v>
      </c>
      <c r="B2107">
        <v>3139201</v>
      </c>
      <c r="C2107" t="s">
        <v>52</v>
      </c>
      <c r="D2107">
        <v>2021</v>
      </c>
      <c r="E2107">
        <v>6</v>
      </c>
      <c r="F2107">
        <v>29</v>
      </c>
      <c r="G2107" t="s">
        <v>20</v>
      </c>
      <c r="H2107" t="s">
        <v>18</v>
      </c>
      <c r="I2107" s="1" t="s">
        <v>21</v>
      </c>
      <c r="J2107">
        <v>0.48659999999999998</v>
      </c>
    </row>
    <row r="2108" spans="1:10" hidden="1" x14ac:dyDescent="0.35">
      <c r="A2108" t="str">
        <f t="shared" si="32"/>
        <v>Malacacheta20212.4</v>
      </c>
      <c r="B2108">
        <v>3139201</v>
      </c>
      <c r="C2108" t="s">
        <v>52</v>
      </c>
      <c r="D2108">
        <v>2021</v>
      </c>
      <c r="E2108">
        <v>6</v>
      </c>
      <c r="F2108">
        <v>31</v>
      </c>
      <c r="G2108" t="s">
        <v>22</v>
      </c>
      <c r="H2108" t="s">
        <v>18</v>
      </c>
      <c r="I2108" s="1" t="s">
        <v>23</v>
      </c>
      <c r="J2108">
        <v>0.32890000000000003</v>
      </c>
    </row>
    <row r="2109" spans="1:10" hidden="1" x14ac:dyDescent="0.35">
      <c r="A2109" t="str">
        <f t="shared" si="32"/>
        <v>Malacacheta20212.5</v>
      </c>
      <c r="B2109">
        <v>3139201</v>
      </c>
      <c r="C2109" t="s">
        <v>52</v>
      </c>
      <c r="D2109">
        <v>2021</v>
      </c>
      <c r="E2109">
        <v>6</v>
      </c>
      <c r="F2109">
        <v>32</v>
      </c>
      <c r="G2109" t="s">
        <v>24</v>
      </c>
      <c r="H2109" t="s">
        <v>18</v>
      </c>
      <c r="I2109" s="1" t="s">
        <v>25</v>
      </c>
      <c r="J2109">
        <v>0.53759999999999997</v>
      </c>
    </row>
    <row r="2110" spans="1:10" hidden="1" x14ac:dyDescent="0.35">
      <c r="A2110" t="str">
        <f t="shared" si="32"/>
        <v>Malacacheta20212.8</v>
      </c>
      <c r="B2110">
        <v>3139201</v>
      </c>
      <c r="C2110" t="s">
        <v>52</v>
      </c>
      <c r="D2110">
        <v>2021</v>
      </c>
      <c r="E2110">
        <v>6</v>
      </c>
      <c r="F2110">
        <v>35</v>
      </c>
      <c r="G2110" t="s">
        <v>26</v>
      </c>
      <c r="H2110" t="s">
        <v>18</v>
      </c>
      <c r="I2110" s="1" t="s">
        <v>27</v>
      </c>
      <c r="J2110">
        <v>0.24440000000000001</v>
      </c>
    </row>
    <row r="2111" spans="1:10" hidden="1" x14ac:dyDescent="0.35">
      <c r="A2111" t="str">
        <f t="shared" si="32"/>
        <v>Malacacheta20214.1</v>
      </c>
      <c r="B2111">
        <v>3139201</v>
      </c>
      <c r="C2111" t="s">
        <v>52</v>
      </c>
      <c r="D2111">
        <v>2021</v>
      </c>
      <c r="E2111">
        <v>6</v>
      </c>
      <c r="F2111">
        <v>44</v>
      </c>
      <c r="G2111" t="s">
        <v>28</v>
      </c>
      <c r="H2111" t="s">
        <v>29</v>
      </c>
      <c r="I2111" s="1" t="s">
        <v>30</v>
      </c>
      <c r="J2111">
        <v>5230.1899999999996</v>
      </c>
    </row>
    <row r="2112" spans="1:10" hidden="1" x14ac:dyDescent="0.35">
      <c r="A2112" t="str">
        <f t="shared" si="32"/>
        <v>Malacacheta20214.10</v>
      </c>
      <c r="B2112">
        <v>3139201</v>
      </c>
      <c r="C2112" t="s">
        <v>52</v>
      </c>
      <c r="D2112">
        <v>2021</v>
      </c>
      <c r="E2112">
        <v>6</v>
      </c>
      <c r="F2112">
        <v>58</v>
      </c>
      <c r="G2112" t="s">
        <v>31</v>
      </c>
      <c r="H2112" t="s">
        <v>29</v>
      </c>
      <c r="I2112" s="1" t="s">
        <v>32</v>
      </c>
      <c r="J2112">
        <v>3975.86</v>
      </c>
    </row>
    <row r="2113" spans="1:10" hidden="1" x14ac:dyDescent="0.35">
      <c r="A2113" t="str">
        <f t="shared" si="32"/>
        <v>Malacacheta20214.11</v>
      </c>
      <c r="B2113">
        <v>3139201</v>
      </c>
      <c r="C2113" t="s">
        <v>52</v>
      </c>
      <c r="D2113">
        <v>2021</v>
      </c>
      <c r="E2113">
        <v>6</v>
      </c>
      <c r="F2113">
        <v>59</v>
      </c>
      <c r="G2113" t="s">
        <v>33</v>
      </c>
      <c r="H2113" t="s">
        <v>29</v>
      </c>
      <c r="I2113" s="1" t="s">
        <v>34</v>
      </c>
      <c r="J2113">
        <v>441.44</v>
      </c>
    </row>
    <row r="2114" spans="1:10" hidden="1" x14ac:dyDescent="0.35">
      <c r="A2114" t="str">
        <f t="shared" si="32"/>
        <v>Malacacheta20214.2</v>
      </c>
      <c r="B2114">
        <v>3139201</v>
      </c>
      <c r="C2114" t="s">
        <v>52</v>
      </c>
      <c r="D2114">
        <v>2021</v>
      </c>
      <c r="E2114">
        <v>6</v>
      </c>
      <c r="F2114">
        <v>45</v>
      </c>
      <c r="G2114" t="s">
        <v>35</v>
      </c>
      <c r="H2114" t="s">
        <v>29</v>
      </c>
      <c r="I2114" s="1" t="s">
        <v>36</v>
      </c>
      <c r="J2114">
        <v>12222.23</v>
      </c>
    </row>
    <row r="2115" spans="1:10" hidden="1" x14ac:dyDescent="0.35">
      <c r="A2115" t="str">
        <f t="shared" si="32"/>
        <v>Malacacheta20214.8</v>
      </c>
      <c r="B2115">
        <v>3139201</v>
      </c>
      <c r="C2115" t="s">
        <v>52</v>
      </c>
      <c r="D2115">
        <v>2021</v>
      </c>
      <c r="E2115">
        <v>6</v>
      </c>
      <c r="F2115">
        <v>56</v>
      </c>
      <c r="G2115" t="s">
        <v>37</v>
      </c>
      <c r="H2115" t="s">
        <v>29</v>
      </c>
      <c r="I2115" s="1" t="s">
        <v>38</v>
      </c>
      <c r="J2115">
        <v>8718.64</v>
      </c>
    </row>
    <row r="2116" spans="1:10" hidden="1" x14ac:dyDescent="0.35">
      <c r="A2116" t="str">
        <f t="shared" ref="A2116:A2179" si="33">C2116&amp;D2116&amp;G2116</f>
        <v>Malacacheta20214.9</v>
      </c>
      <c r="B2116">
        <v>3139201</v>
      </c>
      <c r="C2116" t="s">
        <v>52</v>
      </c>
      <c r="D2116">
        <v>2021</v>
      </c>
      <c r="E2116">
        <v>6</v>
      </c>
      <c r="F2116">
        <v>57</v>
      </c>
      <c r="G2116" t="s">
        <v>39</v>
      </c>
      <c r="H2116" t="s">
        <v>29</v>
      </c>
      <c r="I2116" s="1" t="s">
        <v>40</v>
      </c>
      <c r="J2116">
        <v>8718.64</v>
      </c>
    </row>
    <row r="2117" spans="1:10" hidden="1" x14ac:dyDescent="0.35">
      <c r="A2117" t="str">
        <f t="shared" si="33"/>
        <v>Nanuque20211.1</v>
      </c>
      <c r="B2117">
        <v>3144300</v>
      </c>
      <c r="C2117" t="s">
        <v>53</v>
      </c>
      <c r="D2117">
        <v>2021</v>
      </c>
      <c r="E2117">
        <v>6</v>
      </c>
      <c r="F2117">
        <v>24</v>
      </c>
      <c r="G2117" t="s">
        <v>10</v>
      </c>
      <c r="H2117" t="s">
        <v>11</v>
      </c>
      <c r="I2117" s="1" t="s">
        <v>12</v>
      </c>
      <c r="J2117">
        <v>0.25030000000000002</v>
      </c>
    </row>
    <row r="2118" spans="1:10" hidden="1" x14ac:dyDescent="0.35">
      <c r="A2118" t="str">
        <f t="shared" si="33"/>
        <v>Nanuque20211.2</v>
      </c>
      <c r="B2118">
        <v>3144300</v>
      </c>
      <c r="C2118" t="s">
        <v>53</v>
      </c>
      <c r="D2118">
        <v>2021</v>
      </c>
      <c r="E2118">
        <v>6</v>
      </c>
      <c r="F2118">
        <v>67</v>
      </c>
      <c r="G2118" t="s">
        <v>13</v>
      </c>
      <c r="H2118" t="s">
        <v>11</v>
      </c>
      <c r="I2118" s="1" t="s">
        <v>14</v>
      </c>
      <c r="J2118">
        <v>0.70630000000000004</v>
      </c>
    </row>
    <row r="2119" spans="1:10" hidden="1" x14ac:dyDescent="0.35">
      <c r="A2119" t="str">
        <f t="shared" si="33"/>
        <v>Nanuque20211.3</v>
      </c>
      <c r="B2119">
        <v>3144300</v>
      </c>
      <c r="C2119" t="s">
        <v>53</v>
      </c>
      <c r="D2119">
        <v>2021</v>
      </c>
      <c r="E2119">
        <v>6</v>
      </c>
      <c r="F2119">
        <v>68</v>
      </c>
      <c r="G2119" t="s">
        <v>15</v>
      </c>
      <c r="H2119" t="s">
        <v>11</v>
      </c>
      <c r="I2119" s="1" t="s">
        <v>16</v>
      </c>
      <c r="J2119">
        <v>0.2571</v>
      </c>
    </row>
    <row r="2120" spans="1:10" hidden="1" x14ac:dyDescent="0.35">
      <c r="A2120" t="str">
        <f t="shared" si="33"/>
        <v>Nanuque20212.1</v>
      </c>
      <c r="B2120">
        <v>3144300</v>
      </c>
      <c r="C2120" t="s">
        <v>53</v>
      </c>
      <c r="D2120">
        <v>2021</v>
      </c>
      <c r="E2120">
        <v>6</v>
      </c>
      <c r="F2120">
        <v>28</v>
      </c>
      <c r="G2120" t="s">
        <v>17</v>
      </c>
      <c r="H2120" t="s">
        <v>18</v>
      </c>
      <c r="I2120" s="1" t="s">
        <v>19</v>
      </c>
      <c r="J2120">
        <v>0.21099999999999999</v>
      </c>
    </row>
    <row r="2121" spans="1:10" hidden="1" x14ac:dyDescent="0.35">
      <c r="A2121" t="str">
        <f t="shared" si="33"/>
        <v>Nanuque20212.2</v>
      </c>
      <c r="B2121">
        <v>3144300</v>
      </c>
      <c r="C2121" t="s">
        <v>53</v>
      </c>
      <c r="D2121">
        <v>2021</v>
      </c>
      <c r="E2121">
        <v>6</v>
      </c>
      <c r="F2121">
        <v>29</v>
      </c>
      <c r="G2121" t="s">
        <v>20</v>
      </c>
      <c r="H2121" t="s">
        <v>18</v>
      </c>
      <c r="I2121" s="1" t="s">
        <v>21</v>
      </c>
      <c r="J2121">
        <v>0.75239999999999996</v>
      </c>
    </row>
    <row r="2122" spans="1:10" hidden="1" x14ac:dyDescent="0.35">
      <c r="A2122" t="str">
        <f t="shared" si="33"/>
        <v>Nanuque20212.4</v>
      </c>
      <c r="B2122">
        <v>3144300</v>
      </c>
      <c r="C2122" t="s">
        <v>53</v>
      </c>
      <c r="D2122">
        <v>2021</v>
      </c>
      <c r="E2122">
        <v>6</v>
      </c>
      <c r="F2122">
        <v>31</v>
      </c>
      <c r="G2122" t="s">
        <v>22</v>
      </c>
      <c r="H2122" t="s">
        <v>18</v>
      </c>
      <c r="I2122" s="1" t="s">
        <v>23</v>
      </c>
      <c r="J2122">
        <v>0.26419999999999999</v>
      </c>
    </row>
    <row r="2123" spans="1:10" hidden="1" x14ac:dyDescent="0.35">
      <c r="A2123" t="str">
        <f t="shared" si="33"/>
        <v>Nanuque20212.5</v>
      </c>
      <c r="B2123">
        <v>3144300</v>
      </c>
      <c r="C2123" t="s">
        <v>53</v>
      </c>
      <c r="D2123">
        <v>2021</v>
      </c>
      <c r="E2123">
        <v>6</v>
      </c>
      <c r="F2123">
        <v>32</v>
      </c>
      <c r="G2123" t="s">
        <v>24</v>
      </c>
      <c r="H2123" t="s">
        <v>18</v>
      </c>
      <c r="I2123" s="1" t="s">
        <v>25</v>
      </c>
      <c r="J2123">
        <v>0.55030000000000001</v>
      </c>
    </row>
    <row r="2124" spans="1:10" hidden="1" x14ac:dyDescent="0.35">
      <c r="A2124" t="str">
        <f t="shared" si="33"/>
        <v>Nanuque20212.8</v>
      </c>
      <c r="B2124">
        <v>3144300</v>
      </c>
      <c r="C2124" t="s">
        <v>53</v>
      </c>
      <c r="D2124">
        <v>2021</v>
      </c>
      <c r="E2124">
        <v>6</v>
      </c>
      <c r="F2124">
        <v>35</v>
      </c>
      <c r="G2124" t="s">
        <v>26</v>
      </c>
      <c r="H2124" t="s">
        <v>18</v>
      </c>
      <c r="I2124" s="1" t="s">
        <v>27</v>
      </c>
      <c r="J2124">
        <v>0.24759999999999999</v>
      </c>
    </row>
    <row r="2125" spans="1:10" hidden="1" x14ac:dyDescent="0.35">
      <c r="A2125" t="str">
        <f t="shared" si="33"/>
        <v>Nanuque20214.1</v>
      </c>
      <c r="B2125">
        <v>3144300</v>
      </c>
      <c r="C2125" t="s">
        <v>53</v>
      </c>
      <c r="D2125">
        <v>2021</v>
      </c>
      <c r="E2125">
        <v>6</v>
      </c>
      <c r="F2125">
        <v>44</v>
      </c>
      <c r="G2125" t="s">
        <v>28</v>
      </c>
      <c r="H2125" t="s">
        <v>29</v>
      </c>
      <c r="I2125" s="1" t="s">
        <v>30</v>
      </c>
      <c r="J2125">
        <v>6294.45</v>
      </c>
    </row>
    <row r="2126" spans="1:10" hidden="1" x14ac:dyDescent="0.35">
      <c r="A2126" t="str">
        <f t="shared" si="33"/>
        <v>Nanuque20214.10</v>
      </c>
      <c r="B2126">
        <v>3144300</v>
      </c>
      <c r="C2126" t="s">
        <v>53</v>
      </c>
      <c r="D2126">
        <v>2021</v>
      </c>
      <c r="E2126">
        <v>6</v>
      </c>
      <c r="F2126">
        <v>58</v>
      </c>
      <c r="G2126" t="s">
        <v>31</v>
      </c>
      <c r="H2126" t="s">
        <v>29</v>
      </c>
      <c r="I2126" s="1" t="s">
        <v>32</v>
      </c>
      <c r="J2126">
        <v>3824.25</v>
      </c>
    </row>
    <row r="2127" spans="1:10" hidden="1" x14ac:dyDescent="0.35">
      <c r="A2127" t="str">
        <f t="shared" si="33"/>
        <v>Nanuque20214.11</v>
      </c>
      <c r="B2127">
        <v>3144300</v>
      </c>
      <c r="C2127" t="s">
        <v>53</v>
      </c>
      <c r="D2127">
        <v>2021</v>
      </c>
      <c r="E2127">
        <v>6</v>
      </c>
      <c r="F2127">
        <v>59</v>
      </c>
      <c r="G2127" t="s">
        <v>33</v>
      </c>
      <c r="H2127" t="s">
        <v>29</v>
      </c>
      <c r="I2127" s="1" t="s">
        <v>34</v>
      </c>
      <c r="J2127">
        <v>694.75</v>
      </c>
    </row>
    <row r="2128" spans="1:10" hidden="1" x14ac:dyDescent="0.35">
      <c r="A2128" t="str">
        <f t="shared" si="33"/>
        <v>Nanuque20214.2</v>
      </c>
      <c r="B2128">
        <v>3144300</v>
      </c>
      <c r="C2128" t="s">
        <v>53</v>
      </c>
      <c r="D2128">
        <v>2021</v>
      </c>
      <c r="E2128">
        <v>6</v>
      </c>
      <c r="F2128">
        <v>45</v>
      </c>
      <c r="G2128" t="s">
        <v>35</v>
      </c>
      <c r="H2128" t="s">
        <v>29</v>
      </c>
      <c r="I2128" s="1" t="s">
        <v>36</v>
      </c>
      <c r="J2128">
        <v>11565.56</v>
      </c>
    </row>
    <row r="2129" spans="1:10" hidden="1" x14ac:dyDescent="0.35">
      <c r="A2129" t="str">
        <f t="shared" si="33"/>
        <v>Nanuque20214.8</v>
      </c>
      <c r="B2129">
        <v>3144300</v>
      </c>
      <c r="C2129" t="s">
        <v>53</v>
      </c>
      <c r="D2129">
        <v>2021</v>
      </c>
      <c r="E2129">
        <v>6</v>
      </c>
      <c r="F2129">
        <v>56</v>
      </c>
      <c r="G2129" t="s">
        <v>37</v>
      </c>
      <c r="H2129" t="s">
        <v>29</v>
      </c>
      <c r="I2129" s="1" t="s">
        <v>38</v>
      </c>
      <c r="J2129">
        <v>9753.7800000000007</v>
      </c>
    </row>
    <row r="2130" spans="1:10" hidden="1" x14ac:dyDescent="0.35">
      <c r="A2130" t="str">
        <f t="shared" si="33"/>
        <v>Nanuque20214.9</v>
      </c>
      <c r="B2130">
        <v>3144300</v>
      </c>
      <c r="C2130" t="s">
        <v>53</v>
      </c>
      <c r="D2130">
        <v>2021</v>
      </c>
      <c r="E2130">
        <v>6</v>
      </c>
      <c r="F2130">
        <v>57</v>
      </c>
      <c r="G2130" t="s">
        <v>39</v>
      </c>
      <c r="H2130" t="s">
        <v>29</v>
      </c>
      <c r="I2130" s="1" t="s">
        <v>40</v>
      </c>
      <c r="J2130">
        <v>9753.7800000000007</v>
      </c>
    </row>
    <row r="2131" spans="1:10" hidden="1" x14ac:dyDescent="0.35">
      <c r="A2131" t="str">
        <f t="shared" si="33"/>
        <v>Novo Oriente de Minas20211.1</v>
      </c>
      <c r="B2131">
        <v>3145356</v>
      </c>
      <c r="C2131" t="s">
        <v>54</v>
      </c>
      <c r="D2131">
        <v>2021</v>
      </c>
      <c r="E2131">
        <v>6</v>
      </c>
      <c r="F2131">
        <v>24</v>
      </c>
      <c r="G2131" t="s">
        <v>10</v>
      </c>
      <c r="H2131" t="s">
        <v>11</v>
      </c>
      <c r="I2131" s="1" t="s">
        <v>12</v>
      </c>
      <c r="J2131">
        <v>0.29380000000000001</v>
      </c>
    </row>
    <row r="2132" spans="1:10" hidden="1" x14ac:dyDescent="0.35">
      <c r="A2132" t="str">
        <f t="shared" si="33"/>
        <v>Novo Oriente de Minas20211.2</v>
      </c>
      <c r="B2132">
        <v>3145356</v>
      </c>
      <c r="C2132" t="s">
        <v>54</v>
      </c>
      <c r="D2132">
        <v>2021</v>
      </c>
      <c r="E2132">
        <v>6</v>
      </c>
      <c r="F2132">
        <v>67</v>
      </c>
      <c r="G2132" t="s">
        <v>13</v>
      </c>
      <c r="H2132" t="s">
        <v>11</v>
      </c>
      <c r="I2132" s="1" t="s">
        <v>14</v>
      </c>
      <c r="J2132">
        <v>0.81240000000000001</v>
      </c>
    </row>
    <row r="2133" spans="1:10" hidden="1" x14ac:dyDescent="0.35">
      <c r="A2133" t="str">
        <f t="shared" si="33"/>
        <v>Novo Oriente de Minas20211.3</v>
      </c>
      <c r="B2133">
        <v>3145356</v>
      </c>
      <c r="C2133" t="s">
        <v>54</v>
      </c>
      <c r="D2133">
        <v>2021</v>
      </c>
      <c r="E2133">
        <v>6</v>
      </c>
      <c r="F2133">
        <v>68</v>
      </c>
      <c r="G2133" t="s">
        <v>15</v>
      </c>
      <c r="H2133" t="s">
        <v>11</v>
      </c>
      <c r="I2133" s="1" t="s">
        <v>16</v>
      </c>
      <c r="J2133">
        <v>0.1452</v>
      </c>
    </row>
    <row r="2134" spans="1:10" hidden="1" x14ac:dyDescent="0.35">
      <c r="A2134" t="str">
        <f t="shared" si="33"/>
        <v>Novo Oriente de Minas20212.1</v>
      </c>
      <c r="B2134">
        <v>3145356</v>
      </c>
      <c r="C2134" t="s">
        <v>54</v>
      </c>
      <c r="D2134">
        <v>2021</v>
      </c>
      <c r="E2134">
        <v>6</v>
      </c>
      <c r="F2134">
        <v>28</v>
      </c>
      <c r="G2134" t="s">
        <v>17</v>
      </c>
      <c r="H2134" t="s">
        <v>18</v>
      </c>
      <c r="I2134" s="1" t="s">
        <v>19</v>
      </c>
      <c r="J2134">
        <v>8.9800000000000005E-2</v>
      </c>
    </row>
    <row r="2135" spans="1:10" hidden="1" x14ac:dyDescent="0.35">
      <c r="A2135" t="str">
        <f t="shared" si="33"/>
        <v>Novo Oriente de Minas20212.2</v>
      </c>
      <c r="B2135">
        <v>3145356</v>
      </c>
      <c r="C2135" t="s">
        <v>54</v>
      </c>
      <c r="D2135">
        <v>2021</v>
      </c>
      <c r="E2135">
        <v>6</v>
      </c>
      <c r="F2135">
        <v>29</v>
      </c>
      <c r="G2135" t="s">
        <v>20</v>
      </c>
      <c r="H2135" t="s">
        <v>18</v>
      </c>
      <c r="I2135" s="1" t="s">
        <v>21</v>
      </c>
      <c r="J2135">
        <v>0.86780000000000002</v>
      </c>
    </row>
    <row r="2136" spans="1:10" hidden="1" x14ac:dyDescent="0.35">
      <c r="A2136" t="str">
        <f t="shared" si="33"/>
        <v>Novo Oriente de Minas20212.4</v>
      </c>
      <c r="B2136">
        <v>3145356</v>
      </c>
      <c r="C2136" t="s">
        <v>54</v>
      </c>
      <c r="D2136">
        <v>2021</v>
      </c>
      <c r="E2136">
        <v>6</v>
      </c>
      <c r="F2136">
        <v>31</v>
      </c>
      <c r="G2136" t="s">
        <v>22</v>
      </c>
      <c r="H2136" t="s">
        <v>18</v>
      </c>
      <c r="I2136" s="1" t="s">
        <v>23</v>
      </c>
      <c r="J2136">
        <v>9.0899999999999995E-2</v>
      </c>
    </row>
    <row r="2137" spans="1:10" hidden="1" x14ac:dyDescent="0.35">
      <c r="A2137" t="str">
        <f t="shared" si="33"/>
        <v>Novo Oriente de Minas20212.5</v>
      </c>
      <c r="B2137">
        <v>3145356</v>
      </c>
      <c r="C2137" t="s">
        <v>54</v>
      </c>
      <c r="D2137">
        <v>2021</v>
      </c>
      <c r="E2137">
        <v>6</v>
      </c>
      <c r="F2137">
        <v>32</v>
      </c>
      <c r="G2137" t="s">
        <v>24</v>
      </c>
      <c r="H2137" t="s">
        <v>18</v>
      </c>
      <c r="I2137" s="1" t="s">
        <v>25</v>
      </c>
      <c r="J2137">
        <v>0.72319999999999995</v>
      </c>
    </row>
    <row r="2138" spans="1:10" hidden="1" x14ac:dyDescent="0.35">
      <c r="A2138" t="str">
        <f t="shared" si="33"/>
        <v>Novo Oriente de Minas20212.8</v>
      </c>
      <c r="B2138">
        <v>3145356</v>
      </c>
      <c r="C2138" t="s">
        <v>54</v>
      </c>
      <c r="D2138">
        <v>2021</v>
      </c>
      <c r="E2138">
        <v>6</v>
      </c>
      <c r="F2138">
        <v>35</v>
      </c>
      <c r="G2138" t="s">
        <v>26</v>
      </c>
      <c r="H2138" t="s">
        <v>18</v>
      </c>
      <c r="I2138" s="1" t="s">
        <v>27</v>
      </c>
      <c r="J2138">
        <v>0.52270000000000005</v>
      </c>
    </row>
    <row r="2139" spans="1:10" hidden="1" x14ac:dyDescent="0.35">
      <c r="A2139" t="str">
        <f t="shared" si="33"/>
        <v>Novo Oriente de Minas20214.1</v>
      </c>
      <c r="B2139">
        <v>3145356</v>
      </c>
      <c r="C2139" t="s">
        <v>54</v>
      </c>
      <c r="D2139">
        <v>2021</v>
      </c>
      <c r="E2139">
        <v>6</v>
      </c>
      <c r="F2139">
        <v>44</v>
      </c>
      <c r="G2139" t="s">
        <v>28</v>
      </c>
      <c r="H2139" t="s">
        <v>29</v>
      </c>
      <c r="I2139" s="1" t="s">
        <v>30</v>
      </c>
      <c r="J2139">
        <v>2643</v>
      </c>
    </row>
    <row r="2140" spans="1:10" hidden="1" x14ac:dyDescent="0.35">
      <c r="A2140" t="str">
        <f t="shared" si="33"/>
        <v>Novo Oriente de Minas20214.10</v>
      </c>
      <c r="B2140">
        <v>3145356</v>
      </c>
      <c r="C2140" t="s">
        <v>54</v>
      </c>
      <c r="D2140">
        <v>2021</v>
      </c>
      <c r="E2140">
        <v>6</v>
      </c>
      <c r="F2140">
        <v>58</v>
      </c>
      <c r="G2140" t="s">
        <v>31</v>
      </c>
      <c r="H2140" t="s">
        <v>29</v>
      </c>
      <c r="I2140" s="1" t="s">
        <v>32</v>
      </c>
      <c r="J2140">
        <v>4910.78</v>
      </c>
    </row>
    <row r="2141" spans="1:10" hidden="1" x14ac:dyDescent="0.35">
      <c r="A2141" t="str">
        <f t="shared" si="33"/>
        <v>Novo Oriente de Minas20214.11</v>
      </c>
      <c r="B2141">
        <v>3145356</v>
      </c>
      <c r="C2141" t="s">
        <v>54</v>
      </c>
      <c r="D2141">
        <v>2021</v>
      </c>
      <c r="E2141">
        <v>6</v>
      </c>
      <c r="F2141">
        <v>59</v>
      </c>
      <c r="G2141" t="s">
        <v>33</v>
      </c>
      <c r="H2141" t="s">
        <v>29</v>
      </c>
      <c r="I2141" s="1" t="s">
        <v>34</v>
      </c>
      <c r="J2141">
        <v>458.92</v>
      </c>
    </row>
    <row r="2142" spans="1:10" hidden="1" x14ac:dyDescent="0.35">
      <c r="A2142" t="str">
        <f t="shared" si="33"/>
        <v>Novo Oriente de Minas20214.2</v>
      </c>
      <c r="B2142">
        <v>3145356</v>
      </c>
      <c r="C2142" t="s">
        <v>54</v>
      </c>
      <c r="D2142">
        <v>2021</v>
      </c>
      <c r="E2142">
        <v>6</v>
      </c>
      <c r="F2142">
        <v>45</v>
      </c>
      <c r="G2142" t="s">
        <v>35</v>
      </c>
      <c r="H2142" t="s">
        <v>29</v>
      </c>
      <c r="I2142" s="1" t="s">
        <v>36</v>
      </c>
      <c r="J2142">
        <v>12274.2</v>
      </c>
    </row>
    <row r="2143" spans="1:10" hidden="1" x14ac:dyDescent="0.35">
      <c r="A2143" t="str">
        <f t="shared" si="33"/>
        <v>Novo Oriente de Minas20214.8</v>
      </c>
      <c r="B2143">
        <v>3145356</v>
      </c>
      <c r="C2143" t="s">
        <v>54</v>
      </c>
      <c r="D2143">
        <v>2021</v>
      </c>
      <c r="E2143">
        <v>6</v>
      </c>
      <c r="F2143">
        <v>56</v>
      </c>
      <c r="G2143" t="s">
        <v>37</v>
      </c>
      <c r="H2143" t="s">
        <v>29</v>
      </c>
      <c r="I2143" s="1" t="s">
        <v>38</v>
      </c>
      <c r="J2143">
        <v>10558.45</v>
      </c>
    </row>
    <row r="2144" spans="1:10" hidden="1" x14ac:dyDescent="0.35">
      <c r="A2144" t="str">
        <f t="shared" si="33"/>
        <v>Novo Oriente de Minas20214.9</v>
      </c>
      <c r="B2144">
        <v>3145356</v>
      </c>
      <c r="C2144" t="s">
        <v>54</v>
      </c>
      <c r="D2144">
        <v>2021</v>
      </c>
      <c r="E2144">
        <v>6</v>
      </c>
      <c r="F2144">
        <v>57</v>
      </c>
      <c r="G2144" t="s">
        <v>39</v>
      </c>
      <c r="H2144" t="s">
        <v>29</v>
      </c>
      <c r="I2144" s="1" t="s">
        <v>40</v>
      </c>
      <c r="J2144">
        <v>10558.45</v>
      </c>
    </row>
    <row r="2145" spans="1:10" hidden="1" x14ac:dyDescent="0.35">
      <c r="A2145" t="str">
        <f t="shared" si="33"/>
        <v>Ouro Verde de Minas20211.1</v>
      </c>
      <c r="B2145">
        <v>3146206</v>
      </c>
      <c r="C2145" t="s">
        <v>55</v>
      </c>
      <c r="D2145">
        <v>2021</v>
      </c>
      <c r="E2145">
        <v>6</v>
      </c>
      <c r="F2145">
        <v>24</v>
      </c>
      <c r="G2145" t="s">
        <v>10</v>
      </c>
      <c r="H2145" t="s">
        <v>11</v>
      </c>
      <c r="I2145" s="1" t="s">
        <v>12</v>
      </c>
      <c r="J2145">
        <v>0.21390000000000001</v>
      </c>
    </row>
    <row r="2146" spans="1:10" hidden="1" x14ac:dyDescent="0.35">
      <c r="A2146" t="str">
        <f t="shared" si="33"/>
        <v>Ouro Verde de Minas20211.2</v>
      </c>
      <c r="B2146">
        <v>3146206</v>
      </c>
      <c r="C2146" t="s">
        <v>55</v>
      </c>
      <c r="D2146">
        <v>2021</v>
      </c>
      <c r="E2146">
        <v>6</v>
      </c>
      <c r="F2146">
        <v>67</v>
      </c>
      <c r="G2146" t="s">
        <v>13</v>
      </c>
      <c r="H2146" t="s">
        <v>11</v>
      </c>
      <c r="I2146" s="1" t="s">
        <v>14</v>
      </c>
      <c r="J2146">
        <v>0.73819999999999997</v>
      </c>
    </row>
    <row r="2147" spans="1:10" hidden="1" x14ac:dyDescent="0.35">
      <c r="A2147" t="str">
        <f t="shared" si="33"/>
        <v>Ouro Verde de Minas20211.3</v>
      </c>
      <c r="B2147">
        <v>3146206</v>
      </c>
      <c r="C2147" t="s">
        <v>55</v>
      </c>
      <c r="D2147">
        <v>2021</v>
      </c>
      <c r="E2147">
        <v>6</v>
      </c>
      <c r="F2147">
        <v>68</v>
      </c>
      <c r="G2147" t="s">
        <v>15</v>
      </c>
      <c r="H2147" t="s">
        <v>11</v>
      </c>
      <c r="I2147" s="1" t="s">
        <v>16</v>
      </c>
      <c r="J2147">
        <v>0.25990000000000002</v>
      </c>
    </row>
    <row r="2148" spans="1:10" hidden="1" x14ac:dyDescent="0.35">
      <c r="A2148" t="str">
        <f t="shared" si="33"/>
        <v>Ouro Verde de Minas20212.1</v>
      </c>
      <c r="B2148">
        <v>3146206</v>
      </c>
      <c r="C2148" t="s">
        <v>55</v>
      </c>
      <c r="D2148">
        <v>2021</v>
      </c>
      <c r="E2148">
        <v>6</v>
      </c>
      <c r="F2148">
        <v>28</v>
      </c>
      <c r="G2148" t="s">
        <v>17</v>
      </c>
      <c r="H2148" t="s">
        <v>18</v>
      </c>
      <c r="I2148" s="1" t="s">
        <v>19</v>
      </c>
      <c r="J2148">
        <v>0.19520000000000001</v>
      </c>
    </row>
    <row r="2149" spans="1:10" hidden="1" x14ac:dyDescent="0.35">
      <c r="A2149" t="str">
        <f t="shared" si="33"/>
        <v>Ouro Verde de Minas20212.2</v>
      </c>
      <c r="B2149">
        <v>3146206</v>
      </c>
      <c r="C2149" t="s">
        <v>55</v>
      </c>
      <c r="D2149">
        <v>2021</v>
      </c>
      <c r="E2149">
        <v>6</v>
      </c>
      <c r="F2149">
        <v>29</v>
      </c>
      <c r="G2149" t="s">
        <v>20</v>
      </c>
      <c r="H2149" t="s">
        <v>18</v>
      </c>
      <c r="I2149" s="1" t="s">
        <v>21</v>
      </c>
      <c r="J2149">
        <v>0.80300000000000005</v>
      </c>
    </row>
    <row r="2150" spans="1:10" hidden="1" x14ac:dyDescent="0.35">
      <c r="A2150" t="str">
        <f t="shared" si="33"/>
        <v>Ouro Verde de Minas20212.4</v>
      </c>
      <c r="B2150">
        <v>3146206</v>
      </c>
      <c r="C2150" t="s">
        <v>55</v>
      </c>
      <c r="D2150">
        <v>2021</v>
      </c>
      <c r="E2150">
        <v>6</v>
      </c>
      <c r="F2150">
        <v>31</v>
      </c>
      <c r="G2150" t="s">
        <v>22</v>
      </c>
      <c r="H2150" t="s">
        <v>18</v>
      </c>
      <c r="I2150" s="1" t="s">
        <v>23</v>
      </c>
      <c r="J2150">
        <v>0.1474</v>
      </c>
    </row>
    <row r="2151" spans="1:10" hidden="1" x14ac:dyDescent="0.35">
      <c r="A2151" t="str">
        <f t="shared" si="33"/>
        <v>Ouro Verde de Minas20212.5</v>
      </c>
      <c r="B2151">
        <v>3146206</v>
      </c>
      <c r="C2151" t="s">
        <v>55</v>
      </c>
      <c r="D2151">
        <v>2021</v>
      </c>
      <c r="E2151">
        <v>6</v>
      </c>
      <c r="F2151">
        <v>32</v>
      </c>
      <c r="G2151" t="s">
        <v>24</v>
      </c>
      <c r="H2151" t="s">
        <v>18</v>
      </c>
      <c r="I2151" s="1" t="s">
        <v>25</v>
      </c>
      <c r="J2151">
        <v>0.7016</v>
      </c>
    </row>
    <row r="2152" spans="1:10" hidden="1" x14ac:dyDescent="0.35">
      <c r="A2152" t="str">
        <f t="shared" si="33"/>
        <v>Ouro Verde de Minas20212.8</v>
      </c>
      <c r="B2152">
        <v>3146206</v>
      </c>
      <c r="C2152" t="s">
        <v>55</v>
      </c>
      <c r="D2152">
        <v>2021</v>
      </c>
      <c r="E2152">
        <v>6</v>
      </c>
      <c r="F2152">
        <v>35</v>
      </c>
      <c r="G2152" t="s">
        <v>26</v>
      </c>
      <c r="H2152" t="s">
        <v>18</v>
      </c>
      <c r="I2152" s="1" t="s">
        <v>27</v>
      </c>
      <c r="J2152">
        <v>0.26979999999999998</v>
      </c>
    </row>
    <row r="2153" spans="1:10" hidden="1" x14ac:dyDescent="0.35">
      <c r="A2153" t="str">
        <f t="shared" si="33"/>
        <v>Ouro Verde de Minas20214.1</v>
      </c>
      <c r="B2153">
        <v>3146206</v>
      </c>
      <c r="C2153" t="s">
        <v>55</v>
      </c>
      <c r="D2153">
        <v>2021</v>
      </c>
      <c r="E2153">
        <v>6</v>
      </c>
      <c r="F2153">
        <v>44</v>
      </c>
      <c r="G2153" t="s">
        <v>28</v>
      </c>
      <c r="H2153" t="s">
        <v>29</v>
      </c>
      <c r="I2153" s="1" t="s">
        <v>30</v>
      </c>
      <c r="J2153">
        <v>2568.6799999999998</v>
      </c>
    </row>
    <row r="2154" spans="1:10" hidden="1" x14ac:dyDescent="0.35">
      <c r="A2154" t="str">
        <f t="shared" si="33"/>
        <v>Ouro Verde de Minas20214.10</v>
      </c>
      <c r="B2154">
        <v>3146206</v>
      </c>
      <c r="C2154" t="s">
        <v>55</v>
      </c>
      <c r="D2154">
        <v>2021</v>
      </c>
      <c r="E2154">
        <v>6</v>
      </c>
      <c r="F2154">
        <v>58</v>
      </c>
      <c r="G2154" t="s">
        <v>31</v>
      </c>
      <c r="H2154" t="s">
        <v>29</v>
      </c>
      <c r="I2154" s="1" t="s">
        <v>32</v>
      </c>
      <c r="J2154">
        <v>4503.12</v>
      </c>
    </row>
    <row r="2155" spans="1:10" hidden="1" x14ac:dyDescent="0.35">
      <c r="A2155" t="str">
        <f t="shared" si="33"/>
        <v>Ouro Verde de Minas20214.11</v>
      </c>
      <c r="B2155">
        <v>3146206</v>
      </c>
      <c r="C2155" t="s">
        <v>55</v>
      </c>
      <c r="D2155">
        <v>2021</v>
      </c>
      <c r="E2155">
        <v>6</v>
      </c>
      <c r="F2155">
        <v>59</v>
      </c>
      <c r="G2155" t="s">
        <v>33</v>
      </c>
      <c r="H2155" t="s">
        <v>29</v>
      </c>
      <c r="I2155" s="1" t="s">
        <v>34</v>
      </c>
      <c r="J2155">
        <v>1487.22</v>
      </c>
    </row>
    <row r="2156" spans="1:10" hidden="1" x14ac:dyDescent="0.35">
      <c r="A2156" t="str">
        <f t="shared" si="33"/>
        <v>Ouro Verde de Minas20214.2</v>
      </c>
      <c r="B2156">
        <v>3146206</v>
      </c>
      <c r="C2156" t="s">
        <v>55</v>
      </c>
      <c r="D2156">
        <v>2021</v>
      </c>
      <c r="E2156">
        <v>6</v>
      </c>
      <c r="F2156">
        <v>45</v>
      </c>
      <c r="G2156" t="s">
        <v>35</v>
      </c>
      <c r="H2156" t="s">
        <v>29</v>
      </c>
      <c r="I2156" s="1" t="s">
        <v>36</v>
      </c>
      <c r="J2156">
        <v>11353.56</v>
      </c>
    </row>
    <row r="2157" spans="1:10" hidden="1" x14ac:dyDescent="0.35">
      <c r="A2157" t="str">
        <f t="shared" si="33"/>
        <v>Ouro Verde de Minas20214.8</v>
      </c>
      <c r="B2157">
        <v>3146206</v>
      </c>
      <c r="C2157" t="s">
        <v>55</v>
      </c>
      <c r="D2157">
        <v>2021</v>
      </c>
      <c r="E2157">
        <v>6</v>
      </c>
      <c r="F2157">
        <v>56</v>
      </c>
      <c r="G2157" t="s">
        <v>37</v>
      </c>
      <c r="H2157" t="s">
        <v>29</v>
      </c>
      <c r="I2157" s="1" t="s">
        <v>38</v>
      </c>
      <c r="J2157">
        <v>8390.59</v>
      </c>
    </row>
    <row r="2158" spans="1:10" hidden="1" x14ac:dyDescent="0.35">
      <c r="A2158" t="str">
        <f t="shared" si="33"/>
        <v>Ouro Verde de Minas20214.9</v>
      </c>
      <c r="B2158">
        <v>3146206</v>
      </c>
      <c r="C2158" t="s">
        <v>55</v>
      </c>
      <c r="D2158">
        <v>2021</v>
      </c>
      <c r="E2158">
        <v>6</v>
      </c>
      <c r="F2158">
        <v>57</v>
      </c>
      <c r="G2158" t="s">
        <v>39</v>
      </c>
      <c r="H2158" t="s">
        <v>29</v>
      </c>
      <c r="I2158" s="1" t="s">
        <v>40</v>
      </c>
      <c r="J2158">
        <v>8390.59</v>
      </c>
    </row>
    <row r="2159" spans="1:10" hidden="1" x14ac:dyDescent="0.35">
      <c r="A2159" t="str">
        <f t="shared" si="33"/>
        <v>Pavão20211.1</v>
      </c>
      <c r="B2159">
        <v>3148509</v>
      </c>
      <c r="C2159" t="s">
        <v>56</v>
      </c>
      <c r="D2159">
        <v>2021</v>
      </c>
      <c r="E2159">
        <v>6</v>
      </c>
      <c r="F2159">
        <v>24</v>
      </c>
      <c r="G2159" t="s">
        <v>10</v>
      </c>
      <c r="H2159" t="s">
        <v>11</v>
      </c>
      <c r="I2159" s="1" t="s">
        <v>12</v>
      </c>
      <c r="J2159">
        <v>0.25480000000000003</v>
      </c>
    </row>
    <row r="2160" spans="1:10" hidden="1" x14ac:dyDescent="0.35">
      <c r="A2160" t="str">
        <f t="shared" si="33"/>
        <v>Pavão20211.2</v>
      </c>
      <c r="B2160">
        <v>3148509</v>
      </c>
      <c r="C2160" t="s">
        <v>56</v>
      </c>
      <c r="D2160">
        <v>2021</v>
      </c>
      <c r="E2160">
        <v>6</v>
      </c>
      <c r="F2160">
        <v>67</v>
      </c>
      <c r="G2160" t="s">
        <v>13</v>
      </c>
      <c r="H2160" t="s">
        <v>11</v>
      </c>
      <c r="I2160" s="1" t="s">
        <v>14</v>
      </c>
      <c r="J2160">
        <v>0.72209999999999996</v>
      </c>
    </row>
    <row r="2161" spans="1:10" hidden="1" x14ac:dyDescent="0.35">
      <c r="A2161" t="str">
        <f t="shared" si="33"/>
        <v>Pavão20211.3</v>
      </c>
      <c r="B2161">
        <v>3148509</v>
      </c>
      <c r="C2161" t="s">
        <v>56</v>
      </c>
      <c r="D2161">
        <v>2021</v>
      </c>
      <c r="E2161">
        <v>6</v>
      </c>
      <c r="F2161">
        <v>68</v>
      </c>
      <c r="G2161" t="s">
        <v>15</v>
      </c>
      <c r="H2161" t="s">
        <v>11</v>
      </c>
      <c r="I2161" s="1" t="s">
        <v>16</v>
      </c>
      <c r="J2161">
        <v>0.27789999999999998</v>
      </c>
    </row>
    <row r="2162" spans="1:10" hidden="1" x14ac:dyDescent="0.35">
      <c r="A2162" t="str">
        <f t="shared" si="33"/>
        <v>Pavão20212.1</v>
      </c>
      <c r="B2162">
        <v>3148509</v>
      </c>
      <c r="C2162" t="s">
        <v>56</v>
      </c>
      <c r="D2162">
        <v>2021</v>
      </c>
      <c r="E2162">
        <v>6</v>
      </c>
      <c r="F2162">
        <v>28</v>
      </c>
      <c r="G2162" t="s">
        <v>17</v>
      </c>
      <c r="H2162" t="s">
        <v>18</v>
      </c>
      <c r="I2162" s="1" t="s">
        <v>19</v>
      </c>
      <c r="J2162">
        <v>0.2278</v>
      </c>
    </row>
    <row r="2163" spans="1:10" hidden="1" x14ac:dyDescent="0.35">
      <c r="A2163" t="str">
        <f t="shared" si="33"/>
        <v>Pavão20212.2</v>
      </c>
      <c r="B2163">
        <v>3148509</v>
      </c>
      <c r="C2163" t="s">
        <v>56</v>
      </c>
      <c r="D2163">
        <v>2021</v>
      </c>
      <c r="E2163">
        <v>6</v>
      </c>
      <c r="F2163">
        <v>29</v>
      </c>
      <c r="G2163" t="s">
        <v>20</v>
      </c>
      <c r="H2163" t="s">
        <v>18</v>
      </c>
      <c r="I2163" s="1" t="s">
        <v>21</v>
      </c>
      <c r="J2163">
        <v>0.7722</v>
      </c>
    </row>
    <row r="2164" spans="1:10" hidden="1" x14ac:dyDescent="0.35">
      <c r="A2164" t="str">
        <f t="shared" si="33"/>
        <v>Pavão20212.4</v>
      </c>
      <c r="B2164">
        <v>3148509</v>
      </c>
      <c r="C2164" t="s">
        <v>56</v>
      </c>
      <c r="D2164">
        <v>2021</v>
      </c>
      <c r="E2164">
        <v>6</v>
      </c>
      <c r="F2164">
        <v>31</v>
      </c>
      <c r="G2164" t="s">
        <v>22</v>
      </c>
      <c r="H2164" t="s">
        <v>18</v>
      </c>
      <c r="I2164" s="1" t="s">
        <v>23</v>
      </c>
      <c r="J2164">
        <v>0.22470000000000001</v>
      </c>
    </row>
    <row r="2165" spans="1:10" hidden="1" x14ac:dyDescent="0.35">
      <c r="A2165" t="str">
        <f t="shared" si="33"/>
        <v>Pavão20212.5</v>
      </c>
      <c r="B2165">
        <v>3148509</v>
      </c>
      <c r="C2165" t="s">
        <v>56</v>
      </c>
      <c r="D2165">
        <v>2021</v>
      </c>
      <c r="E2165">
        <v>6</v>
      </c>
      <c r="F2165">
        <v>32</v>
      </c>
      <c r="G2165" t="s">
        <v>24</v>
      </c>
      <c r="H2165" t="s">
        <v>18</v>
      </c>
      <c r="I2165" s="1" t="s">
        <v>25</v>
      </c>
      <c r="J2165">
        <v>0.66869999999999996</v>
      </c>
    </row>
    <row r="2166" spans="1:10" hidden="1" x14ac:dyDescent="0.35">
      <c r="A2166" t="str">
        <f t="shared" si="33"/>
        <v>Pavão20212.8</v>
      </c>
      <c r="B2166">
        <v>3148509</v>
      </c>
      <c r="C2166" t="s">
        <v>56</v>
      </c>
      <c r="D2166">
        <v>2021</v>
      </c>
      <c r="E2166">
        <v>6</v>
      </c>
      <c r="F2166">
        <v>35</v>
      </c>
      <c r="G2166" t="s">
        <v>26</v>
      </c>
      <c r="H2166" t="s">
        <v>18</v>
      </c>
      <c r="I2166" s="1" t="s">
        <v>27</v>
      </c>
      <c r="J2166">
        <v>0.2029</v>
      </c>
    </row>
    <row r="2167" spans="1:10" hidden="1" x14ac:dyDescent="0.35">
      <c r="A2167" t="str">
        <f t="shared" si="33"/>
        <v>Pavão20214.1</v>
      </c>
      <c r="B2167">
        <v>3148509</v>
      </c>
      <c r="C2167" t="s">
        <v>56</v>
      </c>
      <c r="D2167">
        <v>2021</v>
      </c>
      <c r="E2167">
        <v>6</v>
      </c>
      <c r="F2167">
        <v>44</v>
      </c>
      <c r="G2167" t="s">
        <v>28</v>
      </c>
      <c r="H2167" t="s">
        <v>29</v>
      </c>
      <c r="I2167" s="1" t="s">
        <v>30</v>
      </c>
      <c r="J2167">
        <v>5011.97</v>
      </c>
    </row>
    <row r="2168" spans="1:10" hidden="1" x14ac:dyDescent="0.35">
      <c r="A2168" t="str">
        <f t="shared" si="33"/>
        <v>Pavão20214.10</v>
      </c>
      <c r="B2168">
        <v>3148509</v>
      </c>
      <c r="C2168" t="s">
        <v>56</v>
      </c>
      <c r="D2168">
        <v>2021</v>
      </c>
      <c r="E2168">
        <v>6</v>
      </c>
      <c r="F2168">
        <v>58</v>
      </c>
      <c r="G2168" t="s">
        <v>31</v>
      </c>
      <c r="H2168" t="s">
        <v>29</v>
      </c>
      <c r="I2168" s="1" t="s">
        <v>32</v>
      </c>
      <c r="J2168">
        <v>4232.6000000000004</v>
      </c>
    </row>
    <row r="2169" spans="1:10" hidden="1" x14ac:dyDescent="0.35">
      <c r="A2169" t="str">
        <f t="shared" si="33"/>
        <v>Pavão20214.11</v>
      </c>
      <c r="B2169">
        <v>3148509</v>
      </c>
      <c r="C2169" t="s">
        <v>56</v>
      </c>
      <c r="D2169">
        <v>2021</v>
      </c>
      <c r="E2169">
        <v>6</v>
      </c>
      <c r="F2169">
        <v>59</v>
      </c>
      <c r="G2169" t="s">
        <v>33</v>
      </c>
      <c r="H2169" t="s">
        <v>29</v>
      </c>
      <c r="I2169" s="1" t="s">
        <v>34</v>
      </c>
      <c r="J2169">
        <v>739.89</v>
      </c>
    </row>
    <row r="2170" spans="1:10" hidden="1" x14ac:dyDescent="0.35">
      <c r="A2170" t="str">
        <f t="shared" si="33"/>
        <v>Pavão20214.2</v>
      </c>
      <c r="B2170">
        <v>3148509</v>
      </c>
      <c r="C2170" t="s">
        <v>56</v>
      </c>
      <c r="D2170">
        <v>2021</v>
      </c>
      <c r="E2170">
        <v>6</v>
      </c>
      <c r="F2170">
        <v>45</v>
      </c>
      <c r="G2170" t="s">
        <v>35</v>
      </c>
      <c r="H2170" t="s">
        <v>29</v>
      </c>
      <c r="I2170" s="1" t="s">
        <v>36</v>
      </c>
      <c r="J2170">
        <v>12520.62</v>
      </c>
    </row>
    <row r="2171" spans="1:10" hidden="1" x14ac:dyDescent="0.35">
      <c r="A2171" t="str">
        <f t="shared" si="33"/>
        <v>Pavão20214.8</v>
      </c>
      <c r="B2171">
        <v>3148509</v>
      </c>
      <c r="C2171" t="s">
        <v>56</v>
      </c>
      <c r="D2171">
        <v>2021</v>
      </c>
      <c r="E2171">
        <v>6</v>
      </c>
      <c r="F2171">
        <v>56</v>
      </c>
      <c r="G2171" t="s">
        <v>37</v>
      </c>
      <c r="H2171" t="s">
        <v>29</v>
      </c>
      <c r="I2171" s="1" t="s">
        <v>38</v>
      </c>
      <c r="J2171">
        <v>10110.4</v>
      </c>
    </row>
    <row r="2172" spans="1:10" hidden="1" x14ac:dyDescent="0.35">
      <c r="A2172" t="str">
        <f t="shared" si="33"/>
        <v>Pavão20214.9</v>
      </c>
      <c r="B2172">
        <v>3148509</v>
      </c>
      <c r="C2172" t="s">
        <v>56</v>
      </c>
      <c r="D2172">
        <v>2021</v>
      </c>
      <c r="E2172">
        <v>6</v>
      </c>
      <c r="F2172">
        <v>57</v>
      </c>
      <c r="G2172" t="s">
        <v>39</v>
      </c>
      <c r="H2172" t="s">
        <v>29</v>
      </c>
      <c r="I2172" s="1" t="s">
        <v>40</v>
      </c>
      <c r="J2172">
        <v>10110.4</v>
      </c>
    </row>
    <row r="2173" spans="1:10" hidden="1" x14ac:dyDescent="0.35">
      <c r="A2173" t="str">
        <f t="shared" si="33"/>
        <v>Poté20211.1</v>
      </c>
      <c r="B2173">
        <v>3152402</v>
      </c>
      <c r="C2173" t="s">
        <v>57</v>
      </c>
      <c r="D2173">
        <v>2021</v>
      </c>
      <c r="E2173">
        <v>6</v>
      </c>
      <c r="F2173">
        <v>24</v>
      </c>
      <c r="G2173" t="s">
        <v>10</v>
      </c>
      <c r="H2173" t="s">
        <v>11</v>
      </c>
      <c r="I2173" s="1" t="s">
        <v>12</v>
      </c>
      <c r="J2173">
        <v>0.21360000000000001</v>
      </c>
    </row>
    <row r="2174" spans="1:10" hidden="1" x14ac:dyDescent="0.35">
      <c r="A2174" t="str">
        <f t="shared" si="33"/>
        <v>Poté20211.2</v>
      </c>
      <c r="B2174">
        <v>3152402</v>
      </c>
      <c r="C2174" t="s">
        <v>57</v>
      </c>
      <c r="D2174">
        <v>2021</v>
      </c>
      <c r="E2174">
        <v>6</v>
      </c>
      <c r="F2174">
        <v>67</v>
      </c>
      <c r="G2174" t="s">
        <v>13</v>
      </c>
      <c r="H2174" t="s">
        <v>11</v>
      </c>
      <c r="I2174" s="1" t="s">
        <v>14</v>
      </c>
      <c r="J2174">
        <v>0.67989999999999995</v>
      </c>
    </row>
    <row r="2175" spans="1:10" hidden="1" x14ac:dyDescent="0.35">
      <c r="A2175" t="str">
        <f t="shared" si="33"/>
        <v>Poté20211.3</v>
      </c>
      <c r="B2175">
        <v>3152402</v>
      </c>
      <c r="C2175" t="s">
        <v>57</v>
      </c>
      <c r="D2175">
        <v>2021</v>
      </c>
      <c r="E2175">
        <v>6</v>
      </c>
      <c r="F2175">
        <v>68</v>
      </c>
      <c r="G2175" t="s">
        <v>15</v>
      </c>
      <c r="H2175" t="s">
        <v>11</v>
      </c>
      <c r="I2175" s="1" t="s">
        <v>16</v>
      </c>
      <c r="J2175">
        <v>0.19769999999999999</v>
      </c>
    </row>
    <row r="2176" spans="1:10" hidden="1" x14ac:dyDescent="0.35">
      <c r="A2176" t="str">
        <f t="shared" si="33"/>
        <v>Poté20212.1</v>
      </c>
      <c r="B2176">
        <v>3152402</v>
      </c>
      <c r="C2176" t="s">
        <v>57</v>
      </c>
      <c r="D2176">
        <v>2021</v>
      </c>
      <c r="E2176">
        <v>6</v>
      </c>
      <c r="F2176">
        <v>28</v>
      </c>
      <c r="G2176" t="s">
        <v>17</v>
      </c>
      <c r="H2176" t="s">
        <v>18</v>
      </c>
      <c r="I2176" s="1" t="s">
        <v>19</v>
      </c>
      <c r="J2176">
        <v>0.16139999999999999</v>
      </c>
    </row>
    <row r="2177" spans="1:10" hidden="1" x14ac:dyDescent="0.35">
      <c r="A2177" t="str">
        <f t="shared" si="33"/>
        <v>Poté20212.2</v>
      </c>
      <c r="B2177">
        <v>3152402</v>
      </c>
      <c r="C2177" t="s">
        <v>57</v>
      </c>
      <c r="D2177">
        <v>2021</v>
      </c>
      <c r="E2177">
        <v>6</v>
      </c>
      <c r="F2177">
        <v>29</v>
      </c>
      <c r="G2177" t="s">
        <v>20</v>
      </c>
      <c r="H2177" t="s">
        <v>18</v>
      </c>
      <c r="I2177" s="1" t="s">
        <v>21</v>
      </c>
      <c r="J2177">
        <v>0.71619999999999995</v>
      </c>
    </row>
    <row r="2178" spans="1:10" hidden="1" x14ac:dyDescent="0.35">
      <c r="A2178" t="str">
        <f t="shared" si="33"/>
        <v>Poté20212.4</v>
      </c>
      <c r="B2178">
        <v>3152402</v>
      </c>
      <c r="C2178" t="s">
        <v>57</v>
      </c>
      <c r="D2178">
        <v>2021</v>
      </c>
      <c r="E2178">
        <v>6</v>
      </c>
      <c r="F2178">
        <v>31</v>
      </c>
      <c r="G2178" t="s">
        <v>22</v>
      </c>
      <c r="H2178" t="s">
        <v>18</v>
      </c>
      <c r="I2178" s="1" t="s">
        <v>23</v>
      </c>
      <c r="J2178">
        <v>0.1361</v>
      </c>
    </row>
    <row r="2179" spans="1:10" hidden="1" x14ac:dyDescent="0.35">
      <c r="A2179" t="str">
        <f t="shared" si="33"/>
        <v>Poté20212.5</v>
      </c>
      <c r="B2179">
        <v>3152402</v>
      </c>
      <c r="C2179" t="s">
        <v>57</v>
      </c>
      <c r="D2179">
        <v>2021</v>
      </c>
      <c r="E2179">
        <v>6</v>
      </c>
      <c r="F2179">
        <v>32</v>
      </c>
      <c r="G2179" t="s">
        <v>24</v>
      </c>
      <c r="H2179" t="s">
        <v>18</v>
      </c>
      <c r="I2179" s="1" t="s">
        <v>25</v>
      </c>
      <c r="J2179">
        <v>0.7349</v>
      </c>
    </row>
    <row r="2180" spans="1:10" hidden="1" x14ac:dyDescent="0.35">
      <c r="A2180" t="str">
        <f t="shared" ref="A2180:A2243" si="34">C2180&amp;D2180&amp;G2180</f>
        <v>Poté20212.8</v>
      </c>
      <c r="B2180">
        <v>3152402</v>
      </c>
      <c r="C2180" t="s">
        <v>57</v>
      </c>
      <c r="D2180">
        <v>2021</v>
      </c>
      <c r="E2180">
        <v>6</v>
      </c>
      <c r="F2180">
        <v>35</v>
      </c>
      <c r="G2180" t="s">
        <v>26</v>
      </c>
      <c r="H2180" t="s">
        <v>18</v>
      </c>
      <c r="I2180" s="1" t="s">
        <v>27</v>
      </c>
      <c r="J2180">
        <v>0.23369999999999999</v>
      </c>
    </row>
    <row r="2181" spans="1:10" hidden="1" x14ac:dyDescent="0.35">
      <c r="A2181" t="str">
        <f t="shared" si="34"/>
        <v>Poté20214.1</v>
      </c>
      <c r="B2181">
        <v>3152402</v>
      </c>
      <c r="C2181" t="s">
        <v>57</v>
      </c>
      <c r="D2181">
        <v>2021</v>
      </c>
      <c r="E2181">
        <v>6</v>
      </c>
      <c r="F2181">
        <v>44</v>
      </c>
      <c r="G2181" t="s">
        <v>28</v>
      </c>
      <c r="H2181" t="s">
        <v>29</v>
      </c>
      <c r="I2181" s="1" t="s">
        <v>30</v>
      </c>
      <c r="J2181">
        <v>3545.16</v>
      </c>
    </row>
    <row r="2182" spans="1:10" hidden="1" x14ac:dyDescent="0.35">
      <c r="A2182" t="str">
        <f t="shared" si="34"/>
        <v>Poté20214.10</v>
      </c>
      <c r="B2182">
        <v>3152402</v>
      </c>
      <c r="C2182" t="s">
        <v>57</v>
      </c>
      <c r="D2182">
        <v>2021</v>
      </c>
      <c r="E2182">
        <v>6</v>
      </c>
      <c r="F2182">
        <v>58</v>
      </c>
      <c r="G2182" t="s">
        <v>31</v>
      </c>
      <c r="H2182" t="s">
        <v>29</v>
      </c>
      <c r="I2182" s="1" t="s">
        <v>32</v>
      </c>
      <c r="J2182">
        <v>4095.26</v>
      </c>
    </row>
    <row r="2183" spans="1:10" hidden="1" x14ac:dyDescent="0.35">
      <c r="A2183" t="str">
        <f t="shared" si="34"/>
        <v>Poté20214.11</v>
      </c>
      <c r="B2183">
        <v>3152402</v>
      </c>
      <c r="C2183" t="s">
        <v>57</v>
      </c>
      <c r="D2183">
        <v>2021</v>
      </c>
      <c r="E2183">
        <v>6</v>
      </c>
      <c r="F2183">
        <v>59</v>
      </c>
      <c r="G2183" t="s">
        <v>33</v>
      </c>
      <c r="H2183" t="s">
        <v>29</v>
      </c>
      <c r="I2183" s="1" t="s">
        <v>34</v>
      </c>
      <c r="J2183">
        <v>1088.73</v>
      </c>
    </row>
    <row r="2184" spans="1:10" hidden="1" x14ac:dyDescent="0.35">
      <c r="A2184" t="str">
        <f t="shared" si="34"/>
        <v>Poté20214.2</v>
      </c>
      <c r="B2184">
        <v>3152402</v>
      </c>
      <c r="C2184" t="s">
        <v>57</v>
      </c>
      <c r="D2184">
        <v>2021</v>
      </c>
      <c r="E2184">
        <v>6</v>
      </c>
      <c r="F2184">
        <v>45</v>
      </c>
      <c r="G2184" t="s">
        <v>35</v>
      </c>
      <c r="H2184" t="s">
        <v>29</v>
      </c>
      <c r="I2184" s="1" t="s">
        <v>36</v>
      </c>
      <c r="J2184">
        <v>8627.83</v>
      </c>
    </row>
    <row r="2185" spans="1:10" hidden="1" x14ac:dyDescent="0.35">
      <c r="A2185" t="str">
        <f t="shared" si="34"/>
        <v>Poté20214.8</v>
      </c>
      <c r="B2185">
        <v>3152402</v>
      </c>
      <c r="C2185" t="s">
        <v>57</v>
      </c>
      <c r="D2185">
        <v>2021</v>
      </c>
      <c r="E2185">
        <v>6</v>
      </c>
      <c r="F2185">
        <v>56</v>
      </c>
      <c r="G2185" t="s">
        <v>37</v>
      </c>
      <c r="H2185" t="s">
        <v>29</v>
      </c>
      <c r="I2185" s="1" t="s">
        <v>38</v>
      </c>
      <c r="J2185">
        <v>7766.17</v>
      </c>
    </row>
    <row r="2186" spans="1:10" hidden="1" x14ac:dyDescent="0.35">
      <c r="A2186" t="str">
        <f t="shared" si="34"/>
        <v>Poté20214.9</v>
      </c>
      <c r="B2186">
        <v>3152402</v>
      </c>
      <c r="C2186" t="s">
        <v>57</v>
      </c>
      <c r="D2186">
        <v>2021</v>
      </c>
      <c r="E2186">
        <v>6</v>
      </c>
      <c r="F2186">
        <v>57</v>
      </c>
      <c r="G2186" t="s">
        <v>39</v>
      </c>
      <c r="H2186" t="s">
        <v>29</v>
      </c>
      <c r="I2186" s="1" t="s">
        <v>40</v>
      </c>
      <c r="J2186">
        <v>7766.17</v>
      </c>
    </row>
    <row r="2187" spans="1:10" hidden="1" x14ac:dyDescent="0.35">
      <c r="A2187" t="str">
        <f t="shared" si="34"/>
        <v>Santa Helena de Minas20211.1</v>
      </c>
      <c r="B2187">
        <v>3157658</v>
      </c>
      <c r="C2187" t="s">
        <v>58</v>
      </c>
      <c r="D2187">
        <v>2021</v>
      </c>
      <c r="E2187">
        <v>6</v>
      </c>
      <c r="F2187">
        <v>24</v>
      </c>
      <c r="G2187" t="s">
        <v>10</v>
      </c>
      <c r="H2187" t="s">
        <v>11</v>
      </c>
      <c r="I2187" s="1" t="s">
        <v>12</v>
      </c>
      <c r="J2187">
        <v>0.21329999999999999</v>
      </c>
    </row>
    <row r="2188" spans="1:10" hidden="1" x14ac:dyDescent="0.35">
      <c r="A2188" t="str">
        <f t="shared" si="34"/>
        <v>Santa Helena de Minas20211.2</v>
      </c>
      <c r="B2188">
        <v>3157658</v>
      </c>
      <c r="C2188" t="s">
        <v>58</v>
      </c>
      <c r="D2188">
        <v>2021</v>
      </c>
      <c r="E2188">
        <v>6</v>
      </c>
      <c r="F2188">
        <v>67</v>
      </c>
      <c r="G2188" t="s">
        <v>13</v>
      </c>
      <c r="H2188" t="s">
        <v>11</v>
      </c>
      <c r="I2188" s="1" t="s">
        <v>14</v>
      </c>
      <c r="J2188">
        <v>0.72599999999999998</v>
      </c>
    </row>
    <row r="2189" spans="1:10" hidden="1" x14ac:dyDescent="0.35">
      <c r="A2189" t="str">
        <f t="shared" si="34"/>
        <v>Santa Helena de Minas20211.3</v>
      </c>
      <c r="B2189">
        <v>3157658</v>
      </c>
      <c r="C2189" t="s">
        <v>58</v>
      </c>
      <c r="D2189">
        <v>2021</v>
      </c>
      <c r="E2189">
        <v>6</v>
      </c>
      <c r="F2189">
        <v>68</v>
      </c>
      <c r="G2189" t="s">
        <v>15</v>
      </c>
      <c r="H2189" t="s">
        <v>11</v>
      </c>
      <c r="I2189" s="1" t="s">
        <v>16</v>
      </c>
      <c r="J2189">
        <v>0.1459</v>
      </c>
    </row>
    <row r="2190" spans="1:10" hidden="1" x14ac:dyDescent="0.35">
      <c r="A2190" t="str">
        <f t="shared" si="34"/>
        <v>Santa Helena de Minas20212.1</v>
      </c>
      <c r="B2190">
        <v>3157658</v>
      </c>
      <c r="C2190" t="s">
        <v>58</v>
      </c>
      <c r="D2190">
        <v>2021</v>
      </c>
      <c r="E2190">
        <v>6</v>
      </c>
      <c r="F2190">
        <v>28</v>
      </c>
      <c r="G2190" t="s">
        <v>17</v>
      </c>
      <c r="H2190" t="s">
        <v>18</v>
      </c>
      <c r="I2190" s="1" t="s">
        <v>19</v>
      </c>
      <c r="J2190">
        <v>2.76E-2</v>
      </c>
    </row>
    <row r="2191" spans="1:10" hidden="1" x14ac:dyDescent="0.35">
      <c r="A2191" t="str">
        <f t="shared" si="34"/>
        <v>Santa Helena de Minas20212.2</v>
      </c>
      <c r="B2191">
        <v>3157658</v>
      </c>
      <c r="C2191" t="s">
        <v>58</v>
      </c>
      <c r="D2191">
        <v>2021</v>
      </c>
      <c r="E2191">
        <v>6</v>
      </c>
      <c r="F2191">
        <v>29</v>
      </c>
      <c r="G2191" t="s">
        <v>20</v>
      </c>
      <c r="H2191" t="s">
        <v>18</v>
      </c>
      <c r="I2191" s="1" t="s">
        <v>21</v>
      </c>
      <c r="J2191">
        <v>0.84430000000000005</v>
      </c>
    </row>
    <row r="2192" spans="1:10" hidden="1" x14ac:dyDescent="0.35">
      <c r="A2192" t="str">
        <f t="shared" si="34"/>
        <v>Santa Helena de Minas20212.4</v>
      </c>
      <c r="B2192">
        <v>3157658</v>
      </c>
      <c r="C2192" t="s">
        <v>58</v>
      </c>
      <c r="D2192">
        <v>2021</v>
      </c>
      <c r="E2192">
        <v>6</v>
      </c>
      <c r="F2192">
        <v>31</v>
      </c>
      <c r="G2192" t="s">
        <v>22</v>
      </c>
      <c r="H2192" t="s">
        <v>18</v>
      </c>
      <c r="I2192" s="1" t="s">
        <v>23</v>
      </c>
      <c r="J2192">
        <v>9.5000000000000001E-2</v>
      </c>
    </row>
    <row r="2193" spans="1:10" hidden="1" x14ac:dyDescent="0.35">
      <c r="A2193" t="str">
        <f t="shared" si="34"/>
        <v>Santa Helena de Minas20212.5</v>
      </c>
      <c r="B2193">
        <v>3157658</v>
      </c>
      <c r="C2193" t="s">
        <v>58</v>
      </c>
      <c r="D2193">
        <v>2021</v>
      </c>
      <c r="E2193">
        <v>6</v>
      </c>
      <c r="F2193">
        <v>32</v>
      </c>
      <c r="G2193" t="s">
        <v>24</v>
      </c>
      <c r="H2193" t="s">
        <v>18</v>
      </c>
      <c r="I2193" s="1" t="s">
        <v>25</v>
      </c>
      <c r="J2193">
        <v>0.85760000000000003</v>
      </c>
    </row>
    <row r="2194" spans="1:10" hidden="1" x14ac:dyDescent="0.35">
      <c r="A2194" t="str">
        <f t="shared" si="34"/>
        <v>Santa Helena de Minas20212.8</v>
      </c>
      <c r="B2194">
        <v>3157658</v>
      </c>
      <c r="C2194" t="s">
        <v>58</v>
      </c>
      <c r="D2194">
        <v>2021</v>
      </c>
      <c r="E2194">
        <v>6</v>
      </c>
      <c r="F2194">
        <v>35</v>
      </c>
      <c r="G2194" t="s">
        <v>26</v>
      </c>
      <c r="H2194" t="s">
        <v>18</v>
      </c>
      <c r="I2194" s="1" t="s">
        <v>27</v>
      </c>
      <c r="J2194">
        <v>0.13070000000000001</v>
      </c>
    </row>
    <row r="2195" spans="1:10" hidden="1" x14ac:dyDescent="0.35">
      <c r="A2195" t="str">
        <f t="shared" si="34"/>
        <v>Santa Helena de Minas20214.1</v>
      </c>
      <c r="B2195">
        <v>3157658</v>
      </c>
      <c r="C2195" t="s">
        <v>58</v>
      </c>
      <c r="D2195">
        <v>2021</v>
      </c>
      <c r="E2195">
        <v>6</v>
      </c>
      <c r="F2195">
        <v>44</v>
      </c>
      <c r="G2195" t="s">
        <v>28</v>
      </c>
      <c r="H2195" t="s">
        <v>29</v>
      </c>
      <c r="I2195" s="1" t="s">
        <v>30</v>
      </c>
      <c r="J2195">
        <v>2463.02</v>
      </c>
    </row>
    <row r="2196" spans="1:10" hidden="1" x14ac:dyDescent="0.35">
      <c r="A2196" t="str">
        <f t="shared" si="34"/>
        <v>Santa Helena de Minas20214.10</v>
      </c>
      <c r="B2196">
        <v>3157658</v>
      </c>
      <c r="C2196" t="s">
        <v>58</v>
      </c>
      <c r="D2196">
        <v>2021</v>
      </c>
      <c r="E2196">
        <v>6</v>
      </c>
      <c r="F2196">
        <v>58</v>
      </c>
      <c r="G2196" t="s">
        <v>31</v>
      </c>
      <c r="H2196" t="s">
        <v>29</v>
      </c>
      <c r="I2196" s="1" t="s">
        <v>32</v>
      </c>
      <c r="J2196">
        <v>4284.04</v>
      </c>
    </row>
    <row r="2197" spans="1:10" hidden="1" x14ac:dyDescent="0.35">
      <c r="A2197" t="str">
        <f t="shared" si="34"/>
        <v>Santa Helena de Minas20214.11</v>
      </c>
      <c r="B2197">
        <v>3157658</v>
      </c>
      <c r="C2197" t="s">
        <v>58</v>
      </c>
      <c r="D2197">
        <v>2021</v>
      </c>
      <c r="E2197">
        <v>6</v>
      </c>
      <c r="F2197">
        <v>59</v>
      </c>
      <c r="G2197" t="s">
        <v>33</v>
      </c>
      <c r="H2197" t="s">
        <v>29</v>
      </c>
      <c r="I2197" s="1" t="s">
        <v>34</v>
      </c>
      <c r="J2197">
        <v>259.63</v>
      </c>
    </row>
    <row r="2198" spans="1:10" hidden="1" x14ac:dyDescent="0.35">
      <c r="A2198" t="str">
        <f t="shared" si="34"/>
        <v>Santa Helena de Minas20214.2</v>
      </c>
      <c r="B2198">
        <v>3157658</v>
      </c>
      <c r="C2198" t="s">
        <v>58</v>
      </c>
      <c r="D2198">
        <v>2021</v>
      </c>
      <c r="E2198">
        <v>6</v>
      </c>
      <c r="F2198">
        <v>45</v>
      </c>
      <c r="G2198" t="s">
        <v>35</v>
      </c>
      <c r="H2198" t="s">
        <v>29</v>
      </c>
      <c r="I2198" s="1" t="s">
        <v>36</v>
      </c>
      <c r="J2198">
        <v>9069.94</v>
      </c>
    </row>
    <row r="2199" spans="1:10" hidden="1" x14ac:dyDescent="0.35">
      <c r="A2199" t="str">
        <f t="shared" si="34"/>
        <v>Santa Helena de Minas20214.8</v>
      </c>
      <c r="B2199">
        <v>3157658</v>
      </c>
      <c r="C2199" t="s">
        <v>58</v>
      </c>
      <c r="D2199">
        <v>2021</v>
      </c>
      <c r="E2199">
        <v>6</v>
      </c>
      <c r="F2199">
        <v>56</v>
      </c>
      <c r="G2199" t="s">
        <v>37</v>
      </c>
      <c r="H2199" t="s">
        <v>29</v>
      </c>
      <c r="I2199" s="1" t="s">
        <v>38</v>
      </c>
      <c r="J2199">
        <v>7511.04</v>
      </c>
    </row>
    <row r="2200" spans="1:10" hidden="1" x14ac:dyDescent="0.35">
      <c r="A2200" t="str">
        <f t="shared" si="34"/>
        <v>Santa Helena de Minas20214.9</v>
      </c>
      <c r="B2200">
        <v>3157658</v>
      </c>
      <c r="C2200" t="s">
        <v>58</v>
      </c>
      <c r="D2200">
        <v>2021</v>
      </c>
      <c r="E2200">
        <v>6</v>
      </c>
      <c r="F2200">
        <v>57</v>
      </c>
      <c r="G2200" t="s">
        <v>39</v>
      </c>
      <c r="H2200" t="s">
        <v>29</v>
      </c>
      <c r="I2200" s="1" t="s">
        <v>40</v>
      </c>
      <c r="J2200">
        <v>7511.04</v>
      </c>
    </row>
    <row r="2201" spans="1:10" hidden="1" x14ac:dyDescent="0.35">
      <c r="A2201" t="str">
        <f t="shared" si="34"/>
        <v>Serra dos Aimorés20211.1</v>
      </c>
      <c r="B2201">
        <v>3166709</v>
      </c>
      <c r="C2201" t="s">
        <v>59</v>
      </c>
      <c r="D2201">
        <v>2021</v>
      </c>
      <c r="E2201">
        <v>6</v>
      </c>
      <c r="F2201">
        <v>24</v>
      </c>
      <c r="G2201" t="s">
        <v>10</v>
      </c>
      <c r="H2201" t="s">
        <v>11</v>
      </c>
      <c r="I2201" s="1" t="s">
        <v>12</v>
      </c>
      <c r="J2201">
        <v>0.25619999999999998</v>
      </c>
    </row>
    <row r="2202" spans="1:10" hidden="1" x14ac:dyDescent="0.35">
      <c r="A2202" t="str">
        <f t="shared" si="34"/>
        <v>Serra dos Aimorés20211.2</v>
      </c>
      <c r="B2202">
        <v>3166709</v>
      </c>
      <c r="C2202" t="s">
        <v>59</v>
      </c>
      <c r="D2202">
        <v>2021</v>
      </c>
      <c r="E2202">
        <v>6</v>
      </c>
      <c r="F2202">
        <v>67</v>
      </c>
      <c r="G2202" t="s">
        <v>13</v>
      </c>
      <c r="H2202" t="s">
        <v>11</v>
      </c>
      <c r="I2202" s="1" t="s">
        <v>14</v>
      </c>
      <c r="J2202">
        <v>0.77639999999999998</v>
      </c>
    </row>
    <row r="2203" spans="1:10" hidden="1" x14ac:dyDescent="0.35">
      <c r="A2203" t="str">
        <f t="shared" si="34"/>
        <v>Serra dos Aimorés20211.3</v>
      </c>
      <c r="B2203">
        <v>3166709</v>
      </c>
      <c r="C2203" t="s">
        <v>59</v>
      </c>
      <c r="D2203">
        <v>2021</v>
      </c>
      <c r="E2203">
        <v>6</v>
      </c>
      <c r="F2203">
        <v>68</v>
      </c>
      <c r="G2203" t="s">
        <v>15</v>
      </c>
      <c r="H2203" t="s">
        <v>11</v>
      </c>
      <c r="I2203" s="1" t="s">
        <v>16</v>
      </c>
      <c r="J2203">
        <v>0.22209999999999999</v>
      </c>
    </row>
    <row r="2204" spans="1:10" hidden="1" x14ac:dyDescent="0.35">
      <c r="A2204" t="str">
        <f t="shared" si="34"/>
        <v>Serra dos Aimorés20212.1</v>
      </c>
      <c r="B2204">
        <v>3166709</v>
      </c>
      <c r="C2204" t="s">
        <v>59</v>
      </c>
      <c r="D2204">
        <v>2021</v>
      </c>
      <c r="E2204">
        <v>6</v>
      </c>
      <c r="F2204">
        <v>28</v>
      </c>
      <c r="G2204" t="s">
        <v>17</v>
      </c>
      <c r="H2204" t="s">
        <v>18</v>
      </c>
      <c r="I2204" s="1" t="s">
        <v>19</v>
      </c>
      <c r="J2204">
        <v>0.21560000000000001</v>
      </c>
    </row>
    <row r="2205" spans="1:10" hidden="1" x14ac:dyDescent="0.35">
      <c r="A2205" t="str">
        <f t="shared" si="34"/>
        <v>Serra dos Aimorés20212.2</v>
      </c>
      <c r="B2205">
        <v>3166709</v>
      </c>
      <c r="C2205" t="s">
        <v>59</v>
      </c>
      <c r="D2205">
        <v>2021</v>
      </c>
      <c r="E2205">
        <v>6</v>
      </c>
      <c r="F2205">
        <v>29</v>
      </c>
      <c r="G2205" t="s">
        <v>20</v>
      </c>
      <c r="H2205" t="s">
        <v>18</v>
      </c>
      <c r="I2205" s="1" t="s">
        <v>21</v>
      </c>
      <c r="J2205">
        <v>0.78290000000000004</v>
      </c>
    </row>
    <row r="2206" spans="1:10" hidden="1" x14ac:dyDescent="0.35">
      <c r="A2206" t="str">
        <f t="shared" si="34"/>
        <v>Serra dos Aimorés20212.4</v>
      </c>
      <c r="B2206">
        <v>3166709</v>
      </c>
      <c r="C2206" t="s">
        <v>59</v>
      </c>
      <c r="D2206">
        <v>2021</v>
      </c>
      <c r="E2206">
        <v>6</v>
      </c>
      <c r="F2206">
        <v>31</v>
      </c>
      <c r="G2206" t="s">
        <v>22</v>
      </c>
      <c r="H2206" t="s">
        <v>18</v>
      </c>
      <c r="I2206" s="1" t="s">
        <v>23</v>
      </c>
      <c r="J2206">
        <v>0.15129999999999999</v>
      </c>
    </row>
    <row r="2207" spans="1:10" hidden="1" x14ac:dyDescent="0.35">
      <c r="A2207" t="str">
        <f t="shared" si="34"/>
        <v>Serra dos Aimorés20212.5</v>
      </c>
      <c r="B2207">
        <v>3166709</v>
      </c>
      <c r="C2207" t="s">
        <v>59</v>
      </c>
      <c r="D2207">
        <v>2021</v>
      </c>
      <c r="E2207">
        <v>6</v>
      </c>
      <c r="F2207">
        <v>32</v>
      </c>
      <c r="G2207" t="s">
        <v>24</v>
      </c>
      <c r="H2207" t="s">
        <v>18</v>
      </c>
      <c r="I2207" s="1" t="s">
        <v>25</v>
      </c>
      <c r="J2207">
        <v>0.72030000000000005</v>
      </c>
    </row>
    <row r="2208" spans="1:10" hidden="1" x14ac:dyDescent="0.35">
      <c r="A2208" t="str">
        <f t="shared" si="34"/>
        <v>Serra dos Aimorés20212.8</v>
      </c>
      <c r="B2208">
        <v>3166709</v>
      </c>
      <c r="C2208" t="s">
        <v>59</v>
      </c>
      <c r="D2208">
        <v>2021</v>
      </c>
      <c r="E2208">
        <v>6</v>
      </c>
      <c r="F2208">
        <v>35</v>
      </c>
      <c r="G2208" t="s">
        <v>26</v>
      </c>
      <c r="H2208" t="s">
        <v>18</v>
      </c>
      <c r="I2208" s="1" t="s">
        <v>27</v>
      </c>
      <c r="J2208">
        <v>0.2195</v>
      </c>
    </row>
    <row r="2209" spans="1:10" hidden="1" x14ac:dyDescent="0.35">
      <c r="A2209" t="str">
        <f t="shared" si="34"/>
        <v>Serra dos Aimorés20214.1</v>
      </c>
      <c r="B2209">
        <v>3166709</v>
      </c>
      <c r="C2209" t="s">
        <v>59</v>
      </c>
      <c r="D2209">
        <v>2021</v>
      </c>
      <c r="E2209">
        <v>6</v>
      </c>
      <c r="F2209">
        <v>44</v>
      </c>
      <c r="G2209" t="s">
        <v>28</v>
      </c>
      <c r="H2209" t="s">
        <v>29</v>
      </c>
      <c r="I2209" s="1" t="s">
        <v>30</v>
      </c>
      <c r="J2209">
        <v>3365.53</v>
      </c>
    </row>
    <row r="2210" spans="1:10" hidden="1" x14ac:dyDescent="0.35">
      <c r="A2210" t="str">
        <f t="shared" si="34"/>
        <v>Serra dos Aimorés20214.10</v>
      </c>
      <c r="B2210">
        <v>3166709</v>
      </c>
      <c r="C2210" t="s">
        <v>59</v>
      </c>
      <c r="D2210">
        <v>2021</v>
      </c>
      <c r="E2210">
        <v>6</v>
      </c>
      <c r="F2210">
        <v>58</v>
      </c>
      <c r="G2210" t="s">
        <v>31</v>
      </c>
      <c r="H2210" t="s">
        <v>29</v>
      </c>
      <c r="I2210" s="1" t="s">
        <v>32</v>
      </c>
      <c r="J2210">
        <v>3891.18</v>
      </c>
    </row>
    <row r="2211" spans="1:10" hidden="1" x14ac:dyDescent="0.35">
      <c r="A2211" t="str">
        <f t="shared" si="34"/>
        <v>Serra dos Aimorés20214.11</v>
      </c>
      <c r="B2211">
        <v>3166709</v>
      </c>
      <c r="C2211" t="s">
        <v>59</v>
      </c>
      <c r="D2211">
        <v>2021</v>
      </c>
      <c r="E2211">
        <v>6</v>
      </c>
      <c r="F2211">
        <v>59</v>
      </c>
      <c r="G2211" t="s">
        <v>33</v>
      </c>
      <c r="H2211" t="s">
        <v>29</v>
      </c>
      <c r="I2211" s="1" t="s">
        <v>34</v>
      </c>
      <c r="J2211">
        <v>1190.79</v>
      </c>
    </row>
    <row r="2212" spans="1:10" hidden="1" x14ac:dyDescent="0.35">
      <c r="A2212" t="str">
        <f t="shared" si="34"/>
        <v>Serra dos Aimorés20214.2</v>
      </c>
      <c r="B2212">
        <v>3166709</v>
      </c>
      <c r="C2212" t="s">
        <v>59</v>
      </c>
      <c r="D2212">
        <v>2021</v>
      </c>
      <c r="E2212">
        <v>6</v>
      </c>
      <c r="F2212">
        <v>45</v>
      </c>
      <c r="G2212" t="s">
        <v>35</v>
      </c>
      <c r="H2212" t="s">
        <v>29</v>
      </c>
      <c r="I2212" s="1" t="s">
        <v>36</v>
      </c>
      <c r="J2212">
        <v>12493.24</v>
      </c>
    </row>
    <row r="2213" spans="1:10" hidden="1" x14ac:dyDescent="0.35">
      <c r="A2213" t="str">
        <f t="shared" si="34"/>
        <v>Serra dos Aimorés20214.8</v>
      </c>
      <c r="B2213">
        <v>3166709</v>
      </c>
      <c r="C2213" t="s">
        <v>59</v>
      </c>
      <c r="D2213">
        <v>2021</v>
      </c>
      <c r="E2213">
        <v>6</v>
      </c>
      <c r="F2213">
        <v>56</v>
      </c>
      <c r="G2213" t="s">
        <v>37</v>
      </c>
      <c r="H2213" t="s">
        <v>29</v>
      </c>
      <c r="I2213" s="1" t="s">
        <v>38</v>
      </c>
      <c r="J2213">
        <v>8329.76</v>
      </c>
    </row>
    <row r="2214" spans="1:10" hidden="1" x14ac:dyDescent="0.35">
      <c r="A2214" t="str">
        <f t="shared" si="34"/>
        <v>Serra dos Aimorés20214.9</v>
      </c>
      <c r="B2214">
        <v>3166709</v>
      </c>
      <c r="C2214" t="s">
        <v>59</v>
      </c>
      <c r="D2214">
        <v>2021</v>
      </c>
      <c r="E2214">
        <v>6</v>
      </c>
      <c r="F2214">
        <v>57</v>
      </c>
      <c r="G2214" t="s">
        <v>39</v>
      </c>
      <c r="H2214" t="s">
        <v>29</v>
      </c>
      <c r="I2214" s="1" t="s">
        <v>40</v>
      </c>
      <c r="J2214">
        <v>8329.76</v>
      </c>
    </row>
    <row r="2215" spans="1:10" hidden="1" x14ac:dyDescent="0.35">
      <c r="A2215" t="str">
        <f t="shared" si="34"/>
        <v>Setubinha20211.1</v>
      </c>
      <c r="B2215">
        <v>3165552</v>
      </c>
      <c r="C2215" t="s">
        <v>60</v>
      </c>
      <c r="D2215">
        <v>2021</v>
      </c>
      <c r="E2215">
        <v>6</v>
      </c>
      <c r="F2215">
        <v>24</v>
      </c>
      <c r="G2215" t="s">
        <v>10</v>
      </c>
      <c r="H2215" t="s">
        <v>11</v>
      </c>
      <c r="I2215" s="1" t="s">
        <v>12</v>
      </c>
      <c r="J2215">
        <v>0.25109999999999999</v>
      </c>
    </row>
    <row r="2216" spans="1:10" hidden="1" x14ac:dyDescent="0.35">
      <c r="A2216" t="str">
        <f t="shared" si="34"/>
        <v>Setubinha20211.2</v>
      </c>
      <c r="B2216">
        <v>3165552</v>
      </c>
      <c r="C2216" t="s">
        <v>60</v>
      </c>
      <c r="D2216">
        <v>2021</v>
      </c>
      <c r="E2216">
        <v>6</v>
      </c>
      <c r="F2216">
        <v>67</v>
      </c>
      <c r="G2216" t="s">
        <v>13</v>
      </c>
      <c r="H2216" t="s">
        <v>11</v>
      </c>
      <c r="I2216" s="1" t="s">
        <v>14</v>
      </c>
      <c r="J2216">
        <v>0.71960000000000002</v>
      </c>
    </row>
    <row r="2217" spans="1:10" hidden="1" x14ac:dyDescent="0.35">
      <c r="A2217" t="str">
        <f t="shared" si="34"/>
        <v>Setubinha20211.3</v>
      </c>
      <c r="B2217">
        <v>3165552</v>
      </c>
      <c r="C2217" t="s">
        <v>60</v>
      </c>
      <c r="D2217">
        <v>2021</v>
      </c>
      <c r="E2217">
        <v>6</v>
      </c>
      <c r="F2217">
        <v>68</v>
      </c>
      <c r="G2217" t="s">
        <v>15</v>
      </c>
      <c r="H2217" t="s">
        <v>11</v>
      </c>
      <c r="I2217" s="1" t="s">
        <v>16</v>
      </c>
      <c r="J2217">
        <v>0.18410000000000001</v>
      </c>
    </row>
    <row r="2218" spans="1:10" hidden="1" x14ac:dyDescent="0.35">
      <c r="A2218" t="str">
        <f t="shared" si="34"/>
        <v>Setubinha20212.1</v>
      </c>
      <c r="B2218">
        <v>3165552</v>
      </c>
      <c r="C2218" t="s">
        <v>60</v>
      </c>
      <c r="D2218">
        <v>2021</v>
      </c>
      <c r="E2218">
        <v>6</v>
      </c>
      <c r="F2218">
        <v>28</v>
      </c>
      <c r="G2218" t="s">
        <v>17</v>
      </c>
      <c r="H2218" t="s">
        <v>18</v>
      </c>
      <c r="I2218" s="1" t="s">
        <v>19</v>
      </c>
      <c r="J2218">
        <v>0.20480000000000001</v>
      </c>
    </row>
    <row r="2219" spans="1:10" hidden="1" x14ac:dyDescent="0.35">
      <c r="A2219" t="str">
        <f t="shared" si="34"/>
        <v>Setubinha20212.2</v>
      </c>
      <c r="B2219">
        <v>3165552</v>
      </c>
      <c r="C2219" t="s">
        <v>60</v>
      </c>
      <c r="D2219">
        <v>2021</v>
      </c>
      <c r="E2219">
        <v>6</v>
      </c>
      <c r="F2219">
        <v>29</v>
      </c>
      <c r="G2219" t="s">
        <v>20</v>
      </c>
      <c r="H2219" t="s">
        <v>18</v>
      </c>
      <c r="I2219" s="1" t="s">
        <v>21</v>
      </c>
      <c r="J2219">
        <v>0.69889999999999997</v>
      </c>
    </row>
    <row r="2220" spans="1:10" hidden="1" x14ac:dyDescent="0.35">
      <c r="A2220" t="str">
        <f t="shared" si="34"/>
        <v>Setubinha20212.4</v>
      </c>
      <c r="B2220">
        <v>3165552</v>
      </c>
      <c r="C2220" t="s">
        <v>60</v>
      </c>
      <c r="D2220">
        <v>2021</v>
      </c>
      <c r="E2220">
        <v>6</v>
      </c>
      <c r="F2220">
        <v>31</v>
      </c>
      <c r="G2220" t="s">
        <v>22</v>
      </c>
      <c r="H2220" t="s">
        <v>18</v>
      </c>
      <c r="I2220" s="1" t="s">
        <v>23</v>
      </c>
      <c r="J2220">
        <v>0.19689999999999999</v>
      </c>
    </row>
    <row r="2221" spans="1:10" hidden="1" x14ac:dyDescent="0.35">
      <c r="A2221" t="str">
        <f t="shared" si="34"/>
        <v>Setubinha20212.5</v>
      </c>
      <c r="B2221">
        <v>3165552</v>
      </c>
      <c r="C2221" t="s">
        <v>60</v>
      </c>
      <c r="D2221">
        <v>2021</v>
      </c>
      <c r="E2221">
        <v>6</v>
      </c>
      <c r="F2221">
        <v>32</v>
      </c>
      <c r="G2221" t="s">
        <v>24</v>
      </c>
      <c r="H2221" t="s">
        <v>18</v>
      </c>
      <c r="I2221" s="1" t="s">
        <v>25</v>
      </c>
      <c r="J2221">
        <v>0.5665</v>
      </c>
    </row>
    <row r="2222" spans="1:10" hidden="1" x14ac:dyDescent="0.35">
      <c r="A2222" t="str">
        <f t="shared" si="34"/>
        <v>Setubinha20212.8</v>
      </c>
      <c r="B2222">
        <v>3165552</v>
      </c>
      <c r="C2222" t="s">
        <v>60</v>
      </c>
      <c r="D2222">
        <v>2021</v>
      </c>
      <c r="E2222">
        <v>6</v>
      </c>
      <c r="F2222">
        <v>35</v>
      </c>
      <c r="G2222" t="s">
        <v>26</v>
      </c>
      <c r="H2222" t="s">
        <v>18</v>
      </c>
      <c r="I2222" s="1" t="s">
        <v>27</v>
      </c>
      <c r="J2222">
        <v>0.35070000000000001</v>
      </c>
    </row>
    <row r="2223" spans="1:10" hidden="1" x14ac:dyDescent="0.35">
      <c r="A2223" t="str">
        <f t="shared" si="34"/>
        <v>Setubinha20214.1</v>
      </c>
      <c r="B2223">
        <v>3165552</v>
      </c>
      <c r="C2223" t="s">
        <v>60</v>
      </c>
      <c r="D2223">
        <v>2021</v>
      </c>
      <c r="E2223">
        <v>6</v>
      </c>
      <c r="F2223">
        <v>44</v>
      </c>
      <c r="G2223" t="s">
        <v>28</v>
      </c>
      <c r="H2223" t="s">
        <v>29</v>
      </c>
      <c r="I2223" s="1" t="s">
        <v>30</v>
      </c>
      <c r="J2223">
        <v>4124.9399999999996</v>
      </c>
    </row>
    <row r="2224" spans="1:10" hidden="1" x14ac:dyDescent="0.35">
      <c r="A2224" t="str">
        <f t="shared" si="34"/>
        <v>Setubinha20214.10</v>
      </c>
      <c r="B2224">
        <v>3165552</v>
      </c>
      <c r="C2224" t="s">
        <v>60</v>
      </c>
      <c r="D2224">
        <v>2021</v>
      </c>
      <c r="E2224">
        <v>6</v>
      </c>
      <c r="F2224">
        <v>58</v>
      </c>
      <c r="G2224" t="s">
        <v>31</v>
      </c>
      <c r="H2224" t="s">
        <v>29</v>
      </c>
      <c r="I2224" s="1" t="s">
        <v>32</v>
      </c>
      <c r="J2224">
        <v>4395.6099999999997</v>
      </c>
    </row>
    <row r="2225" spans="1:10" hidden="1" x14ac:dyDescent="0.35">
      <c r="A2225" t="str">
        <f t="shared" si="34"/>
        <v>Setubinha20214.11</v>
      </c>
      <c r="B2225">
        <v>3165552</v>
      </c>
      <c r="C2225" t="s">
        <v>60</v>
      </c>
      <c r="D2225">
        <v>2021</v>
      </c>
      <c r="E2225">
        <v>6</v>
      </c>
      <c r="F2225">
        <v>59</v>
      </c>
      <c r="G2225" t="s">
        <v>33</v>
      </c>
      <c r="H2225" t="s">
        <v>29</v>
      </c>
      <c r="I2225" s="1" t="s">
        <v>34</v>
      </c>
      <c r="J2225">
        <v>1050.26</v>
      </c>
    </row>
    <row r="2226" spans="1:10" hidden="1" x14ac:dyDescent="0.35">
      <c r="A2226" t="str">
        <f t="shared" si="34"/>
        <v>Setubinha20214.2</v>
      </c>
      <c r="B2226">
        <v>3165552</v>
      </c>
      <c r="C2226" t="s">
        <v>60</v>
      </c>
      <c r="D2226">
        <v>2021</v>
      </c>
      <c r="E2226">
        <v>6</v>
      </c>
      <c r="F2226">
        <v>45</v>
      </c>
      <c r="G2226" t="s">
        <v>35</v>
      </c>
      <c r="H2226" t="s">
        <v>29</v>
      </c>
      <c r="I2226" s="1" t="s">
        <v>36</v>
      </c>
      <c r="J2226">
        <v>13632.89</v>
      </c>
    </row>
    <row r="2227" spans="1:10" hidden="1" x14ac:dyDescent="0.35">
      <c r="A2227" t="str">
        <f t="shared" si="34"/>
        <v>Setubinha20214.8</v>
      </c>
      <c r="B2227">
        <v>3165552</v>
      </c>
      <c r="C2227" t="s">
        <v>60</v>
      </c>
      <c r="D2227">
        <v>2021</v>
      </c>
      <c r="E2227">
        <v>6</v>
      </c>
      <c r="F2227">
        <v>56</v>
      </c>
      <c r="G2227" t="s">
        <v>37</v>
      </c>
      <c r="H2227" t="s">
        <v>29</v>
      </c>
      <c r="I2227" s="1" t="s">
        <v>38</v>
      </c>
      <c r="J2227">
        <v>10444.950000000001</v>
      </c>
    </row>
    <row r="2228" spans="1:10" hidden="1" x14ac:dyDescent="0.35">
      <c r="A2228" t="str">
        <f t="shared" si="34"/>
        <v>Setubinha20214.9</v>
      </c>
      <c r="B2228">
        <v>3165552</v>
      </c>
      <c r="C2228" t="s">
        <v>60</v>
      </c>
      <c r="D2228">
        <v>2021</v>
      </c>
      <c r="E2228">
        <v>6</v>
      </c>
      <c r="F2228">
        <v>57</v>
      </c>
      <c r="G2228" t="s">
        <v>39</v>
      </c>
      <c r="H2228" t="s">
        <v>29</v>
      </c>
      <c r="I2228" s="1" t="s">
        <v>40</v>
      </c>
      <c r="J2228">
        <v>10444.950000000001</v>
      </c>
    </row>
    <row r="2229" spans="1:10" hidden="1" x14ac:dyDescent="0.35">
      <c r="A2229" t="str">
        <f t="shared" si="34"/>
        <v>Teófilo Otoni20211.1</v>
      </c>
      <c r="B2229">
        <v>3168606</v>
      </c>
      <c r="C2229" t="s">
        <v>61</v>
      </c>
      <c r="D2229">
        <v>2021</v>
      </c>
      <c r="E2229">
        <v>6</v>
      </c>
      <c r="F2229">
        <v>24</v>
      </c>
      <c r="G2229" t="s">
        <v>10</v>
      </c>
      <c r="H2229" t="s">
        <v>11</v>
      </c>
      <c r="I2229" s="1" t="s">
        <v>12</v>
      </c>
      <c r="J2229">
        <v>0.22459999999999999</v>
      </c>
    </row>
    <row r="2230" spans="1:10" hidden="1" x14ac:dyDescent="0.35">
      <c r="A2230" t="str">
        <f t="shared" si="34"/>
        <v>Teófilo Otoni20211.2</v>
      </c>
      <c r="B2230">
        <v>3168606</v>
      </c>
      <c r="C2230" t="s">
        <v>61</v>
      </c>
      <c r="D2230">
        <v>2021</v>
      </c>
      <c r="E2230">
        <v>6</v>
      </c>
      <c r="F2230">
        <v>67</v>
      </c>
      <c r="G2230" t="s">
        <v>13</v>
      </c>
      <c r="H2230" t="s">
        <v>11</v>
      </c>
      <c r="I2230" s="1" t="s">
        <v>14</v>
      </c>
      <c r="J2230">
        <v>0.65280000000000005</v>
      </c>
    </row>
    <row r="2231" spans="1:10" hidden="1" x14ac:dyDescent="0.35">
      <c r="A2231" t="str">
        <f t="shared" si="34"/>
        <v>Teófilo Otoni20211.3</v>
      </c>
      <c r="B2231">
        <v>3168606</v>
      </c>
      <c r="C2231" t="s">
        <v>61</v>
      </c>
      <c r="D2231">
        <v>2021</v>
      </c>
      <c r="E2231">
        <v>6</v>
      </c>
      <c r="F2231">
        <v>68</v>
      </c>
      <c r="G2231" t="s">
        <v>15</v>
      </c>
      <c r="H2231" t="s">
        <v>11</v>
      </c>
      <c r="I2231" s="1" t="s">
        <v>16</v>
      </c>
      <c r="J2231">
        <v>0.24640000000000001</v>
      </c>
    </row>
    <row r="2232" spans="1:10" hidden="1" x14ac:dyDescent="0.35">
      <c r="A2232" t="str">
        <f t="shared" si="34"/>
        <v>Teófilo Otoni20212.1</v>
      </c>
      <c r="B2232">
        <v>3168606</v>
      </c>
      <c r="C2232" t="s">
        <v>61</v>
      </c>
      <c r="D2232">
        <v>2021</v>
      </c>
      <c r="E2232">
        <v>6</v>
      </c>
      <c r="F2232">
        <v>28</v>
      </c>
      <c r="G2232" t="s">
        <v>17</v>
      </c>
      <c r="H2232" t="s">
        <v>18</v>
      </c>
      <c r="I2232" s="1" t="s">
        <v>19</v>
      </c>
      <c r="J2232">
        <v>0.32700000000000001</v>
      </c>
    </row>
    <row r="2233" spans="1:10" hidden="1" x14ac:dyDescent="0.35">
      <c r="A2233" t="str">
        <f t="shared" si="34"/>
        <v>Teófilo Otoni20212.2</v>
      </c>
      <c r="B2233">
        <v>3168606</v>
      </c>
      <c r="C2233" t="s">
        <v>61</v>
      </c>
      <c r="D2233">
        <v>2021</v>
      </c>
      <c r="E2233">
        <v>6</v>
      </c>
      <c r="F2233">
        <v>29</v>
      </c>
      <c r="G2233" t="s">
        <v>20</v>
      </c>
      <c r="H2233" t="s">
        <v>18</v>
      </c>
      <c r="I2233" s="1" t="s">
        <v>21</v>
      </c>
      <c r="J2233">
        <v>0.57220000000000004</v>
      </c>
    </row>
    <row r="2234" spans="1:10" hidden="1" x14ac:dyDescent="0.35">
      <c r="A2234" t="str">
        <f t="shared" si="34"/>
        <v>Teófilo Otoni20212.4</v>
      </c>
      <c r="B2234">
        <v>3168606</v>
      </c>
      <c r="C2234" t="s">
        <v>61</v>
      </c>
      <c r="D2234">
        <v>2021</v>
      </c>
      <c r="E2234">
        <v>6</v>
      </c>
      <c r="F2234">
        <v>31</v>
      </c>
      <c r="G2234" t="s">
        <v>22</v>
      </c>
      <c r="H2234" t="s">
        <v>18</v>
      </c>
      <c r="I2234" s="1" t="s">
        <v>23</v>
      </c>
      <c r="J2234">
        <v>0.31040000000000001</v>
      </c>
    </row>
    <row r="2235" spans="1:10" hidden="1" x14ac:dyDescent="0.35">
      <c r="A2235" t="str">
        <f t="shared" si="34"/>
        <v>Teófilo Otoni20212.5</v>
      </c>
      <c r="B2235">
        <v>3168606</v>
      </c>
      <c r="C2235" t="s">
        <v>61</v>
      </c>
      <c r="D2235">
        <v>2021</v>
      </c>
      <c r="E2235">
        <v>6</v>
      </c>
      <c r="F2235">
        <v>32</v>
      </c>
      <c r="G2235" t="s">
        <v>24</v>
      </c>
      <c r="H2235" t="s">
        <v>18</v>
      </c>
      <c r="I2235" s="1" t="s">
        <v>25</v>
      </c>
      <c r="J2235">
        <v>0.58130000000000004</v>
      </c>
    </row>
    <row r="2236" spans="1:10" hidden="1" x14ac:dyDescent="0.35">
      <c r="A2236" t="str">
        <f t="shared" si="34"/>
        <v>Teófilo Otoni20212.8</v>
      </c>
      <c r="B2236">
        <v>3168606</v>
      </c>
      <c r="C2236" t="s">
        <v>61</v>
      </c>
      <c r="D2236">
        <v>2021</v>
      </c>
      <c r="E2236">
        <v>6</v>
      </c>
      <c r="F2236">
        <v>35</v>
      </c>
      <c r="G2236" t="s">
        <v>26</v>
      </c>
      <c r="H2236" t="s">
        <v>18</v>
      </c>
      <c r="I2236" s="1" t="s">
        <v>27</v>
      </c>
      <c r="J2236">
        <v>0.2175</v>
      </c>
    </row>
    <row r="2237" spans="1:10" hidden="1" x14ac:dyDescent="0.35">
      <c r="A2237" t="str">
        <f t="shared" si="34"/>
        <v>Teófilo Otoni20214.1</v>
      </c>
      <c r="B2237">
        <v>3168606</v>
      </c>
      <c r="C2237" t="s">
        <v>61</v>
      </c>
      <c r="D2237">
        <v>2021</v>
      </c>
      <c r="E2237">
        <v>6</v>
      </c>
      <c r="F2237">
        <v>44</v>
      </c>
      <c r="G2237" t="s">
        <v>28</v>
      </c>
      <c r="H2237" t="s">
        <v>29</v>
      </c>
      <c r="I2237" s="1" t="s">
        <v>30</v>
      </c>
      <c r="J2237">
        <v>6260.99</v>
      </c>
    </row>
    <row r="2238" spans="1:10" hidden="1" x14ac:dyDescent="0.35">
      <c r="A2238" t="str">
        <f t="shared" si="34"/>
        <v>Teófilo Otoni20214.10</v>
      </c>
      <c r="B2238">
        <v>3168606</v>
      </c>
      <c r="C2238" t="s">
        <v>61</v>
      </c>
      <c r="D2238">
        <v>2021</v>
      </c>
      <c r="E2238">
        <v>6</v>
      </c>
      <c r="F2238">
        <v>58</v>
      </c>
      <c r="G2238" t="s">
        <v>31</v>
      </c>
      <c r="H2238" t="s">
        <v>29</v>
      </c>
      <c r="I2238" s="1" t="s">
        <v>32</v>
      </c>
      <c r="J2238">
        <v>3853.56</v>
      </c>
    </row>
    <row r="2239" spans="1:10" hidden="1" x14ac:dyDescent="0.35">
      <c r="A2239" t="str">
        <f t="shared" si="34"/>
        <v>Teófilo Otoni20214.11</v>
      </c>
      <c r="B2239">
        <v>3168606</v>
      </c>
      <c r="C2239" t="s">
        <v>61</v>
      </c>
      <c r="D2239">
        <v>2021</v>
      </c>
      <c r="E2239">
        <v>6</v>
      </c>
      <c r="F2239">
        <v>59</v>
      </c>
      <c r="G2239" t="s">
        <v>33</v>
      </c>
      <c r="H2239" t="s">
        <v>29</v>
      </c>
      <c r="I2239" s="1" t="s">
        <v>34</v>
      </c>
      <c r="J2239">
        <v>478.14</v>
      </c>
    </row>
    <row r="2240" spans="1:10" hidden="1" x14ac:dyDescent="0.35">
      <c r="A2240" t="str">
        <f t="shared" si="34"/>
        <v>Teófilo Otoni20214.2</v>
      </c>
      <c r="B2240">
        <v>3168606</v>
      </c>
      <c r="C2240" t="s">
        <v>61</v>
      </c>
      <c r="D2240">
        <v>2021</v>
      </c>
      <c r="E2240">
        <v>6</v>
      </c>
      <c r="F2240">
        <v>45</v>
      </c>
      <c r="G2240" t="s">
        <v>35</v>
      </c>
      <c r="H2240" t="s">
        <v>29</v>
      </c>
      <c r="I2240" s="1" t="s">
        <v>36</v>
      </c>
      <c r="J2240">
        <v>8183.87</v>
      </c>
    </row>
    <row r="2241" spans="1:10" hidden="1" x14ac:dyDescent="0.35">
      <c r="A2241" t="str">
        <f t="shared" si="34"/>
        <v>Teófilo Otoni20214.8</v>
      </c>
      <c r="B2241">
        <v>3168606</v>
      </c>
      <c r="C2241" t="s">
        <v>61</v>
      </c>
      <c r="D2241">
        <v>2021</v>
      </c>
      <c r="E2241">
        <v>6</v>
      </c>
      <c r="F2241">
        <v>56</v>
      </c>
      <c r="G2241" t="s">
        <v>37</v>
      </c>
      <c r="H2241" t="s">
        <v>29</v>
      </c>
      <c r="I2241" s="1" t="s">
        <v>38</v>
      </c>
      <c r="J2241">
        <v>7984.17</v>
      </c>
    </row>
    <row r="2242" spans="1:10" hidden="1" x14ac:dyDescent="0.35">
      <c r="A2242" t="str">
        <f t="shared" si="34"/>
        <v>Teófilo Otoni20214.9</v>
      </c>
      <c r="B2242">
        <v>3168606</v>
      </c>
      <c r="C2242" t="s">
        <v>61</v>
      </c>
      <c r="D2242">
        <v>2021</v>
      </c>
      <c r="E2242">
        <v>6</v>
      </c>
      <c r="F2242">
        <v>57</v>
      </c>
      <c r="G2242" t="s">
        <v>39</v>
      </c>
      <c r="H2242" t="s">
        <v>29</v>
      </c>
      <c r="I2242" s="1" t="s">
        <v>40</v>
      </c>
      <c r="J2242">
        <v>7984.17</v>
      </c>
    </row>
    <row r="2243" spans="1:10" hidden="1" x14ac:dyDescent="0.35">
      <c r="A2243" t="str">
        <f t="shared" si="34"/>
        <v>Umburatiba20211.1</v>
      </c>
      <c r="B2243">
        <v>3170305</v>
      </c>
      <c r="C2243" t="s">
        <v>62</v>
      </c>
      <c r="D2243">
        <v>2021</v>
      </c>
      <c r="E2243">
        <v>6</v>
      </c>
      <c r="F2243">
        <v>24</v>
      </c>
      <c r="G2243" t="s">
        <v>10</v>
      </c>
      <c r="H2243" t="s">
        <v>11</v>
      </c>
      <c r="I2243" s="1" t="s">
        <v>12</v>
      </c>
      <c r="J2243">
        <v>0.22170000000000001</v>
      </c>
    </row>
    <row r="2244" spans="1:10" hidden="1" x14ac:dyDescent="0.35">
      <c r="A2244" t="str">
        <f t="shared" ref="A2244:A2307" si="35">C2244&amp;D2244&amp;G2244</f>
        <v>Umburatiba20211.2</v>
      </c>
      <c r="B2244">
        <v>3170305</v>
      </c>
      <c r="C2244" t="s">
        <v>62</v>
      </c>
      <c r="D2244">
        <v>2021</v>
      </c>
      <c r="E2244">
        <v>6</v>
      </c>
      <c r="F2244">
        <v>67</v>
      </c>
      <c r="G2244" t="s">
        <v>13</v>
      </c>
      <c r="H2244" t="s">
        <v>11</v>
      </c>
      <c r="I2244" s="1" t="s">
        <v>14</v>
      </c>
      <c r="J2244">
        <v>0.7</v>
      </c>
    </row>
    <row r="2245" spans="1:10" hidden="1" x14ac:dyDescent="0.35">
      <c r="A2245" t="str">
        <f t="shared" si="35"/>
        <v>Umburatiba20211.3</v>
      </c>
      <c r="B2245">
        <v>3170305</v>
      </c>
      <c r="C2245" t="s">
        <v>62</v>
      </c>
      <c r="D2245">
        <v>2021</v>
      </c>
      <c r="E2245">
        <v>6</v>
      </c>
      <c r="F2245">
        <v>68</v>
      </c>
      <c r="G2245" t="s">
        <v>15</v>
      </c>
      <c r="H2245" t="s">
        <v>11</v>
      </c>
      <c r="I2245" s="1" t="s">
        <v>16</v>
      </c>
      <c r="J2245">
        <v>0.1048</v>
      </c>
    </row>
    <row r="2246" spans="1:10" hidden="1" x14ac:dyDescent="0.35">
      <c r="A2246" t="str">
        <f t="shared" si="35"/>
        <v>Umburatiba20212.1</v>
      </c>
      <c r="B2246">
        <v>3170305</v>
      </c>
      <c r="C2246" t="s">
        <v>62</v>
      </c>
      <c r="D2246">
        <v>2021</v>
      </c>
      <c r="E2246">
        <v>6</v>
      </c>
      <c r="F2246">
        <v>28</v>
      </c>
      <c r="G2246" t="s">
        <v>17</v>
      </c>
      <c r="H2246" t="s">
        <v>18</v>
      </c>
      <c r="I2246" s="1" t="s">
        <v>19</v>
      </c>
      <c r="J2246">
        <v>8.8800000000000004E-2</v>
      </c>
    </row>
    <row r="2247" spans="1:10" hidden="1" x14ac:dyDescent="0.35">
      <c r="A2247" t="str">
        <f t="shared" si="35"/>
        <v>Umburatiba20212.2</v>
      </c>
      <c r="B2247">
        <v>3170305</v>
      </c>
      <c r="C2247" t="s">
        <v>62</v>
      </c>
      <c r="D2247">
        <v>2021</v>
      </c>
      <c r="E2247">
        <v>6</v>
      </c>
      <c r="F2247">
        <v>29</v>
      </c>
      <c r="G2247" t="s">
        <v>20</v>
      </c>
      <c r="H2247" t="s">
        <v>18</v>
      </c>
      <c r="I2247" s="1" t="s">
        <v>21</v>
      </c>
      <c r="J2247">
        <v>0.71589999999999998</v>
      </c>
    </row>
    <row r="2248" spans="1:10" hidden="1" x14ac:dyDescent="0.35">
      <c r="A2248" t="str">
        <f t="shared" si="35"/>
        <v>Umburatiba20212.4</v>
      </c>
      <c r="B2248">
        <v>3170305</v>
      </c>
      <c r="C2248" t="s">
        <v>62</v>
      </c>
      <c r="D2248">
        <v>2021</v>
      </c>
      <c r="E2248">
        <v>6</v>
      </c>
      <c r="F2248">
        <v>31</v>
      </c>
      <c r="G2248" t="s">
        <v>22</v>
      </c>
      <c r="H2248" t="s">
        <v>18</v>
      </c>
      <c r="I2248" s="1" t="s">
        <v>23</v>
      </c>
      <c r="J2248">
        <v>6.5500000000000003E-2</v>
      </c>
    </row>
    <row r="2249" spans="1:10" hidden="1" x14ac:dyDescent="0.35">
      <c r="A2249" t="str">
        <f t="shared" si="35"/>
        <v>Umburatiba20212.5</v>
      </c>
      <c r="B2249">
        <v>3170305</v>
      </c>
      <c r="C2249" t="s">
        <v>62</v>
      </c>
      <c r="D2249">
        <v>2021</v>
      </c>
      <c r="E2249">
        <v>6</v>
      </c>
      <c r="F2249">
        <v>32</v>
      </c>
      <c r="G2249" t="s">
        <v>24</v>
      </c>
      <c r="H2249" t="s">
        <v>18</v>
      </c>
      <c r="I2249" s="1" t="s">
        <v>25</v>
      </c>
      <c r="J2249">
        <v>0.86150000000000004</v>
      </c>
    </row>
    <row r="2250" spans="1:10" hidden="1" x14ac:dyDescent="0.35">
      <c r="A2250" t="str">
        <f t="shared" si="35"/>
        <v>Umburatiba20212.8</v>
      </c>
      <c r="B2250">
        <v>3170305</v>
      </c>
      <c r="C2250" t="s">
        <v>62</v>
      </c>
      <c r="D2250">
        <v>2021</v>
      </c>
      <c r="E2250">
        <v>6</v>
      </c>
      <c r="F2250">
        <v>35</v>
      </c>
      <c r="G2250" t="s">
        <v>26</v>
      </c>
      <c r="H2250" t="s">
        <v>18</v>
      </c>
      <c r="I2250" s="1" t="s">
        <v>27</v>
      </c>
      <c r="J2250">
        <v>0.3674</v>
      </c>
    </row>
    <row r="2251" spans="1:10" hidden="1" x14ac:dyDescent="0.35">
      <c r="A2251" t="str">
        <f t="shared" si="35"/>
        <v>Umburatiba20214.1</v>
      </c>
      <c r="B2251">
        <v>3170305</v>
      </c>
      <c r="C2251" t="s">
        <v>62</v>
      </c>
      <c r="D2251">
        <v>2021</v>
      </c>
      <c r="E2251">
        <v>6</v>
      </c>
      <c r="F2251">
        <v>44</v>
      </c>
      <c r="G2251" t="s">
        <v>28</v>
      </c>
      <c r="H2251" t="s">
        <v>29</v>
      </c>
      <c r="I2251" s="1" t="s">
        <v>30</v>
      </c>
      <c r="J2251">
        <v>3174.6</v>
      </c>
    </row>
    <row r="2252" spans="1:10" hidden="1" x14ac:dyDescent="0.35">
      <c r="A2252" t="str">
        <f t="shared" si="35"/>
        <v>Umburatiba20214.10</v>
      </c>
      <c r="B2252">
        <v>3170305</v>
      </c>
      <c r="C2252" t="s">
        <v>62</v>
      </c>
      <c r="D2252">
        <v>2021</v>
      </c>
      <c r="E2252">
        <v>6</v>
      </c>
      <c r="F2252">
        <v>58</v>
      </c>
      <c r="G2252" t="s">
        <v>31</v>
      </c>
      <c r="H2252" t="s">
        <v>29</v>
      </c>
      <c r="I2252" s="1" t="s">
        <v>32</v>
      </c>
      <c r="J2252">
        <v>4050.79</v>
      </c>
    </row>
    <row r="2253" spans="1:10" hidden="1" x14ac:dyDescent="0.35">
      <c r="A2253" t="str">
        <f t="shared" si="35"/>
        <v>Umburatiba20214.11</v>
      </c>
      <c r="B2253">
        <v>3170305</v>
      </c>
      <c r="C2253" t="s">
        <v>62</v>
      </c>
      <c r="D2253">
        <v>2021</v>
      </c>
      <c r="E2253">
        <v>6</v>
      </c>
      <c r="F2253">
        <v>59</v>
      </c>
      <c r="G2253" t="s">
        <v>33</v>
      </c>
      <c r="H2253" t="s">
        <v>29</v>
      </c>
      <c r="I2253" s="1" t="s">
        <v>34</v>
      </c>
      <c r="J2253">
        <v>606.37</v>
      </c>
    </row>
    <row r="2254" spans="1:10" hidden="1" x14ac:dyDescent="0.35">
      <c r="A2254" t="str">
        <f t="shared" si="35"/>
        <v>Umburatiba20214.2</v>
      </c>
      <c r="B2254">
        <v>3170305</v>
      </c>
      <c r="C2254" t="s">
        <v>62</v>
      </c>
      <c r="D2254">
        <v>2021</v>
      </c>
      <c r="E2254">
        <v>6</v>
      </c>
      <c r="F2254">
        <v>45</v>
      </c>
      <c r="G2254" t="s">
        <v>35</v>
      </c>
      <c r="H2254" t="s">
        <v>29</v>
      </c>
      <c r="I2254" s="1" t="s">
        <v>36</v>
      </c>
      <c r="J2254">
        <v>8861.17</v>
      </c>
    </row>
    <row r="2255" spans="1:10" hidden="1" x14ac:dyDescent="0.35">
      <c r="A2255" t="str">
        <f t="shared" si="35"/>
        <v>Umburatiba20214.8</v>
      </c>
      <c r="B2255">
        <v>3170305</v>
      </c>
      <c r="C2255" t="s">
        <v>62</v>
      </c>
      <c r="D2255">
        <v>2021</v>
      </c>
      <c r="E2255">
        <v>6</v>
      </c>
      <c r="F2255">
        <v>56</v>
      </c>
      <c r="G2255" t="s">
        <v>37</v>
      </c>
      <c r="H2255" t="s">
        <v>29</v>
      </c>
      <c r="I2255" s="1" t="s">
        <v>38</v>
      </c>
      <c r="J2255">
        <v>7853.22</v>
      </c>
    </row>
    <row r="2256" spans="1:10" hidden="1" x14ac:dyDescent="0.35">
      <c r="A2256" t="str">
        <f t="shared" si="35"/>
        <v>Umburatiba20214.9</v>
      </c>
      <c r="B2256">
        <v>3170305</v>
      </c>
      <c r="C2256" t="s">
        <v>62</v>
      </c>
      <c r="D2256">
        <v>2021</v>
      </c>
      <c r="E2256">
        <v>6</v>
      </c>
      <c r="F2256">
        <v>57</v>
      </c>
      <c r="G2256" t="s">
        <v>39</v>
      </c>
      <c r="H2256" t="s">
        <v>29</v>
      </c>
      <c r="I2256" s="1" t="s">
        <v>40</v>
      </c>
      <c r="J2256">
        <v>7853.22</v>
      </c>
    </row>
    <row r="2257" spans="1:10" hidden="1" x14ac:dyDescent="0.35">
      <c r="A2257" t="str">
        <f t="shared" si="35"/>
        <v>Águas Formosas20221.1</v>
      </c>
      <c r="B2257">
        <v>3100906</v>
      </c>
      <c r="C2257" t="s">
        <v>9</v>
      </c>
      <c r="D2257">
        <v>2022</v>
      </c>
      <c r="E2257">
        <v>6</v>
      </c>
      <c r="F2257">
        <v>24</v>
      </c>
      <c r="G2257" t="s">
        <v>10</v>
      </c>
      <c r="H2257" t="s">
        <v>11</v>
      </c>
      <c r="I2257" s="1" t="s">
        <v>12</v>
      </c>
      <c r="J2257">
        <v>0.26100000000000001</v>
      </c>
    </row>
    <row r="2258" spans="1:10" hidden="1" x14ac:dyDescent="0.35">
      <c r="A2258" t="str">
        <f t="shared" si="35"/>
        <v>Águas Formosas20221.2</v>
      </c>
      <c r="B2258">
        <v>3100906</v>
      </c>
      <c r="C2258" t="s">
        <v>9</v>
      </c>
      <c r="D2258">
        <v>2022</v>
      </c>
      <c r="E2258">
        <v>6</v>
      </c>
      <c r="F2258">
        <v>67</v>
      </c>
      <c r="G2258" t="s">
        <v>13</v>
      </c>
      <c r="H2258" t="s">
        <v>11</v>
      </c>
      <c r="I2258" s="1" t="s">
        <v>14</v>
      </c>
      <c r="J2258">
        <v>0.97629999999999995</v>
      </c>
    </row>
    <row r="2259" spans="1:10" hidden="1" x14ac:dyDescent="0.35">
      <c r="A2259" t="str">
        <f t="shared" si="35"/>
        <v>Águas Formosas20221.3</v>
      </c>
      <c r="B2259">
        <v>3100906</v>
      </c>
      <c r="C2259" t="s">
        <v>9</v>
      </c>
      <c r="D2259">
        <v>2022</v>
      </c>
      <c r="E2259">
        <v>6</v>
      </c>
      <c r="F2259">
        <v>68</v>
      </c>
      <c r="G2259" t="s">
        <v>15</v>
      </c>
      <c r="H2259" t="s">
        <v>11</v>
      </c>
      <c r="I2259" s="1" t="s">
        <v>16</v>
      </c>
      <c r="J2259">
        <v>2.3699999999999999E-2</v>
      </c>
    </row>
    <row r="2260" spans="1:10" hidden="1" x14ac:dyDescent="0.35">
      <c r="A2260" t="str">
        <f t="shared" si="35"/>
        <v>Águas Formosas20222.1</v>
      </c>
      <c r="B2260">
        <v>3100906</v>
      </c>
      <c r="C2260" t="s">
        <v>9</v>
      </c>
      <c r="D2260">
        <v>2022</v>
      </c>
      <c r="E2260">
        <v>6</v>
      </c>
      <c r="F2260">
        <v>28</v>
      </c>
      <c r="G2260" t="s">
        <v>17</v>
      </c>
      <c r="H2260" t="s">
        <v>18</v>
      </c>
      <c r="I2260" s="1" t="s">
        <v>19</v>
      </c>
      <c r="J2260">
        <v>0.54769999999999996</v>
      </c>
    </row>
    <row r="2261" spans="1:10" hidden="1" x14ac:dyDescent="0.35">
      <c r="A2261" t="str">
        <f t="shared" si="35"/>
        <v>Águas Formosas20222.2</v>
      </c>
      <c r="B2261">
        <v>3100906</v>
      </c>
      <c r="C2261" t="s">
        <v>9</v>
      </c>
      <c r="D2261">
        <v>2022</v>
      </c>
      <c r="E2261">
        <v>6</v>
      </c>
      <c r="F2261">
        <v>29</v>
      </c>
      <c r="G2261" t="s">
        <v>20</v>
      </c>
      <c r="H2261" t="s">
        <v>18</v>
      </c>
      <c r="I2261" s="1" t="s">
        <v>21</v>
      </c>
      <c r="J2261">
        <v>0.47470000000000001</v>
      </c>
    </row>
    <row r="2262" spans="1:10" hidden="1" x14ac:dyDescent="0.35">
      <c r="A2262" t="str">
        <f t="shared" si="35"/>
        <v>Águas Formosas20222.4</v>
      </c>
      <c r="B2262">
        <v>3100906</v>
      </c>
      <c r="C2262" t="s">
        <v>9</v>
      </c>
      <c r="D2262">
        <v>2022</v>
      </c>
      <c r="E2262">
        <v>6</v>
      </c>
      <c r="F2262">
        <v>31</v>
      </c>
      <c r="G2262" t="s">
        <v>22</v>
      </c>
      <c r="H2262" t="s">
        <v>18</v>
      </c>
      <c r="I2262" s="1" t="s">
        <v>23</v>
      </c>
      <c r="J2262">
        <v>0.32129999999999997</v>
      </c>
    </row>
    <row r="2263" spans="1:10" hidden="1" x14ac:dyDescent="0.35">
      <c r="A2263" t="str">
        <f t="shared" si="35"/>
        <v>Águas Formosas20222.5</v>
      </c>
      <c r="B2263">
        <v>3100906</v>
      </c>
      <c r="C2263" t="s">
        <v>9</v>
      </c>
      <c r="D2263">
        <v>2022</v>
      </c>
      <c r="E2263">
        <v>6</v>
      </c>
      <c r="F2263">
        <v>32</v>
      </c>
      <c r="G2263" t="s">
        <v>24</v>
      </c>
      <c r="H2263" t="s">
        <v>18</v>
      </c>
      <c r="I2263" s="1" t="s">
        <v>25</v>
      </c>
      <c r="J2263">
        <v>0.314</v>
      </c>
    </row>
    <row r="2264" spans="1:10" hidden="1" x14ac:dyDescent="0.35">
      <c r="A2264" t="str">
        <f t="shared" si="35"/>
        <v>Águas Formosas20222.8</v>
      </c>
      <c r="B2264">
        <v>3100906</v>
      </c>
      <c r="C2264" t="s">
        <v>9</v>
      </c>
      <c r="D2264">
        <v>2022</v>
      </c>
      <c r="E2264">
        <v>6</v>
      </c>
      <c r="F2264">
        <v>35</v>
      </c>
      <c r="G2264" t="s">
        <v>26</v>
      </c>
      <c r="H2264" t="s">
        <v>18</v>
      </c>
      <c r="I2264" s="1" t="s">
        <v>27</v>
      </c>
    </row>
    <row r="2265" spans="1:10" hidden="1" x14ac:dyDescent="0.35">
      <c r="A2265" t="str">
        <f t="shared" si="35"/>
        <v>Águas Formosas20224.1</v>
      </c>
      <c r="B2265">
        <v>3100906</v>
      </c>
      <c r="C2265" t="s">
        <v>9</v>
      </c>
      <c r="D2265">
        <v>2022</v>
      </c>
      <c r="E2265">
        <v>6</v>
      </c>
      <c r="F2265">
        <v>44</v>
      </c>
      <c r="G2265" t="s">
        <v>28</v>
      </c>
      <c r="H2265" t="s">
        <v>29</v>
      </c>
      <c r="I2265" s="1" t="s">
        <v>30</v>
      </c>
      <c r="J2265">
        <v>7782.12</v>
      </c>
    </row>
    <row r="2266" spans="1:10" hidden="1" x14ac:dyDescent="0.35">
      <c r="A2266" t="str">
        <f t="shared" si="35"/>
        <v>Águas Formosas20224.10</v>
      </c>
      <c r="B2266">
        <v>3100906</v>
      </c>
      <c r="C2266" t="s">
        <v>9</v>
      </c>
      <c r="D2266">
        <v>2022</v>
      </c>
      <c r="E2266">
        <v>6</v>
      </c>
      <c r="F2266">
        <v>58</v>
      </c>
      <c r="G2266" t="s">
        <v>31</v>
      </c>
      <c r="H2266" t="s">
        <v>29</v>
      </c>
      <c r="I2266" s="1" t="s">
        <v>32</v>
      </c>
      <c r="J2266">
        <v>6601.83</v>
      </c>
    </row>
    <row r="2267" spans="1:10" hidden="1" x14ac:dyDescent="0.35">
      <c r="A2267" t="str">
        <f t="shared" si="35"/>
        <v>Águas Formosas20224.11</v>
      </c>
      <c r="B2267">
        <v>3100906</v>
      </c>
      <c r="C2267" t="s">
        <v>9</v>
      </c>
      <c r="D2267">
        <v>2022</v>
      </c>
      <c r="E2267">
        <v>6</v>
      </c>
      <c r="F2267">
        <v>59</v>
      </c>
      <c r="G2267" t="s">
        <v>33</v>
      </c>
      <c r="H2267" t="s">
        <v>29</v>
      </c>
      <c r="I2267" s="1" t="s">
        <v>34</v>
      </c>
      <c r="J2267">
        <v>8.61</v>
      </c>
    </row>
    <row r="2268" spans="1:10" hidden="1" x14ac:dyDescent="0.35">
      <c r="A2268" t="str">
        <f t="shared" si="35"/>
        <v>Águas Formosas20224.2</v>
      </c>
      <c r="B2268">
        <v>3100906</v>
      </c>
      <c r="C2268" t="s">
        <v>9</v>
      </c>
      <c r="D2268">
        <v>2022</v>
      </c>
      <c r="E2268">
        <v>6</v>
      </c>
      <c r="F2268">
        <v>45</v>
      </c>
      <c r="G2268" t="s">
        <v>35</v>
      </c>
      <c r="H2268" t="s">
        <v>29</v>
      </c>
      <c r="I2268" s="1" t="s">
        <v>36</v>
      </c>
      <c r="J2268">
        <v>18699.62</v>
      </c>
    </row>
    <row r="2269" spans="1:10" hidden="1" x14ac:dyDescent="0.35">
      <c r="A2269" t="str">
        <f t="shared" si="35"/>
        <v>Águas Formosas20224.8</v>
      </c>
      <c r="B2269">
        <v>3100906</v>
      </c>
      <c r="C2269" t="s">
        <v>9</v>
      </c>
      <c r="D2269">
        <v>2022</v>
      </c>
      <c r="E2269">
        <v>6</v>
      </c>
      <c r="F2269">
        <v>56</v>
      </c>
      <c r="G2269" t="s">
        <v>37</v>
      </c>
      <c r="H2269" t="s">
        <v>29</v>
      </c>
      <c r="I2269" s="1" t="s">
        <v>38</v>
      </c>
      <c r="J2269">
        <v>15643.55</v>
      </c>
    </row>
    <row r="2270" spans="1:10" hidden="1" x14ac:dyDescent="0.35">
      <c r="A2270" t="str">
        <f t="shared" si="35"/>
        <v>Águas Formosas20224.9</v>
      </c>
      <c r="B2270">
        <v>3100906</v>
      </c>
      <c r="C2270" t="s">
        <v>9</v>
      </c>
      <c r="D2270">
        <v>2022</v>
      </c>
      <c r="E2270">
        <v>6</v>
      </c>
      <c r="F2270">
        <v>57</v>
      </c>
      <c r="G2270" t="s">
        <v>39</v>
      </c>
      <c r="H2270" t="s">
        <v>29</v>
      </c>
      <c r="I2270" s="1" t="s">
        <v>40</v>
      </c>
      <c r="J2270">
        <v>15643.55</v>
      </c>
    </row>
    <row r="2271" spans="1:10" hidden="1" x14ac:dyDescent="0.35">
      <c r="A2271" t="str">
        <f t="shared" si="35"/>
        <v>Ataléia20221.1</v>
      </c>
      <c r="B2271">
        <v>3104700</v>
      </c>
      <c r="C2271" t="s">
        <v>41</v>
      </c>
      <c r="D2271">
        <v>2022</v>
      </c>
      <c r="E2271">
        <v>6</v>
      </c>
      <c r="F2271">
        <v>24</v>
      </c>
      <c r="G2271" t="s">
        <v>10</v>
      </c>
      <c r="H2271" t="s">
        <v>11</v>
      </c>
      <c r="I2271" s="1" t="s">
        <v>12</v>
      </c>
      <c r="J2271">
        <v>0.25059999999999999</v>
      </c>
    </row>
    <row r="2272" spans="1:10" hidden="1" x14ac:dyDescent="0.35">
      <c r="A2272" t="str">
        <f t="shared" si="35"/>
        <v>Ataléia20221.2</v>
      </c>
      <c r="B2272">
        <v>3104700</v>
      </c>
      <c r="C2272" t="s">
        <v>41</v>
      </c>
      <c r="D2272">
        <v>2022</v>
      </c>
      <c r="E2272">
        <v>6</v>
      </c>
      <c r="F2272">
        <v>67</v>
      </c>
      <c r="G2272" t="s">
        <v>13</v>
      </c>
      <c r="H2272" t="s">
        <v>11</v>
      </c>
      <c r="I2272" s="1" t="s">
        <v>14</v>
      </c>
      <c r="J2272">
        <v>0.97430000000000005</v>
      </c>
    </row>
    <row r="2273" spans="1:10" hidden="1" x14ac:dyDescent="0.35">
      <c r="A2273" t="str">
        <f t="shared" si="35"/>
        <v>Ataléia20221.3</v>
      </c>
      <c r="B2273">
        <v>3104700</v>
      </c>
      <c r="C2273" t="s">
        <v>41</v>
      </c>
      <c r="D2273">
        <v>2022</v>
      </c>
      <c r="E2273">
        <v>6</v>
      </c>
      <c r="F2273">
        <v>68</v>
      </c>
      <c r="G2273" t="s">
        <v>15</v>
      </c>
      <c r="H2273" t="s">
        <v>11</v>
      </c>
      <c r="I2273" s="1" t="s">
        <v>16</v>
      </c>
      <c r="J2273">
        <v>1.34E-2</v>
      </c>
    </row>
    <row r="2274" spans="1:10" hidden="1" x14ac:dyDescent="0.35">
      <c r="A2274" t="str">
        <f t="shared" si="35"/>
        <v>Ataléia20222.1</v>
      </c>
      <c r="B2274">
        <v>3104700</v>
      </c>
      <c r="C2274" t="s">
        <v>41</v>
      </c>
      <c r="D2274">
        <v>2022</v>
      </c>
      <c r="E2274">
        <v>6</v>
      </c>
      <c r="F2274">
        <v>28</v>
      </c>
      <c r="G2274" t="s">
        <v>17</v>
      </c>
      <c r="H2274" t="s">
        <v>18</v>
      </c>
      <c r="I2274" s="1" t="s">
        <v>19</v>
      </c>
      <c r="J2274">
        <v>0.25369999999999998</v>
      </c>
    </row>
    <row r="2275" spans="1:10" hidden="1" x14ac:dyDescent="0.35">
      <c r="A2275" t="str">
        <f t="shared" si="35"/>
        <v>Ataléia20222.2</v>
      </c>
      <c r="B2275">
        <v>3104700</v>
      </c>
      <c r="C2275" t="s">
        <v>41</v>
      </c>
      <c r="D2275">
        <v>2022</v>
      </c>
      <c r="E2275">
        <v>6</v>
      </c>
      <c r="F2275">
        <v>29</v>
      </c>
      <c r="G2275" t="s">
        <v>20</v>
      </c>
      <c r="H2275" t="s">
        <v>18</v>
      </c>
      <c r="I2275" s="1" t="s">
        <v>21</v>
      </c>
      <c r="J2275">
        <v>0.73360000000000003</v>
      </c>
    </row>
    <row r="2276" spans="1:10" hidden="1" x14ac:dyDescent="0.35">
      <c r="A2276" t="str">
        <f t="shared" si="35"/>
        <v>Ataléia20222.4</v>
      </c>
      <c r="B2276">
        <v>3104700</v>
      </c>
      <c r="C2276" t="s">
        <v>41</v>
      </c>
      <c r="D2276">
        <v>2022</v>
      </c>
      <c r="E2276">
        <v>6</v>
      </c>
      <c r="F2276">
        <v>31</v>
      </c>
      <c r="G2276" t="s">
        <v>22</v>
      </c>
      <c r="H2276" t="s">
        <v>18</v>
      </c>
      <c r="I2276" s="1" t="s">
        <v>23</v>
      </c>
      <c r="J2276">
        <v>0.1231</v>
      </c>
    </row>
    <row r="2277" spans="1:10" hidden="1" x14ac:dyDescent="0.35">
      <c r="A2277" t="str">
        <f t="shared" si="35"/>
        <v>Ataléia20222.5</v>
      </c>
      <c r="B2277">
        <v>3104700</v>
      </c>
      <c r="C2277" t="s">
        <v>41</v>
      </c>
      <c r="D2277">
        <v>2022</v>
      </c>
      <c r="E2277">
        <v>6</v>
      </c>
      <c r="F2277">
        <v>32</v>
      </c>
      <c r="G2277" t="s">
        <v>24</v>
      </c>
      <c r="H2277" t="s">
        <v>18</v>
      </c>
      <c r="I2277" s="1" t="s">
        <v>25</v>
      </c>
      <c r="J2277">
        <v>0.53300000000000003</v>
      </c>
    </row>
    <row r="2278" spans="1:10" hidden="1" x14ac:dyDescent="0.35">
      <c r="A2278" t="str">
        <f t="shared" si="35"/>
        <v>Ataléia20222.8</v>
      </c>
      <c r="B2278">
        <v>3104700</v>
      </c>
      <c r="C2278" t="s">
        <v>41</v>
      </c>
      <c r="D2278">
        <v>2022</v>
      </c>
      <c r="E2278">
        <v>6</v>
      </c>
      <c r="F2278">
        <v>35</v>
      </c>
      <c r="G2278" t="s">
        <v>26</v>
      </c>
      <c r="H2278" t="s">
        <v>18</v>
      </c>
      <c r="I2278" s="1" t="s">
        <v>27</v>
      </c>
      <c r="J2278">
        <v>0.25230000000000002</v>
      </c>
    </row>
    <row r="2279" spans="1:10" hidden="1" x14ac:dyDescent="0.35">
      <c r="A2279" t="str">
        <f t="shared" si="35"/>
        <v>Ataléia20224.1</v>
      </c>
      <c r="B2279">
        <v>3104700</v>
      </c>
      <c r="C2279" t="s">
        <v>41</v>
      </c>
      <c r="D2279">
        <v>2022</v>
      </c>
      <c r="E2279">
        <v>6</v>
      </c>
      <c r="F2279">
        <v>44</v>
      </c>
      <c r="G2279" t="s">
        <v>28</v>
      </c>
      <c r="H2279" t="s">
        <v>29</v>
      </c>
      <c r="I2279" s="1" t="s">
        <v>30</v>
      </c>
      <c r="J2279">
        <v>4798.88</v>
      </c>
    </row>
    <row r="2280" spans="1:10" hidden="1" x14ac:dyDescent="0.35">
      <c r="A2280" t="str">
        <f t="shared" si="35"/>
        <v>Ataléia20224.10</v>
      </c>
      <c r="B2280">
        <v>3104700</v>
      </c>
      <c r="C2280" t="s">
        <v>41</v>
      </c>
      <c r="D2280">
        <v>2022</v>
      </c>
      <c r="E2280">
        <v>6</v>
      </c>
      <c r="F2280">
        <v>58</v>
      </c>
      <c r="G2280" t="s">
        <v>31</v>
      </c>
      <c r="H2280" t="s">
        <v>29</v>
      </c>
      <c r="I2280" s="1" t="s">
        <v>32</v>
      </c>
      <c r="J2280">
        <v>6396.33</v>
      </c>
    </row>
    <row r="2281" spans="1:10" hidden="1" x14ac:dyDescent="0.35">
      <c r="A2281" t="str">
        <f t="shared" si="35"/>
        <v>Ataléia20224.11</v>
      </c>
      <c r="B2281">
        <v>3104700</v>
      </c>
      <c r="C2281" t="s">
        <v>41</v>
      </c>
      <c r="D2281">
        <v>2022</v>
      </c>
      <c r="E2281">
        <v>6</v>
      </c>
      <c r="F2281">
        <v>59</v>
      </c>
      <c r="G2281" t="s">
        <v>33</v>
      </c>
      <c r="H2281" t="s">
        <v>29</v>
      </c>
      <c r="I2281" s="1" t="s">
        <v>34</v>
      </c>
      <c r="J2281">
        <v>64.930000000000007</v>
      </c>
    </row>
    <row r="2282" spans="1:10" hidden="1" x14ac:dyDescent="0.35">
      <c r="A2282" t="str">
        <f t="shared" si="35"/>
        <v>Ataléia20224.2</v>
      </c>
      <c r="B2282">
        <v>3104700</v>
      </c>
      <c r="C2282" t="s">
        <v>41</v>
      </c>
      <c r="D2282">
        <v>2022</v>
      </c>
      <c r="E2282">
        <v>6</v>
      </c>
      <c r="F2282">
        <v>45</v>
      </c>
      <c r="G2282" t="s">
        <v>35</v>
      </c>
      <c r="H2282" t="s">
        <v>29</v>
      </c>
      <c r="I2282" s="1" t="s">
        <v>36</v>
      </c>
      <c r="J2282">
        <v>12792.76</v>
      </c>
    </row>
    <row r="2283" spans="1:10" hidden="1" x14ac:dyDescent="0.35">
      <c r="A2283" t="str">
        <f t="shared" si="35"/>
        <v>Ataléia20224.8</v>
      </c>
      <c r="B2283">
        <v>3104700</v>
      </c>
      <c r="C2283" t="s">
        <v>41</v>
      </c>
      <c r="D2283">
        <v>2022</v>
      </c>
      <c r="E2283">
        <v>6</v>
      </c>
      <c r="F2283">
        <v>56</v>
      </c>
      <c r="G2283" t="s">
        <v>37</v>
      </c>
      <c r="H2283" t="s">
        <v>29</v>
      </c>
      <c r="I2283" s="1" t="s">
        <v>38</v>
      </c>
      <c r="J2283">
        <v>14502.81</v>
      </c>
    </row>
    <row r="2284" spans="1:10" hidden="1" x14ac:dyDescent="0.35">
      <c r="A2284" t="str">
        <f t="shared" si="35"/>
        <v>Ataléia20224.9</v>
      </c>
      <c r="B2284">
        <v>3104700</v>
      </c>
      <c r="C2284" t="s">
        <v>41</v>
      </c>
      <c r="D2284">
        <v>2022</v>
      </c>
      <c r="E2284">
        <v>6</v>
      </c>
      <c r="F2284">
        <v>57</v>
      </c>
      <c r="G2284" t="s">
        <v>39</v>
      </c>
      <c r="H2284" t="s">
        <v>29</v>
      </c>
      <c r="I2284" s="1" t="s">
        <v>40</v>
      </c>
      <c r="J2284">
        <v>14502.81</v>
      </c>
    </row>
    <row r="2285" spans="1:10" hidden="1" x14ac:dyDescent="0.35">
      <c r="A2285" t="str">
        <f t="shared" si="35"/>
        <v>Bertópolis20221.1</v>
      </c>
      <c r="B2285">
        <v>3106606</v>
      </c>
      <c r="C2285" t="s">
        <v>42</v>
      </c>
      <c r="D2285">
        <v>2022</v>
      </c>
      <c r="E2285">
        <v>6</v>
      </c>
      <c r="F2285">
        <v>24</v>
      </c>
      <c r="G2285" t="s">
        <v>10</v>
      </c>
      <c r="H2285" t="s">
        <v>11</v>
      </c>
      <c r="I2285" s="1" t="s">
        <v>12</v>
      </c>
      <c r="J2285">
        <v>0.25869999999999999</v>
      </c>
    </row>
    <row r="2286" spans="1:10" hidden="1" x14ac:dyDescent="0.35">
      <c r="A2286" t="str">
        <f t="shared" si="35"/>
        <v>Bertópolis20221.2</v>
      </c>
      <c r="B2286">
        <v>3106606</v>
      </c>
      <c r="C2286" t="s">
        <v>42</v>
      </c>
      <c r="D2286">
        <v>2022</v>
      </c>
      <c r="E2286">
        <v>6</v>
      </c>
      <c r="F2286">
        <v>67</v>
      </c>
      <c r="G2286" t="s">
        <v>13</v>
      </c>
      <c r="H2286" t="s">
        <v>11</v>
      </c>
      <c r="I2286" s="1" t="s">
        <v>14</v>
      </c>
      <c r="J2286">
        <v>0.99370000000000003</v>
      </c>
    </row>
    <row r="2287" spans="1:10" hidden="1" x14ac:dyDescent="0.35">
      <c r="A2287" t="str">
        <f t="shared" si="35"/>
        <v>Bertópolis20221.3</v>
      </c>
      <c r="B2287">
        <v>3106606</v>
      </c>
      <c r="C2287" t="s">
        <v>42</v>
      </c>
      <c r="D2287">
        <v>2022</v>
      </c>
      <c r="E2287">
        <v>6</v>
      </c>
      <c r="F2287">
        <v>68</v>
      </c>
      <c r="G2287" t="s">
        <v>15</v>
      </c>
      <c r="H2287" t="s">
        <v>11</v>
      </c>
      <c r="I2287" s="1" t="s">
        <v>16</v>
      </c>
      <c r="J2287">
        <v>6.3E-3</v>
      </c>
    </row>
    <row r="2288" spans="1:10" hidden="1" x14ac:dyDescent="0.35">
      <c r="A2288" t="str">
        <f t="shared" si="35"/>
        <v>Bertópolis20222.1</v>
      </c>
      <c r="B2288">
        <v>3106606</v>
      </c>
      <c r="C2288" t="s">
        <v>42</v>
      </c>
      <c r="D2288">
        <v>2022</v>
      </c>
      <c r="E2288">
        <v>6</v>
      </c>
      <c r="F2288">
        <v>28</v>
      </c>
      <c r="G2288" t="s">
        <v>17</v>
      </c>
      <c r="H2288" t="s">
        <v>18</v>
      </c>
      <c r="I2288" s="1" t="s">
        <v>19</v>
      </c>
      <c r="J2288">
        <v>0.42620000000000002</v>
      </c>
    </row>
    <row r="2289" spans="1:10" hidden="1" x14ac:dyDescent="0.35">
      <c r="A2289" t="str">
        <f t="shared" si="35"/>
        <v>Bertópolis20222.2</v>
      </c>
      <c r="B2289">
        <v>3106606</v>
      </c>
      <c r="C2289" t="s">
        <v>42</v>
      </c>
      <c r="D2289">
        <v>2022</v>
      </c>
      <c r="E2289">
        <v>6</v>
      </c>
      <c r="F2289">
        <v>29</v>
      </c>
      <c r="G2289" t="s">
        <v>20</v>
      </c>
      <c r="H2289" t="s">
        <v>18</v>
      </c>
      <c r="I2289" s="1" t="s">
        <v>21</v>
      </c>
      <c r="J2289">
        <v>0.57699999999999996</v>
      </c>
    </row>
    <row r="2290" spans="1:10" hidden="1" x14ac:dyDescent="0.35">
      <c r="A2290" t="str">
        <f t="shared" si="35"/>
        <v>Bertópolis20222.4</v>
      </c>
      <c r="B2290">
        <v>3106606</v>
      </c>
      <c r="C2290" t="s">
        <v>42</v>
      </c>
      <c r="D2290">
        <v>2022</v>
      </c>
      <c r="E2290">
        <v>6</v>
      </c>
      <c r="F2290">
        <v>31</v>
      </c>
      <c r="G2290" t="s">
        <v>22</v>
      </c>
      <c r="H2290" t="s">
        <v>18</v>
      </c>
      <c r="I2290" s="1" t="s">
        <v>23</v>
      </c>
      <c r="J2290">
        <v>0.1822</v>
      </c>
    </row>
    <row r="2291" spans="1:10" hidden="1" x14ac:dyDescent="0.35">
      <c r="A2291" t="str">
        <f t="shared" si="35"/>
        <v>Bertópolis20222.5</v>
      </c>
      <c r="B2291">
        <v>3106606</v>
      </c>
      <c r="C2291" t="s">
        <v>42</v>
      </c>
      <c r="D2291">
        <v>2022</v>
      </c>
      <c r="E2291">
        <v>6</v>
      </c>
      <c r="F2291">
        <v>32</v>
      </c>
      <c r="G2291" t="s">
        <v>24</v>
      </c>
      <c r="H2291" t="s">
        <v>18</v>
      </c>
      <c r="I2291" s="1" t="s">
        <v>25</v>
      </c>
      <c r="J2291">
        <v>0.38190000000000002</v>
      </c>
    </row>
    <row r="2292" spans="1:10" hidden="1" x14ac:dyDescent="0.35">
      <c r="A2292" t="str">
        <f t="shared" si="35"/>
        <v>Bertópolis20222.8</v>
      </c>
      <c r="B2292">
        <v>3106606</v>
      </c>
      <c r="C2292" t="s">
        <v>42</v>
      </c>
      <c r="D2292">
        <v>2022</v>
      </c>
      <c r="E2292">
        <v>6</v>
      </c>
      <c r="F2292">
        <v>35</v>
      </c>
      <c r="G2292" t="s">
        <v>26</v>
      </c>
      <c r="H2292" t="s">
        <v>18</v>
      </c>
      <c r="I2292" s="1" t="s">
        <v>27</v>
      </c>
    </row>
    <row r="2293" spans="1:10" hidden="1" x14ac:dyDescent="0.35">
      <c r="A2293" t="str">
        <f t="shared" si="35"/>
        <v>Bertópolis20224.1</v>
      </c>
      <c r="B2293">
        <v>3106606</v>
      </c>
      <c r="C2293" t="s">
        <v>42</v>
      </c>
      <c r="D2293">
        <v>2022</v>
      </c>
      <c r="E2293">
        <v>6</v>
      </c>
      <c r="F2293">
        <v>44</v>
      </c>
      <c r="G2293" t="s">
        <v>28</v>
      </c>
      <c r="H2293" t="s">
        <v>29</v>
      </c>
      <c r="I2293" s="1" t="s">
        <v>30</v>
      </c>
      <c r="J2293">
        <v>7305.09</v>
      </c>
    </row>
    <row r="2294" spans="1:10" hidden="1" x14ac:dyDescent="0.35">
      <c r="A2294" t="str">
        <f t="shared" si="35"/>
        <v>Bertópolis20224.10</v>
      </c>
      <c r="B2294">
        <v>3106606</v>
      </c>
      <c r="C2294" t="s">
        <v>42</v>
      </c>
      <c r="D2294">
        <v>2022</v>
      </c>
      <c r="E2294">
        <v>6</v>
      </c>
      <c r="F2294">
        <v>58</v>
      </c>
      <c r="G2294" t="s">
        <v>31</v>
      </c>
      <c r="H2294" t="s">
        <v>29</v>
      </c>
      <c r="I2294" s="1" t="s">
        <v>32</v>
      </c>
      <c r="J2294">
        <v>6326.27</v>
      </c>
    </row>
    <row r="2295" spans="1:10" hidden="1" x14ac:dyDescent="0.35">
      <c r="A2295" t="str">
        <f t="shared" si="35"/>
        <v>Bertópolis20224.11</v>
      </c>
      <c r="B2295">
        <v>3106606</v>
      </c>
      <c r="C2295" t="s">
        <v>42</v>
      </c>
      <c r="D2295">
        <v>2022</v>
      </c>
      <c r="E2295">
        <v>6</v>
      </c>
      <c r="F2295">
        <v>59</v>
      </c>
      <c r="G2295" t="s">
        <v>33</v>
      </c>
      <c r="H2295" t="s">
        <v>29</v>
      </c>
      <c r="I2295" s="1" t="s">
        <v>34</v>
      </c>
    </row>
    <row r="2296" spans="1:10" hidden="1" x14ac:dyDescent="0.35">
      <c r="A2296" t="str">
        <f t="shared" si="35"/>
        <v>Bertópolis20224.2</v>
      </c>
      <c r="B2296">
        <v>3106606</v>
      </c>
      <c r="C2296" t="s">
        <v>42</v>
      </c>
      <c r="D2296">
        <v>2022</v>
      </c>
      <c r="E2296">
        <v>6</v>
      </c>
      <c r="F2296">
        <v>45</v>
      </c>
      <c r="G2296" t="s">
        <v>35</v>
      </c>
      <c r="H2296" t="s">
        <v>29</v>
      </c>
      <c r="I2296" s="1" t="s">
        <v>36</v>
      </c>
      <c r="J2296">
        <v>13733.56</v>
      </c>
    </row>
    <row r="2297" spans="1:10" hidden="1" x14ac:dyDescent="0.35">
      <c r="A2297" t="str">
        <f t="shared" si="35"/>
        <v>Bertópolis20224.8</v>
      </c>
      <c r="B2297">
        <v>3106606</v>
      </c>
      <c r="C2297" t="s">
        <v>42</v>
      </c>
      <c r="D2297">
        <v>2022</v>
      </c>
      <c r="E2297">
        <v>6</v>
      </c>
      <c r="F2297">
        <v>56</v>
      </c>
      <c r="G2297" t="s">
        <v>37</v>
      </c>
      <c r="H2297" t="s">
        <v>29</v>
      </c>
      <c r="I2297" s="1" t="s">
        <v>38</v>
      </c>
      <c r="J2297">
        <v>17933.13</v>
      </c>
    </row>
    <row r="2298" spans="1:10" hidden="1" x14ac:dyDescent="0.35">
      <c r="A2298" t="str">
        <f t="shared" si="35"/>
        <v>Bertópolis20224.9</v>
      </c>
      <c r="B2298">
        <v>3106606</v>
      </c>
      <c r="C2298" t="s">
        <v>42</v>
      </c>
      <c r="D2298">
        <v>2022</v>
      </c>
      <c r="E2298">
        <v>6</v>
      </c>
      <c r="F2298">
        <v>57</v>
      </c>
      <c r="G2298" t="s">
        <v>39</v>
      </c>
      <c r="H2298" t="s">
        <v>29</v>
      </c>
      <c r="I2298" s="1" t="s">
        <v>40</v>
      </c>
      <c r="J2298">
        <v>17933.13</v>
      </c>
    </row>
    <row r="2299" spans="1:10" hidden="1" x14ac:dyDescent="0.35">
      <c r="A2299" t="str">
        <f t="shared" si="35"/>
        <v>Carlos Chagas20221.1</v>
      </c>
      <c r="B2299">
        <v>3113701</v>
      </c>
      <c r="C2299" t="s">
        <v>43</v>
      </c>
      <c r="D2299">
        <v>2022</v>
      </c>
      <c r="E2299">
        <v>6</v>
      </c>
      <c r="F2299">
        <v>24</v>
      </c>
      <c r="G2299" t="s">
        <v>10</v>
      </c>
      <c r="H2299" t="s">
        <v>11</v>
      </c>
      <c r="I2299" s="1" t="s">
        <v>12</v>
      </c>
      <c r="J2299">
        <v>0.26</v>
      </c>
    </row>
    <row r="2300" spans="1:10" hidden="1" x14ac:dyDescent="0.35">
      <c r="A2300" t="str">
        <f t="shared" si="35"/>
        <v>Carlos Chagas20221.2</v>
      </c>
      <c r="B2300">
        <v>3113701</v>
      </c>
      <c r="C2300" t="s">
        <v>43</v>
      </c>
      <c r="D2300">
        <v>2022</v>
      </c>
      <c r="E2300">
        <v>6</v>
      </c>
      <c r="F2300">
        <v>67</v>
      </c>
      <c r="G2300" t="s">
        <v>13</v>
      </c>
      <c r="H2300" t="s">
        <v>11</v>
      </c>
      <c r="I2300" s="1" t="s">
        <v>14</v>
      </c>
      <c r="J2300">
        <v>0.84589999999999999</v>
      </c>
    </row>
    <row r="2301" spans="1:10" hidden="1" x14ac:dyDescent="0.35">
      <c r="A2301" t="str">
        <f t="shared" si="35"/>
        <v>Carlos Chagas20221.3</v>
      </c>
      <c r="B2301">
        <v>3113701</v>
      </c>
      <c r="C2301" t="s">
        <v>43</v>
      </c>
      <c r="D2301">
        <v>2022</v>
      </c>
      <c r="E2301">
        <v>6</v>
      </c>
      <c r="F2301">
        <v>68</v>
      </c>
      <c r="G2301" t="s">
        <v>15</v>
      </c>
      <c r="H2301" t="s">
        <v>11</v>
      </c>
      <c r="I2301" s="1" t="s">
        <v>16</v>
      </c>
      <c r="J2301">
        <v>0.15409999999999999</v>
      </c>
    </row>
    <row r="2302" spans="1:10" hidden="1" x14ac:dyDescent="0.35">
      <c r="A2302" t="str">
        <f t="shared" si="35"/>
        <v>Carlos Chagas20222.1</v>
      </c>
      <c r="B2302">
        <v>3113701</v>
      </c>
      <c r="C2302" t="s">
        <v>43</v>
      </c>
      <c r="D2302">
        <v>2022</v>
      </c>
      <c r="E2302">
        <v>6</v>
      </c>
      <c r="F2302">
        <v>28</v>
      </c>
      <c r="G2302" t="s">
        <v>17</v>
      </c>
      <c r="H2302" t="s">
        <v>18</v>
      </c>
      <c r="I2302" s="1" t="s">
        <v>19</v>
      </c>
      <c r="J2302">
        <v>8.8400000000000006E-2</v>
      </c>
    </row>
    <row r="2303" spans="1:10" hidden="1" x14ac:dyDescent="0.35">
      <c r="A2303" t="str">
        <f t="shared" si="35"/>
        <v>Carlos Chagas20222.2</v>
      </c>
      <c r="B2303">
        <v>3113701</v>
      </c>
      <c r="C2303" t="s">
        <v>43</v>
      </c>
      <c r="D2303">
        <v>2022</v>
      </c>
      <c r="E2303">
        <v>6</v>
      </c>
      <c r="F2303">
        <v>29</v>
      </c>
      <c r="G2303" t="s">
        <v>20</v>
      </c>
      <c r="H2303" t="s">
        <v>18</v>
      </c>
      <c r="I2303" s="1" t="s">
        <v>21</v>
      </c>
      <c r="J2303">
        <v>0.93740000000000001</v>
      </c>
    </row>
    <row r="2304" spans="1:10" hidden="1" x14ac:dyDescent="0.35">
      <c r="A2304" t="str">
        <f t="shared" si="35"/>
        <v>Carlos Chagas20222.4</v>
      </c>
      <c r="B2304">
        <v>3113701</v>
      </c>
      <c r="C2304" t="s">
        <v>43</v>
      </c>
      <c r="D2304">
        <v>2022</v>
      </c>
      <c r="E2304">
        <v>6</v>
      </c>
      <c r="F2304">
        <v>31</v>
      </c>
      <c r="G2304" t="s">
        <v>22</v>
      </c>
      <c r="H2304" t="s">
        <v>18</v>
      </c>
      <c r="I2304" s="1" t="s">
        <v>23</v>
      </c>
      <c r="J2304">
        <v>6.8699999999999997E-2</v>
      </c>
    </row>
    <row r="2305" spans="1:10" hidden="1" x14ac:dyDescent="0.35">
      <c r="A2305" t="str">
        <f t="shared" si="35"/>
        <v>Carlos Chagas20222.5</v>
      </c>
      <c r="B2305">
        <v>3113701</v>
      </c>
      <c r="C2305" t="s">
        <v>43</v>
      </c>
      <c r="D2305">
        <v>2022</v>
      </c>
      <c r="E2305">
        <v>6</v>
      </c>
      <c r="F2305">
        <v>32</v>
      </c>
      <c r="G2305" t="s">
        <v>24</v>
      </c>
      <c r="H2305" t="s">
        <v>18</v>
      </c>
      <c r="I2305" s="1" t="s">
        <v>25</v>
      </c>
      <c r="J2305">
        <v>0.70630000000000004</v>
      </c>
    </row>
    <row r="2306" spans="1:10" hidden="1" x14ac:dyDescent="0.35">
      <c r="A2306" t="str">
        <f t="shared" si="35"/>
        <v>Carlos Chagas20222.8</v>
      </c>
      <c r="B2306">
        <v>3113701</v>
      </c>
      <c r="C2306" t="s">
        <v>43</v>
      </c>
      <c r="D2306">
        <v>2022</v>
      </c>
      <c r="E2306">
        <v>6</v>
      </c>
      <c r="F2306">
        <v>35</v>
      </c>
      <c r="G2306" t="s">
        <v>26</v>
      </c>
      <c r="H2306" t="s">
        <v>18</v>
      </c>
      <c r="I2306" s="1" t="s">
        <v>27</v>
      </c>
      <c r="J2306">
        <v>0.3196</v>
      </c>
    </row>
    <row r="2307" spans="1:10" hidden="1" x14ac:dyDescent="0.35">
      <c r="A2307" t="str">
        <f t="shared" si="35"/>
        <v>Carlos Chagas20224.1</v>
      </c>
      <c r="B2307">
        <v>3113701</v>
      </c>
      <c r="C2307" t="s">
        <v>43</v>
      </c>
      <c r="D2307">
        <v>2022</v>
      </c>
      <c r="E2307">
        <v>6</v>
      </c>
      <c r="F2307">
        <v>44</v>
      </c>
      <c r="G2307" t="s">
        <v>28</v>
      </c>
      <c r="H2307" t="s">
        <v>29</v>
      </c>
      <c r="I2307" s="1" t="s">
        <v>30</v>
      </c>
      <c r="J2307">
        <v>3129.15</v>
      </c>
    </row>
    <row r="2308" spans="1:10" hidden="1" x14ac:dyDescent="0.35">
      <c r="A2308" t="str">
        <f t="shared" ref="A2308:A2371" si="36">C2308&amp;D2308&amp;G2308</f>
        <v>Carlos Chagas20224.10</v>
      </c>
      <c r="B2308">
        <v>3113701</v>
      </c>
      <c r="C2308" t="s">
        <v>43</v>
      </c>
      <c r="D2308">
        <v>2022</v>
      </c>
      <c r="E2308">
        <v>6</v>
      </c>
      <c r="F2308">
        <v>58</v>
      </c>
      <c r="G2308" t="s">
        <v>31</v>
      </c>
      <c r="H2308" t="s">
        <v>29</v>
      </c>
      <c r="I2308" s="1" t="s">
        <v>32</v>
      </c>
      <c r="J2308">
        <v>5335.09</v>
      </c>
    </row>
    <row r="2309" spans="1:10" hidden="1" x14ac:dyDescent="0.35">
      <c r="A2309" t="str">
        <f t="shared" si="36"/>
        <v>Carlos Chagas20224.11</v>
      </c>
      <c r="B2309">
        <v>3113701</v>
      </c>
      <c r="C2309" t="s">
        <v>43</v>
      </c>
      <c r="D2309">
        <v>2022</v>
      </c>
      <c r="E2309">
        <v>6</v>
      </c>
      <c r="F2309">
        <v>59</v>
      </c>
      <c r="G2309" t="s">
        <v>33</v>
      </c>
      <c r="H2309" t="s">
        <v>29</v>
      </c>
      <c r="I2309" s="1" t="s">
        <v>34</v>
      </c>
      <c r="J2309">
        <v>250.14</v>
      </c>
    </row>
    <row r="2310" spans="1:10" hidden="1" x14ac:dyDescent="0.35">
      <c r="A2310" t="str">
        <f t="shared" si="36"/>
        <v>Carlos Chagas20224.2</v>
      </c>
      <c r="B2310">
        <v>3113701</v>
      </c>
      <c r="C2310" t="s">
        <v>43</v>
      </c>
      <c r="D2310">
        <v>2022</v>
      </c>
      <c r="E2310">
        <v>6</v>
      </c>
      <c r="F2310">
        <v>45</v>
      </c>
      <c r="G2310" t="s">
        <v>35</v>
      </c>
      <c r="H2310" t="s">
        <v>29</v>
      </c>
      <c r="I2310" s="1" t="s">
        <v>36</v>
      </c>
      <c r="J2310">
        <v>10609.53</v>
      </c>
    </row>
    <row r="2311" spans="1:10" hidden="1" x14ac:dyDescent="0.35">
      <c r="A2311" t="str">
        <f t="shared" si="36"/>
        <v>Carlos Chagas20224.8</v>
      </c>
      <c r="B2311">
        <v>3113701</v>
      </c>
      <c r="C2311" t="s">
        <v>43</v>
      </c>
      <c r="D2311">
        <v>2022</v>
      </c>
      <c r="E2311">
        <v>6</v>
      </c>
      <c r="F2311">
        <v>56</v>
      </c>
      <c r="G2311" t="s">
        <v>37</v>
      </c>
      <c r="H2311" t="s">
        <v>29</v>
      </c>
      <c r="I2311" s="1" t="s">
        <v>38</v>
      </c>
      <c r="J2311">
        <v>10813.09</v>
      </c>
    </row>
    <row r="2312" spans="1:10" hidden="1" x14ac:dyDescent="0.35">
      <c r="A2312" t="str">
        <f t="shared" si="36"/>
        <v>Carlos Chagas20224.9</v>
      </c>
      <c r="B2312">
        <v>3113701</v>
      </c>
      <c r="C2312" t="s">
        <v>43</v>
      </c>
      <c r="D2312">
        <v>2022</v>
      </c>
      <c r="E2312">
        <v>6</v>
      </c>
      <c r="F2312">
        <v>57</v>
      </c>
      <c r="G2312" t="s">
        <v>39</v>
      </c>
      <c r="H2312" t="s">
        <v>29</v>
      </c>
      <c r="I2312" s="1" t="s">
        <v>40</v>
      </c>
      <c r="J2312">
        <v>10813.09</v>
      </c>
    </row>
    <row r="2313" spans="1:10" hidden="1" x14ac:dyDescent="0.35">
      <c r="A2313" t="str">
        <f t="shared" si="36"/>
        <v>Catuji20221.1</v>
      </c>
      <c r="B2313">
        <v>3115458</v>
      </c>
      <c r="C2313" t="s">
        <v>44</v>
      </c>
      <c r="D2313">
        <v>2022</v>
      </c>
      <c r="E2313">
        <v>6</v>
      </c>
      <c r="F2313">
        <v>24</v>
      </c>
      <c r="G2313" t="s">
        <v>10</v>
      </c>
      <c r="H2313" t="s">
        <v>11</v>
      </c>
      <c r="I2313" s="1" t="s">
        <v>12</v>
      </c>
      <c r="J2313">
        <v>0.27310000000000001</v>
      </c>
    </row>
    <row r="2314" spans="1:10" hidden="1" x14ac:dyDescent="0.35">
      <c r="A2314" t="str">
        <f t="shared" si="36"/>
        <v>Catuji20221.2</v>
      </c>
      <c r="B2314">
        <v>3115458</v>
      </c>
      <c r="C2314" t="s">
        <v>44</v>
      </c>
      <c r="D2314">
        <v>2022</v>
      </c>
      <c r="E2314">
        <v>6</v>
      </c>
      <c r="F2314">
        <v>67</v>
      </c>
      <c r="G2314" t="s">
        <v>13</v>
      </c>
      <c r="H2314" t="s">
        <v>11</v>
      </c>
      <c r="I2314" s="1" t="s">
        <v>14</v>
      </c>
      <c r="J2314">
        <v>0.94479999999999997</v>
      </c>
    </row>
    <row r="2315" spans="1:10" hidden="1" x14ac:dyDescent="0.35">
      <c r="A2315" t="str">
        <f t="shared" si="36"/>
        <v>Catuji20221.3</v>
      </c>
      <c r="B2315">
        <v>3115458</v>
      </c>
      <c r="C2315" t="s">
        <v>44</v>
      </c>
      <c r="D2315">
        <v>2022</v>
      </c>
      <c r="E2315">
        <v>6</v>
      </c>
      <c r="F2315">
        <v>68</v>
      </c>
      <c r="G2315" t="s">
        <v>15</v>
      </c>
      <c r="H2315" t="s">
        <v>11</v>
      </c>
      <c r="I2315" s="1" t="s">
        <v>16</v>
      </c>
      <c r="J2315">
        <v>5.5100000000000003E-2</v>
      </c>
    </row>
    <row r="2316" spans="1:10" hidden="1" x14ac:dyDescent="0.35">
      <c r="A2316" t="str">
        <f t="shared" si="36"/>
        <v>Catuji20222.1</v>
      </c>
      <c r="B2316">
        <v>3115458</v>
      </c>
      <c r="C2316" t="s">
        <v>44</v>
      </c>
      <c r="D2316">
        <v>2022</v>
      </c>
      <c r="E2316">
        <v>6</v>
      </c>
      <c r="F2316">
        <v>28</v>
      </c>
      <c r="G2316" t="s">
        <v>17</v>
      </c>
      <c r="H2316" t="s">
        <v>18</v>
      </c>
      <c r="I2316" s="1" t="s">
        <v>19</v>
      </c>
      <c r="J2316">
        <v>0.39400000000000002</v>
      </c>
    </row>
    <row r="2317" spans="1:10" hidden="1" x14ac:dyDescent="0.35">
      <c r="A2317" t="str">
        <f t="shared" si="36"/>
        <v>Catuji20222.2</v>
      </c>
      <c r="B2317">
        <v>3115458</v>
      </c>
      <c r="C2317" t="s">
        <v>44</v>
      </c>
      <c r="D2317">
        <v>2022</v>
      </c>
      <c r="E2317">
        <v>6</v>
      </c>
      <c r="F2317">
        <v>29</v>
      </c>
      <c r="G2317" t="s">
        <v>20</v>
      </c>
      <c r="H2317" t="s">
        <v>18</v>
      </c>
      <c r="I2317" s="1" t="s">
        <v>21</v>
      </c>
      <c r="J2317">
        <v>0.60599999999999998</v>
      </c>
    </row>
    <row r="2318" spans="1:10" hidden="1" x14ac:dyDescent="0.35">
      <c r="A2318" t="str">
        <f t="shared" si="36"/>
        <v>Catuji20222.4</v>
      </c>
      <c r="B2318">
        <v>3115458</v>
      </c>
      <c r="C2318" t="s">
        <v>44</v>
      </c>
      <c r="D2318">
        <v>2022</v>
      </c>
      <c r="E2318">
        <v>6</v>
      </c>
      <c r="F2318">
        <v>31</v>
      </c>
      <c r="G2318" t="s">
        <v>22</v>
      </c>
      <c r="H2318" t="s">
        <v>18</v>
      </c>
      <c r="I2318" s="1" t="s">
        <v>23</v>
      </c>
      <c r="J2318">
        <v>0.24510000000000001</v>
      </c>
    </row>
    <row r="2319" spans="1:10" hidden="1" x14ac:dyDescent="0.35">
      <c r="A2319" t="str">
        <f t="shared" si="36"/>
        <v>Catuji20222.5</v>
      </c>
      <c r="B2319">
        <v>3115458</v>
      </c>
      <c r="C2319" t="s">
        <v>44</v>
      </c>
      <c r="D2319">
        <v>2022</v>
      </c>
      <c r="E2319">
        <v>6</v>
      </c>
      <c r="F2319">
        <v>32</v>
      </c>
      <c r="G2319" t="s">
        <v>24</v>
      </c>
      <c r="H2319" t="s">
        <v>18</v>
      </c>
      <c r="I2319" s="1" t="s">
        <v>25</v>
      </c>
      <c r="J2319">
        <v>0.4551</v>
      </c>
    </row>
    <row r="2320" spans="1:10" hidden="1" x14ac:dyDescent="0.35">
      <c r="A2320" t="str">
        <f t="shared" si="36"/>
        <v>Catuji20222.8</v>
      </c>
      <c r="B2320">
        <v>3115458</v>
      </c>
      <c r="C2320" t="s">
        <v>44</v>
      </c>
      <c r="D2320">
        <v>2022</v>
      </c>
      <c r="E2320">
        <v>6</v>
      </c>
      <c r="F2320">
        <v>35</v>
      </c>
      <c r="G2320" t="s">
        <v>26</v>
      </c>
      <c r="H2320" t="s">
        <v>18</v>
      </c>
      <c r="I2320" s="1" t="s">
        <v>27</v>
      </c>
      <c r="J2320">
        <v>0.34689999999999999</v>
      </c>
    </row>
    <row r="2321" spans="1:10" hidden="1" x14ac:dyDescent="0.35">
      <c r="A2321" t="str">
        <f t="shared" si="36"/>
        <v>Catuji20224.1</v>
      </c>
      <c r="B2321">
        <v>3115458</v>
      </c>
      <c r="C2321" t="s">
        <v>44</v>
      </c>
      <c r="D2321">
        <v>2022</v>
      </c>
      <c r="E2321">
        <v>6</v>
      </c>
      <c r="F2321">
        <v>44</v>
      </c>
      <c r="G2321" t="s">
        <v>28</v>
      </c>
      <c r="H2321" t="s">
        <v>29</v>
      </c>
      <c r="I2321" s="1" t="s">
        <v>30</v>
      </c>
      <c r="J2321">
        <v>8370.91</v>
      </c>
    </row>
    <row r="2322" spans="1:10" hidden="1" x14ac:dyDescent="0.35">
      <c r="A2322" t="str">
        <f t="shared" si="36"/>
        <v>Catuji20224.10</v>
      </c>
      <c r="B2322">
        <v>3115458</v>
      </c>
      <c r="C2322" t="s">
        <v>44</v>
      </c>
      <c r="D2322">
        <v>2022</v>
      </c>
      <c r="E2322">
        <v>6</v>
      </c>
      <c r="F2322">
        <v>58</v>
      </c>
      <c r="G2322" t="s">
        <v>31</v>
      </c>
      <c r="H2322" t="s">
        <v>29</v>
      </c>
      <c r="I2322" s="1" t="s">
        <v>32</v>
      </c>
      <c r="J2322">
        <v>6785.53</v>
      </c>
    </row>
    <row r="2323" spans="1:10" hidden="1" x14ac:dyDescent="0.35">
      <c r="A2323" t="str">
        <f t="shared" si="36"/>
        <v>Catuji20224.11</v>
      </c>
      <c r="B2323">
        <v>3115458</v>
      </c>
      <c r="C2323" t="s">
        <v>44</v>
      </c>
      <c r="D2323">
        <v>2022</v>
      </c>
      <c r="E2323">
        <v>6</v>
      </c>
      <c r="F2323">
        <v>59</v>
      </c>
      <c r="G2323" t="s">
        <v>33</v>
      </c>
      <c r="H2323" t="s">
        <v>29</v>
      </c>
      <c r="I2323" s="1" t="s">
        <v>34</v>
      </c>
      <c r="J2323">
        <v>4.38</v>
      </c>
    </row>
    <row r="2324" spans="1:10" hidden="1" x14ac:dyDescent="0.35">
      <c r="A2324" t="str">
        <f t="shared" si="36"/>
        <v>Catuji20224.2</v>
      </c>
      <c r="B2324">
        <v>3115458</v>
      </c>
      <c r="C2324" t="s">
        <v>44</v>
      </c>
      <c r="D2324">
        <v>2022</v>
      </c>
      <c r="E2324">
        <v>6</v>
      </c>
      <c r="F2324">
        <v>45</v>
      </c>
      <c r="G2324" t="s">
        <v>35</v>
      </c>
      <c r="H2324" t="s">
        <v>29</v>
      </c>
      <c r="I2324" s="1" t="s">
        <v>36</v>
      </c>
      <c r="J2324">
        <v>11361.49</v>
      </c>
    </row>
    <row r="2325" spans="1:10" hidden="1" x14ac:dyDescent="0.35">
      <c r="A2325" t="str">
        <f t="shared" si="36"/>
        <v>Catuji20224.8</v>
      </c>
      <c r="B2325">
        <v>3115458</v>
      </c>
      <c r="C2325" t="s">
        <v>44</v>
      </c>
      <c r="D2325">
        <v>2022</v>
      </c>
      <c r="E2325">
        <v>6</v>
      </c>
      <c r="F2325">
        <v>56</v>
      </c>
      <c r="G2325" t="s">
        <v>37</v>
      </c>
      <c r="H2325" t="s">
        <v>29</v>
      </c>
      <c r="I2325" s="1" t="s">
        <v>38</v>
      </c>
      <c r="J2325">
        <v>14422.12</v>
      </c>
    </row>
    <row r="2326" spans="1:10" hidden="1" x14ac:dyDescent="0.35">
      <c r="A2326" t="str">
        <f t="shared" si="36"/>
        <v>Catuji20224.9</v>
      </c>
      <c r="B2326">
        <v>3115458</v>
      </c>
      <c r="C2326" t="s">
        <v>44</v>
      </c>
      <c r="D2326">
        <v>2022</v>
      </c>
      <c r="E2326">
        <v>6</v>
      </c>
      <c r="F2326">
        <v>57</v>
      </c>
      <c r="G2326" t="s">
        <v>39</v>
      </c>
      <c r="H2326" t="s">
        <v>29</v>
      </c>
      <c r="I2326" s="1" t="s">
        <v>40</v>
      </c>
      <c r="J2326">
        <v>14422.12</v>
      </c>
    </row>
    <row r="2327" spans="1:10" hidden="1" x14ac:dyDescent="0.35">
      <c r="A2327" t="str">
        <f t="shared" si="36"/>
        <v>Crisólita20221.1</v>
      </c>
      <c r="B2327">
        <v>3120151</v>
      </c>
      <c r="C2327" t="s">
        <v>45</v>
      </c>
      <c r="D2327">
        <v>2022</v>
      </c>
      <c r="E2327">
        <v>6</v>
      </c>
      <c r="F2327">
        <v>24</v>
      </c>
      <c r="G2327" t="s">
        <v>10</v>
      </c>
      <c r="H2327" t="s">
        <v>11</v>
      </c>
      <c r="I2327" s="1" t="s">
        <v>12</v>
      </c>
      <c r="J2327">
        <v>0.25679999999999997</v>
      </c>
    </row>
    <row r="2328" spans="1:10" hidden="1" x14ac:dyDescent="0.35">
      <c r="A2328" t="str">
        <f t="shared" si="36"/>
        <v>Crisólita20221.2</v>
      </c>
      <c r="B2328">
        <v>3120151</v>
      </c>
      <c r="C2328" t="s">
        <v>45</v>
      </c>
      <c r="D2328">
        <v>2022</v>
      </c>
      <c r="E2328">
        <v>6</v>
      </c>
      <c r="F2328">
        <v>67</v>
      </c>
      <c r="G2328" t="s">
        <v>13</v>
      </c>
      <c r="H2328" t="s">
        <v>11</v>
      </c>
      <c r="I2328" s="1" t="s">
        <v>14</v>
      </c>
      <c r="J2328">
        <v>0.75660000000000005</v>
      </c>
    </row>
    <row r="2329" spans="1:10" hidden="1" x14ac:dyDescent="0.35">
      <c r="A2329" t="str">
        <f t="shared" si="36"/>
        <v>Crisólita20221.3</v>
      </c>
      <c r="B2329">
        <v>3120151</v>
      </c>
      <c r="C2329" t="s">
        <v>45</v>
      </c>
      <c r="D2329">
        <v>2022</v>
      </c>
      <c r="E2329">
        <v>6</v>
      </c>
      <c r="F2329">
        <v>68</v>
      </c>
      <c r="G2329" t="s">
        <v>15</v>
      </c>
      <c r="H2329" t="s">
        <v>11</v>
      </c>
      <c r="I2329" s="1" t="s">
        <v>16</v>
      </c>
      <c r="J2329">
        <v>0.24340000000000001</v>
      </c>
    </row>
    <row r="2330" spans="1:10" hidden="1" x14ac:dyDescent="0.35">
      <c r="A2330" t="str">
        <f t="shared" si="36"/>
        <v>Crisólita20222.1</v>
      </c>
      <c r="B2330">
        <v>3120151</v>
      </c>
      <c r="C2330" t="s">
        <v>45</v>
      </c>
      <c r="D2330">
        <v>2022</v>
      </c>
      <c r="E2330">
        <v>6</v>
      </c>
      <c r="F2330">
        <v>28</v>
      </c>
      <c r="G2330" t="s">
        <v>17</v>
      </c>
      <c r="H2330" t="s">
        <v>18</v>
      </c>
      <c r="I2330" s="1" t="s">
        <v>19</v>
      </c>
      <c r="J2330">
        <v>4.5699999999999998E-2</v>
      </c>
    </row>
    <row r="2331" spans="1:10" hidden="1" x14ac:dyDescent="0.35">
      <c r="A2331" t="str">
        <f t="shared" si="36"/>
        <v>Crisólita20222.2</v>
      </c>
      <c r="B2331">
        <v>3120151</v>
      </c>
      <c r="C2331" t="s">
        <v>45</v>
      </c>
      <c r="D2331">
        <v>2022</v>
      </c>
      <c r="E2331">
        <v>6</v>
      </c>
      <c r="F2331">
        <v>29</v>
      </c>
      <c r="G2331" t="s">
        <v>20</v>
      </c>
      <c r="H2331" t="s">
        <v>18</v>
      </c>
      <c r="I2331" s="1" t="s">
        <v>21</v>
      </c>
      <c r="J2331">
        <v>0.95430000000000004</v>
      </c>
    </row>
    <row r="2332" spans="1:10" hidden="1" x14ac:dyDescent="0.35">
      <c r="A2332" t="str">
        <f t="shared" si="36"/>
        <v>Crisólita20222.4</v>
      </c>
      <c r="B2332">
        <v>3120151</v>
      </c>
      <c r="C2332" t="s">
        <v>45</v>
      </c>
      <c r="D2332">
        <v>2022</v>
      </c>
      <c r="E2332">
        <v>6</v>
      </c>
      <c r="F2332">
        <v>31</v>
      </c>
      <c r="G2332" t="s">
        <v>22</v>
      </c>
      <c r="H2332" t="s">
        <v>18</v>
      </c>
      <c r="I2332" s="1" t="s">
        <v>23</v>
      </c>
      <c r="J2332">
        <v>5.5399999999999998E-2</v>
      </c>
    </row>
    <row r="2333" spans="1:10" hidden="1" x14ac:dyDescent="0.35">
      <c r="A2333" t="str">
        <f t="shared" si="36"/>
        <v>Crisólita20222.5</v>
      </c>
      <c r="B2333">
        <v>3120151</v>
      </c>
      <c r="C2333" t="s">
        <v>45</v>
      </c>
      <c r="D2333">
        <v>2022</v>
      </c>
      <c r="E2333">
        <v>6</v>
      </c>
      <c r="F2333">
        <v>32</v>
      </c>
      <c r="G2333" t="s">
        <v>24</v>
      </c>
      <c r="H2333" t="s">
        <v>18</v>
      </c>
      <c r="I2333" s="1" t="s">
        <v>25</v>
      </c>
      <c r="J2333">
        <v>0.7389</v>
      </c>
    </row>
    <row r="2334" spans="1:10" hidden="1" x14ac:dyDescent="0.35">
      <c r="A2334" t="str">
        <f t="shared" si="36"/>
        <v>Crisólita20222.8</v>
      </c>
      <c r="B2334">
        <v>3120151</v>
      </c>
      <c r="C2334" t="s">
        <v>45</v>
      </c>
      <c r="D2334">
        <v>2022</v>
      </c>
      <c r="E2334">
        <v>6</v>
      </c>
      <c r="F2334">
        <v>35</v>
      </c>
      <c r="G2334" t="s">
        <v>26</v>
      </c>
      <c r="H2334" t="s">
        <v>18</v>
      </c>
      <c r="I2334" s="1" t="s">
        <v>27</v>
      </c>
      <c r="J2334">
        <v>0.2636</v>
      </c>
    </row>
    <row r="2335" spans="1:10" hidden="1" x14ac:dyDescent="0.35">
      <c r="A2335" t="str">
        <f t="shared" si="36"/>
        <v>Crisólita20224.1</v>
      </c>
      <c r="B2335">
        <v>3120151</v>
      </c>
      <c r="C2335" t="s">
        <v>45</v>
      </c>
      <c r="D2335">
        <v>2022</v>
      </c>
      <c r="E2335">
        <v>6</v>
      </c>
      <c r="F2335">
        <v>44</v>
      </c>
      <c r="G2335" t="s">
        <v>28</v>
      </c>
      <c r="H2335" t="s">
        <v>29</v>
      </c>
      <c r="I2335" s="1" t="s">
        <v>30</v>
      </c>
      <c r="J2335">
        <v>2073.9499999999998</v>
      </c>
    </row>
    <row r="2336" spans="1:10" hidden="1" x14ac:dyDescent="0.35">
      <c r="A2336" t="str">
        <f t="shared" si="36"/>
        <v>Crisólita20224.10</v>
      </c>
      <c r="B2336">
        <v>3120151</v>
      </c>
      <c r="C2336" t="s">
        <v>45</v>
      </c>
      <c r="D2336">
        <v>2022</v>
      </c>
      <c r="E2336">
        <v>6</v>
      </c>
      <c r="F2336">
        <v>58</v>
      </c>
      <c r="G2336" t="s">
        <v>31</v>
      </c>
      <c r="H2336" t="s">
        <v>29</v>
      </c>
      <c r="I2336" s="1" t="s">
        <v>32</v>
      </c>
      <c r="J2336">
        <v>4935.82</v>
      </c>
    </row>
    <row r="2337" spans="1:10" hidden="1" x14ac:dyDescent="0.35">
      <c r="A2337" t="str">
        <f t="shared" si="36"/>
        <v>Crisólita20224.11</v>
      </c>
      <c r="B2337">
        <v>3120151</v>
      </c>
      <c r="C2337" t="s">
        <v>45</v>
      </c>
      <c r="D2337">
        <v>2022</v>
      </c>
      <c r="E2337">
        <v>6</v>
      </c>
      <c r="F2337">
        <v>59</v>
      </c>
      <c r="G2337" t="s">
        <v>33</v>
      </c>
      <c r="H2337" t="s">
        <v>29</v>
      </c>
      <c r="I2337" s="1" t="s">
        <v>34</v>
      </c>
      <c r="J2337">
        <v>1044.7</v>
      </c>
    </row>
    <row r="2338" spans="1:10" hidden="1" x14ac:dyDescent="0.35">
      <c r="A2338" t="str">
        <f t="shared" si="36"/>
        <v>Crisólita20224.2</v>
      </c>
      <c r="B2338">
        <v>3120151</v>
      </c>
      <c r="C2338" t="s">
        <v>45</v>
      </c>
      <c r="D2338">
        <v>2022</v>
      </c>
      <c r="E2338">
        <v>6</v>
      </c>
      <c r="F2338">
        <v>45</v>
      </c>
      <c r="G2338" t="s">
        <v>35</v>
      </c>
      <c r="H2338" t="s">
        <v>29</v>
      </c>
      <c r="I2338" s="1" t="s">
        <v>36</v>
      </c>
      <c r="J2338">
        <v>12085.08</v>
      </c>
    </row>
    <row r="2339" spans="1:10" hidden="1" x14ac:dyDescent="0.35">
      <c r="A2339" t="str">
        <f t="shared" si="36"/>
        <v>Crisólita20224.8</v>
      </c>
      <c r="B2339">
        <v>3120151</v>
      </c>
      <c r="C2339" t="s">
        <v>45</v>
      </c>
      <c r="D2339">
        <v>2022</v>
      </c>
      <c r="E2339">
        <v>6</v>
      </c>
      <c r="F2339">
        <v>56</v>
      </c>
      <c r="G2339" t="s">
        <v>37</v>
      </c>
      <c r="H2339" t="s">
        <v>29</v>
      </c>
      <c r="I2339" s="1" t="s">
        <v>38</v>
      </c>
      <c r="J2339">
        <v>11383.07</v>
      </c>
    </row>
    <row r="2340" spans="1:10" hidden="1" x14ac:dyDescent="0.35">
      <c r="A2340" t="str">
        <f t="shared" si="36"/>
        <v>Crisólita20224.9</v>
      </c>
      <c r="B2340">
        <v>3120151</v>
      </c>
      <c r="C2340" t="s">
        <v>45</v>
      </c>
      <c r="D2340">
        <v>2022</v>
      </c>
      <c r="E2340">
        <v>6</v>
      </c>
      <c r="F2340">
        <v>57</v>
      </c>
      <c r="G2340" t="s">
        <v>39</v>
      </c>
      <c r="H2340" t="s">
        <v>29</v>
      </c>
      <c r="I2340" s="1" t="s">
        <v>40</v>
      </c>
      <c r="J2340">
        <v>11383.07</v>
      </c>
    </row>
    <row r="2341" spans="1:10" hidden="1" x14ac:dyDescent="0.35">
      <c r="A2341" t="str">
        <f t="shared" si="36"/>
        <v>Franciscópolis20221.1</v>
      </c>
      <c r="B2341">
        <v>3126752</v>
      </c>
      <c r="C2341" t="s">
        <v>46</v>
      </c>
      <c r="D2341">
        <v>2022</v>
      </c>
      <c r="E2341">
        <v>6</v>
      </c>
      <c r="F2341">
        <v>24</v>
      </c>
      <c r="G2341" t="s">
        <v>10</v>
      </c>
      <c r="H2341" t="s">
        <v>11</v>
      </c>
      <c r="I2341" s="1" t="s">
        <v>12</v>
      </c>
      <c r="J2341">
        <v>0.28420000000000001</v>
      </c>
    </row>
    <row r="2342" spans="1:10" hidden="1" x14ac:dyDescent="0.35">
      <c r="A2342" t="str">
        <f t="shared" si="36"/>
        <v>Franciscópolis20221.2</v>
      </c>
      <c r="B2342">
        <v>3126752</v>
      </c>
      <c r="C2342" t="s">
        <v>46</v>
      </c>
      <c r="D2342">
        <v>2022</v>
      </c>
      <c r="E2342">
        <v>6</v>
      </c>
      <c r="F2342">
        <v>67</v>
      </c>
      <c r="G2342" t="s">
        <v>13</v>
      </c>
      <c r="H2342" t="s">
        <v>11</v>
      </c>
      <c r="I2342" s="1" t="s">
        <v>14</v>
      </c>
      <c r="J2342">
        <v>0.94620000000000004</v>
      </c>
    </row>
    <row r="2343" spans="1:10" hidden="1" x14ac:dyDescent="0.35">
      <c r="A2343" t="str">
        <f t="shared" si="36"/>
        <v>Franciscópolis20221.3</v>
      </c>
      <c r="B2343">
        <v>3126752</v>
      </c>
      <c r="C2343" t="s">
        <v>46</v>
      </c>
      <c r="D2343">
        <v>2022</v>
      </c>
      <c r="E2343">
        <v>6</v>
      </c>
      <c r="F2343">
        <v>68</v>
      </c>
      <c r="G2343" t="s">
        <v>15</v>
      </c>
      <c r="H2343" t="s">
        <v>11</v>
      </c>
      <c r="I2343" s="1" t="s">
        <v>16</v>
      </c>
      <c r="J2343">
        <v>5.3800000000000001E-2</v>
      </c>
    </row>
    <row r="2344" spans="1:10" hidden="1" x14ac:dyDescent="0.35">
      <c r="A2344" t="str">
        <f t="shared" si="36"/>
        <v>Franciscópolis20222.1</v>
      </c>
      <c r="B2344">
        <v>3126752</v>
      </c>
      <c r="C2344" t="s">
        <v>46</v>
      </c>
      <c r="D2344">
        <v>2022</v>
      </c>
      <c r="E2344">
        <v>6</v>
      </c>
      <c r="F2344">
        <v>28</v>
      </c>
      <c r="G2344" t="s">
        <v>17</v>
      </c>
      <c r="H2344" t="s">
        <v>18</v>
      </c>
      <c r="I2344" s="1" t="s">
        <v>19</v>
      </c>
      <c r="J2344">
        <v>0.1686</v>
      </c>
    </row>
    <row r="2345" spans="1:10" hidden="1" x14ac:dyDescent="0.35">
      <c r="A2345" t="str">
        <f t="shared" si="36"/>
        <v>Franciscópolis20222.2</v>
      </c>
      <c r="B2345">
        <v>3126752</v>
      </c>
      <c r="C2345" t="s">
        <v>46</v>
      </c>
      <c r="D2345">
        <v>2022</v>
      </c>
      <c r="E2345">
        <v>6</v>
      </c>
      <c r="F2345">
        <v>29</v>
      </c>
      <c r="G2345" t="s">
        <v>20</v>
      </c>
      <c r="H2345" t="s">
        <v>18</v>
      </c>
      <c r="I2345" s="1" t="s">
        <v>21</v>
      </c>
      <c r="J2345">
        <v>0.83140000000000003</v>
      </c>
    </row>
    <row r="2346" spans="1:10" hidden="1" x14ac:dyDescent="0.35">
      <c r="A2346" t="str">
        <f t="shared" si="36"/>
        <v>Franciscópolis20222.4</v>
      </c>
      <c r="B2346">
        <v>3126752</v>
      </c>
      <c r="C2346" t="s">
        <v>46</v>
      </c>
      <c r="D2346">
        <v>2022</v>
      </c>
      <c r="E2346">
        <v>6</v>
      </c>
      <c r="F2346">
        <v>31</v>
      </c>
      <c r="G2346" t="s">
        <v>22</v>
      </c>
      <c r="H2346" t="s">
        <v>18</v>
      </c>
      <c r="I2346" s="1" t="s">
        <v>23</v>
      </c>
      <c r="J2346">
        <v>9.1600000000000001E-2</v>
      </c>
    </row>
    <row r="2347" spans="1:10" hidden="1" x14ac:dyDescent="0.35">
      <c r="A2347" t="str">
        <f t="shared" si="36"/>
        <v>Franciscópolis20222.5</v>
      </c>
      <c r="B2347">
        <v>3126752</v>
      </c>
      <c r="C2347" t="s">
        <v>46</v>
      </c>
      <c r="D2347">
        <v>2022</v>
      </c>
      <c r="E2347">
        <v>6</v>
      </c>
      <c r="F2347">
        <v>32</v>
      </c>
      <c r="G2347" t="s">
        <v>24</v>
      </c>
      <c r="H2347" t="s">
        <v>18</v>
      </c>
      <c r="I2347" s="1" t="s">
        <v>25</v>
      </c>
      <c r="J2347">
        <v>0.43390000000000001</v>
      </c>
    </row>
    <row r="2348" spans="1:10" hidden="1" x14ac:dyDescent="0.35">
      <c r="A2348" t="str">
        <f t="shared" si="36"/>
        <v>Franciscópolis20222.8</v>
      </c>
      <c r="B2348">
        <v>3126752</v>
      </c>
      <c r="C2348" t="s">
        <v>46</v>
      </c>
      <c r="D2348">
        <v>2022</v>
      </c>
      <c r="E2348">
        <v>6</v>
      </c>
      <c r="F2348">
        <v>35</v>
      </c>
      <c r="G2348" t="s">
        <v>26</v>
      </c>
      <c r="H2348" t="s">
        <v>18</v>
      </c>
      <c r="I2348" s="1" t="s">
        <v>27</v>
      </c>
      <c r="J2348">
        <v>0.28810000000000002</v>
      </c>
    </row>
    <row r="2349" spans="1:10" hidden="1" x14ac:dyDescent="0.35">
      <c r="A2349" t="str">
        <f t="shared" si="36"/>
        <v>Franciscópolis20224.1</v>
      </c>
      <c r="B2349">
        <v>3126752</v>
      </c>
      <c r="C2349" t="s">
        <v>46</v>
      </c>
      <c r="D2349">
        <v>2022</v>
      </c>
      <c r="E2349">
        <v>6</v>
      </c>
      <c r="F2349">
        <v>44</v>
      </c>
      <c r="G2349" t="s">
        <v>28</v>
      </c>
      <c r="H2349" t="s">
        <v>29</v>
      </c>
      <c r="I2349" s="1" t="s">
        <v>30</v>
      </c>
      <c r="J2349">
        <v>4344.96</v>
      </c>
    </row>
    <row r="2350" spans="1:10" hidden="1" x14ac:dyDescent="0.35">
      <c r="A2350" t="str">
        <f t="shared" si="36"/>
        <v>Franciscópolis20224.10</v>
      </c>
      <c r="B2350">
        <v>3126752</v>
      </c>
      <c r="C2350" t="s">
        <v>46</v>
      </c>
      <c r="D2350">
        <v>2022</v>
      </c>
      <c r="E2350">
        <v>6</v>
      </c>
      <c r="F2350">
        <v>58</v>
      </c>
      <c r="G2350" t="s">
        <v>31</v>
      </c>
      <c r="H2350" t="s">
        <v>29</v>
      </c>
      <c r="I2350" s="1" t="s">
        <v>32</v>
      </c>
      <c r="J2350">
        <v>6097.36</v>
      </c>
    </row>
    <row r="2351" spans="1:10" hidden="1" x14ac:dyDescent="0.35">
      <c r="A2351" t="str">
        <f t="shared" si="36"/>
        <v>Franciscópolis20224.11</v>
      </c>
      <c r="B2351">
        <v>3126752</v>
      </c>
      <c r="C2351" t="s">
        <v>46</v>
      </c>
      <c r="D2351">
        <v>2022</v>
      </c>
      <c r="E2351">
        <v>6</v>
      </c>
      <c r="F2351">
        <v>59</v>
      </c>
      <c r="G2351" t="s">
        <v>33</v>
      </c>
      <c r="H2351" t="s">
        <v>29</v>
      </c>
      <c r="I2351" s="1" t="s">
        <v>34</v>
      </c>
      <c r="J2351">
        <v>346.57</v>
      </c>
    </row>
    <row r="2352" spans="1:10" hidden="1" x14ac:dyDescent="0.35">
      <c r="A2352" t="str">
        <f t="shared" si="36"/>
        <v>Franciscópolis20224.2</v>
      </c>
      <c r="B2352">
        <v>3126752</v>
      </c>
      <c r="C2352" t="s">
        <v>46</v>
      </c>
      <c r="D2352">
        <v>2022</v>
      </c>
      <c r="E2352">
        <v>6</v>
      </c>
      <c r="F2352">
        <v>45</v>
      </c>
      <c r="G2352" t="s">
        <v>35</v>
      </c>
      <c r="H2352" t="s">
        <v>29</v>
      </c>
      <c r="I2352" s="1" t="s">
        <v>36</v>
      </c>
      <c r="J2352">
        <v>14543.18</v>
      </c>
    </row>
    <row r="2353" spans="1:10" hidden="1" x14ac:dyDescent="0.35">
      <c r="A2353" t="str">
        <f t="shared" si="36"/>
        <v>Franciscópolis20224.8</v>
      </c>
      <c r="B2353">
        <v>3126752</v>
      </c>
      <c r="C2353" t="s">
        <v>46</v>
      </c>
      <c r="D2353">
        <v>2022</v>
      </c>
      <c r="E2353">
        <v>6</v>
      </c>
      <c r="F2353">
        <v>56</v>
      </c>
      <c r="G2353" t="s">
        <v>37</v>
      </c>
      <c r="H2353" t="s">
        <v>29</v>
      </c>
      <c r="I2353" s="1" t="s">
        <v>38</v>
      </c>
      <c r="J2353">
        <v>19641.89</v>
      </c>
    </row>
    <row r="2354" spans="1:10" hidden="1" x14ac:dyDescent="0.35">
      <c r="A2354" t="str">
        <f t="shared" si="36"/>
        <v>Franciscópolis20224.9</v>
      </c>
      <c r="B2354">
        <v>3126752</v>
      </c>
      <c r="C2354" t="s">
        <v>46</v>
      </c>
      <c r="D2354">
        <v>2022</v>
      </c>
      <c r="E2354">
        <v>6</v>
      </c>
      <c r="F2354">
        <v>57</v>
      </c>
      <c r="G2354" t="s">
        <v>39</v>
      </c>
      <c r="H2354" t="s">
        <v>29</v>
      </c>
      <c r="I2354" s="1" t="s">
        <v>40</v>
      </c>
      <c r="J2354">
        <v>19641.89</v>
      </c>
    </row>
    <row r="2355" spans="1:10" hidden="1" x14ac:dyDescent="0.35">
      <c r="A2355" t="str">
        <f t="shared" si="36"/>
        <v>Frei Gaspar20221.1</v>
      </c>
      <c r="B2355">
        <v>3126802</v>
      </c>
      <c r="C2355" t="s">
        <v>47</v>
      </c>
      <c r="D2355">
        <v>2022</v>
      </c>
      <c r="E2355">
        <v>6</v>
      </c>
      <c r="F2355">
        <v>24</v>
      </c>
      <c r="G2355" t="s">
        <v>10</v>
      </c>
      <c r="H2355" t="s">
        <v>11</v>
      </c>
      <c r="I2355" s="1" t="s">
        <v>12</v>
      </c>
      <c r="J2355">
        <v>0.31830000000000003</v>
      </c>
    </row>
    <row r="2356" spans="1:10" hidden="1" x14ac:dyDescent="0.35">
      <c r="A2356" t="str">
        <f t="shared" si="36"/>
        <v>Frei Gaspar20221.2</v>
      </c>
      <c r="B2356">
        <v>3126802</v>
      </c>
      <c r="C2356" t="s">
        <v>47</v>
      </c>
      <c r="D2356">
        <v>2022</v>
      </c>
      <c r="E2356">
        <v>6</v>
      </c>
      <c r="F2356">
        <v>67</v>
      </c>
      <c r="G2356" t="s">
        <v>13</v>
      </c>
      <c r="H2356" t="s">
        <v>11</v>
      </c>
      <c r="I2356" s="1" t="s">
        <v>14</v>
      </c>
      <c r="J2356">
        <v>0.80500000000000005</v>
      </c>
    </row>
    <row r="2357" spans="1:10" hidden="1" x14ac:dyDescent="0.35">
      <c r="A2357" t="str">
        <f t="shared" si="36"/>
        <v>Frei Gaspar20221.3</v>
      </c>
      <c r="B2357">
        <v>3126802</v>
      </c>
      <c r="C2357" t="s">
        <v>47</v>
      </c>
      <c r="D2357">
        <v>2022</v>
      </c>
      <c r="E2357">
        <v>6</v>
      </c>
      <c r="F2357">
        <v>68</v>
      </c>
      <c r="G2357" t="s">
        <v>15</v>
      </c>
      <c r="H2357" t="s">
        <v>11</v>
      </c>
      <c r="I2357" s="1" t="s">
        <v>16</v>
      </c>
      <c r="J2357">
        <v>0.19289999999999999</v>
      </c>
    </row>
    <row r="2358" spans="1:10" hidden="1" x14ac:dyDescent="0.35">
      <c r="A2358" t="str">
        <f t="shared" si="36"/>
        <v>Frei Gaspar20222.1</v>
      </c>
      <c r="B2358">
        <v>3126802</v>
      </c>
      <c r="C2358" t="s">
        <v>47</v>
      </c>
      <c r="D2358">
        <v>2022</v>
      </c>
      <c r="E2358">
        <v>6</v>
      </c>
      <c r="F2358">
        <v>28</v>
      </c>
      <c r="G2358" t="s">
        <v>17</v>
      </c>
      <c r="H2358" t="s">
        <v>18</v>
      </c>
      <c r="I2358" s="1" t="s">
        <v>19</v>
      </c>
      <c r="J2358">
        <v>0.03</v>
      </c>
    </row>
    <row r="2359" spans="1:10" hidden="1" x14ac:dyDescent="0.35">
      <c r="A2359" t="str">
        <f t="shared" si="36"/>
        <v>Frei Gaspar20222.2</v>
      </c>
      <c r="B2359">
        <v>3126802</v>
      </c>
      <c r="C2359" t="s">
        <v>47</v>
      </c>
      <c r="D2359">
        <v>2022</v>
      </c>
      <c r="E2359">
        <v>6</v>
      </c>
      <c r="F2359">
        <v>29</v>
      </c>
      <c r="G2359" t="s">
        <v>20</v>
      </c>
      <c r="H2359" t="s">
        <v>18</v>
      </c>
      <c r="I2359" s="1" t="s">
        <v>21</v>
      </c>
      <c r="J2359">
        <v>0.96799999999999997</v>
      </c>
    </row>
    <row r="2360" spans="1:10" hidden="1" x14ac:dyDescent="0.35">
      <c r="A2360" t="str">
        <f t="shared" si="36"/>
        <v>Frei Gaspar20222.4</v>
      </c>
      <c r="B2360">
        <v>3126802</v>
      </c>
      <c r="C2360" t="s">
        <v>47</v>
      </c>
      <c r="D2360">
        <v>2022</v>
      </c>
      <c r="E2360">
        <v>6</v>
      </c>
      <c r="F2360">
        <v>31</v>
      </c>
      <c r="G2360" t="s">
        <v>22</v>
      </c>
      <c r="H2360" t="s">
        <v>18</v>
      </c>
      <c r="I2360" s="1" t="s">
        <v>23</v>
      </c>
      <c r="J2360">
        <v>4.0800000000000003E-2</v>
      </c>
    </row>
    <row r="2361" spans="1:10" hidden="1" x14ac:dyDescent="0.35">
      <c r="A2361" t="str">
        <f t="shared" si="36"/>
        <v>Frei Gaspar20222.5</v>
      </c>
      <c r="B2361">
        <v>3126802</v>
      </c>
      <c r="C2361" t="s">
        <v>47</v>
      </c>
      <c r="D2361">
        <v>2022</v>
      </c>
      <c r="E2361">
        <v>6</v>
      </c>
      <c r="F2361">
        <v>32</v>
      </c>
      <c r="G2361" t="s">
        <v>24</v>
      </c>
      <c r="H2361" t="s">
        <v>18</v>
      </c>
      <c r="I2361" s="1" t="s">
        <v>25</v>
      </c>
      <c r="J2361">
        <v>0.73380000000000001</v>
      </c>
    </row>
    <row r="2362" spans="1:10" hidden="1" x14ac:dyDescent="0.35">
      <c r="A2362" t="str">
        <f t="shared" si="36"/>
        <v>Frei Gaspar20222.8</v>
      </c>
      <c r="B2362">
        <v>3126802</v>
      </c>
      <c r="C2362" t="s">
        <v>47</v>
      </c>
      <c r="D2362">
        <v>2022</v>
      </c>
      <c r="E2362">
        <v>6</v>
      </c>
      <c r="F2362">
        <v>35</v>
      </c>
      <c r="G2362" t="s">
        <v>26</v>
      </c>
      <c r="H2362" t="s">
        <v>18</v>
      </c>
      <c r="I2362" s="1" t="s">
        <v>27</v>
      </c>
      <c r="J2362">
        <v>0.30940000000000001</v>
      </c>
    </row>
    <row r="2363" spans="1:10" hidden="1" x14ac:dyDescent="0.35">
      <c r="A2363" t="str">
        <f t="shared" si="36"/>
        <v>Frei Gaspar20224.1</v>
      </c>
      <c r="B2363">
        <v>3126802</v>
      </c>
      <c r="C2363" t="s">
        <v>47</v>
      </c>
      <c r="D2363">
        <v>2022</v>
      </c>
      <c r="E2363">
        <v>6</v>
      </c>
      <c r="F2363">
        <v>44</v>
      </c>
      <c r="G2363" t="s">
        <v>28</v>
      </c>
      <c r="H2363" t="s">
        <v>29</v>
      </c>
      <c r="I2363" s="1" t="s">
        <v>30</v>
      </c>
      <c r="J2363">
        <v>2104.71</v>
      </c>
    </row>
    <row r="2364" spans="1:10" hidden="1" x14ac:dyDescent="0.35">
      <c r="A2364" t="str">
        <f t="shared" si="36"/>
        <v>Frei Gaspar20224.10</v>
      </c>
      <c r="B2364">
        <v>3126802</v>
      </c>
      <c r="C2364" t="s">
        <v>47</v>
      </c>
      <c r="D2364">
        <v>2022</v>
      </c>
      <c r="E2364">
        <v>6</v>
      </c>
      <c r="F2364">
        <v>58</v>
      </c>
      <c r="G2364" t="s">
        <v>31</v>
      </c>
      <c r="H2364" t="s">
        <v>29</v>
      </c>
      <c r="I2364" s="1" t="s">
        <v>32</v>
      </c>
      <c r="J2364">
        <v>5477.34</v>
      </c>
    </row>
    <row r="2365" spans="1:10" hidden="1" x14ac:dyDescent="0.35">
      <c r="A2365" t="str">
        <f t="shared" si="36"/>
        <v>Frei Gaspar20224.11</v>
      </c>
      <c r="B2365">
        <v>3126802</v>
      </c>
      <c r="C2365" t="s">
        <v>47</v>
      </c>
      <c r="D2365">
        <v>2022</v>
      </c>
      <c r="E2365">
        <v>6</v>
      </c>
      <c r="F2365">
        <v>59</v>
      </c>
      <c r="G2365" t="s">
        <v>33</v>
      </c>
      <c r="H2365" t="s">
        <v>29</v>
      </c>
      <c r="I2365" s="1" t="s">
        <v>34</v>
      </c>
      <c r="J2365">
        <v>583.32000000000005</v>
      </c>
    </row>
    <row r="2366" spans="1:10" hidden="1" x14ac:dyDescent="0.35">
      <c r="A2366" t="str">
        <f t="shared" si="36"/>
        <v>Frei Gaspar20224.2</v>
      </c>
      <c r="B2366">
        <v>3126802</v>
      </c>
      <c r="C2366" t="s">
        <v>47</v>
      </c>
      <c r="D2366">
        <v>2022</v>
      </c>
      <c r="E2366">
        <v>6</v>
      </c>
      <c r="F2366">
        <v>45</v>
      </c>
      <c r="G2366" t="s">
        <v>35</v>
      </c>
      <c r="H2366" t="s">
        <v>29</v>
      </c>
      <c r="I2366" s="1" t="s">
        <v>36</v>
      </c>
      <c r="J2366">
        <v>14689.6</v>
      </c>
    </row>
    <row r="2367" spans="1:10" hidden="1" x14ac:dyDescent="0.35">
      <c r="A2367" t="str">
        <f t="shared" si="36"/>
        <v>Frei Gaspar20224.8</v>
      </c>
      <c r="B2367">
        <v>3126802</v>
      </c>
      <c r="C2367" t="s">
        <v>47</v>
      </c>
      <c r="D2367">
        <v>2022</v>
      </c>
      <c r="E2367">
        <v>6</v>
      </c>
      <c r="F2367">
        <v>56</v>
      </c>
      <c r="G2367" t="s">
        <v>37</v>
      </c>
      <c r="H2367" t="s">
        <v>29</v>
      </c>
      <c r="I2367" s="1" t="s">
        <v>38</v>
      </c>
      <c r="J2367">
        <v>14418.87</v>
      </c>
    </row>
    <row r="2368" spans="1:10" hidden="1" x14ac:dyDescent="0.35">
      <c r="A2368" t="str">
        <f t="shared" si="36"/>
        <v>Frei Gaspar20224.9</v>
      </c>
      <c r="B2368">
        <v>3126802</v>
      </c>
      <c r="C2368" t="s">
        <v>47</v>
      </c>
      <c r="D2368">
        <v>2022</v>
      </c>
      <c r="E2368">
        <v>6</v>
      </c>
      <c r="F2368">
        <v>57</v>
      </c>
      <c r="G2368" t="s">
        <v>39</v>
      </c>
      <c r="H2368" t="s">
        <v>29</v>
      </c>
      <c r="I2368" s="1" t="s">
        <v>40</v>
      </c>
      <c r="J2368">
        <v>14418.87</v>
      </c>
    </row>
    <row r="2369" spans="1:10" hidden="1" x14ac:dyDescent="0.35">
      <c r="A2369" t="str">
        <f t="shared" si="36"/>
        <v>Fronteira dos Vales20221.1</v>
      </c>
      <c r="B2369">
        <v>3127057</v>
      </c>
      <c r="C2369" t="s">
        <v>48</v>
      </c>
      <c r="D2369">
        <v>2022</v>
      </c>
      <c r="E2369">
        <v>6</v>
      </c>
      <c r="F2369">
        <v>24</v>
      </c>
      <c r="G2369" t="s">
        <v>10</v>
      </c>
      <c r="H2369" t="s">
        <v>11</v>
      </c>
      <c r="I2369" s="1" t="s">
        <v>12</v>
      </c>
      <c r="J2369">
        <v>0.27500000000000002</v>
      </c>
    </row>
    <row r="2370" spans="1:10" hidden="1" x14ac:dyDescent="0.35">
      <c r="A2370" t="str">
        <f t="shared" si="36"/>
        <v>Fronteira dos Vales20221.2</v>
      </c>
      <c r="B2370">
        <v>3127057</v>
      </c>
      <c r="C2370" t="s">
        <v>48</v>
      </c>
      <c r="D2370">
        <v>2022</v>
      </c>
      <c r="E2370">
        <v>6</v>
      </c>
      <c r="F2370">
        <v>67</v>
      </c>
      <c r="G2370" t="s">
        <v>13</v>
      </c>
      <c r="H2370" t="s">
        <v>11</v>
      </c>
      <c r="I2370" s="1" t="s">
        <v>14</v>
      </c>
      <c r="J2370">
        <v>1</v>
      </c>
    </row>
    <row r="2371" spans="1:10" hidden="1" x14ac:dyDescent="0.35">
      <c r="A2371" t="str">
        <f t="shared" si="36"/>
        <v>Fronteira dos Vales20221.3</v>
      </c>
      <c r="B2371">
        <v>3127057</v>
      </c>
      <c r="C2371" t="s">
        <v>48</v>
      </c>
      <c r="D2371">
        <v>2022</v>
      </c>
      <c r="E2371">
        <v>6</v>
      </c>
      <c r="F2371">
        <v>68</v>
      </c>
      <c r="G2371" t="s">
        <v>15</v>
      </c>
      <c r="H2371" t="s">
        <v>11</v>
      </c>
      <c r="I2371" s="1" t="s">
        <v>16</v>
      </c>
    </row>
    <row r="2372" spans="1:10" hidden="1" x14ac:dyDescent="0.35">
      <c r="A2372" t="str">
        <f t="shared" ref="A2372:A2435" si="37">C2372&amp;D2372&amp;G2372</f>
        <v>Fronteira dos Vales20222.1</v>
      </c>
      <c r="B2372">
        <v>3127057</v>
      </c>
      <c r="C2372" t="s">
        <v>48</v>
      </c>
      <c r="D2372">
        <v>2022</v>
      </c>
      <c r="E2372">
        <v>6</v>
      </c>
      <c r="F2372">
        <v>28</v>
      </c>
      <c r="G2372" t="s">
        <v>17</v>
      </c>
      <c r="H2372" t="s">
        <v>18</v>
      </c>
      <c r="I2372" s="1" t="s">
        <v>19</v>
      </c>
      <c r="J2372">
        <v>2.3900000000000001E-2</v>
      </c>
    </row>
    <row r="2373" spans="1:10" hidden="1" x14ac:dyDescent="0.35">
      <c r="A2373" t="str">
        <f t="shared" si="37"/>
        <v>Fronteira dos Vales20222.2</v>
      </c>
      <c r="B2373">
        <v>3127057</v>
      </c>
      <c r="C2373" t="s">
        <v>48</v>
      </c>
      <c r="D2373">
        <v>2022</v>
      </c>
      <c r="E2373">
        <v>6</v>
      </c>
      <c r="F2373">
        <v>29</v>
      </c>
      <c r="G2373" t="s">
        <v>20</v>
      </c>
      <c r="H2373" t="s">
        <v>18</v>
      </c>
      <c r="I2373" s="1" t="s">
        <v>21</v>
      </c>
      <c r="J2373">
        <v>0.99129999999999996</v>
      </c>
    </row>
    <row r="2374" spans="1:10" hidden="1" x14ac:dyDescent="0.35">
      <c r="A2374" t="str">
        <f t="shared" si="37"/>
        <v>Fronteira dos Vales20222.4</v>
      </c>
      <c r="B2374">
        <v>3127057</v>
      </c>
      <c r="C2374" t="s">
        <v>48</v>
      </c>
      <c r="D2374">
        <v>2022</v>
      </c>
      <c r="E2374">
        <v>6</v>
      </c>
      <c r="F2374">
        <v>31</v>
      </c>
      <c r="G2374" t="s">
        <v>22</v>
      </c>
      <c r="H2374" t="s">
        <v>18</v>
      </c>
      <c r="I2374" s="1" t="s">
        <v>23</v>
      </c>
      <c r="J2374">
        <v>2.87E-2</v>
      </c>
    </row>
    <row r="2375" spans="1:10" hidden="1" x14ac:dyDescent="0.35">
      <c r="A2375" t="str">
        <f t="shared" si="37"/>
        <v>Fronteira dos Vales20222.5</v>
      </c>
      <c r="B2375">
        <v>3127057</v>
      </c>
      <c r="C2375" t="s">
        <v>48</v>
      </c>
      <c r="D2375">
        <v>2022</v>
      </c>
      <c r="E2375">
        <v>6</v>
      </c>
      <c r="F2375">
        <v>32</v>
      </c>
      <c r="G2375" t="s">
        <v>24</v>
      </c>
      <c r="H2375" t="s">
        <v>18</v>
      </c>
      <c r="I2375" s="1" t="s">
        <v>25</v>
      </c>
      <c r="J2375">
        <v>0.72399999999999998</v>
      </c>
    </row>
    <row r="2376" spans="1:10" hidden="1" x14ac:dyDescent="0.35">
      <c r="A2376" t="str">
        <f t="shared" si="37"/>
        <v>Fronteira dos Vales20222.8</v>
      </c>
      <c r="B2376">
        <v>3127057</v>
      </c>
      <c r="C2376" t="s">
        <v>48</v>
      </c>
      <c r="D2376">
        <v>2022</v>
      </c>
      <c r="E2376">
        <v>6</v>
      </c>
      <c r="F2376">
        <v>35</v>
      </c>
      <c r="G2376" t="s">
        <v>26</v>
      </c>
      <c r="H2376" t="s">
        <v>18</v>
      </c>
      <c r="I2376" s="1" t="s">
        <v>27</v>
      </c>
      <c r="J2376">
        <v>0.2213</v>
      </c>
    </row>
    <row r="2377" spans="1:10" hidden="1" x14ac:dyDescent="0.35">
      <c r="A2377" t="str">
        <f t="shared" si="37"/>
        <v>Fronteira dos Vales20224.1</v>
      </c>
      <c r="B2377">
        <v>3127057</v>
      </c>
      <c r="C2377" t="s">
        <v>48</v>
      </c>
      <c r="D2377">
        <v>2022</v>
      </c>
      <c r="E2377">
        <v>6</v>
      </c>
      <c r="F2377">
        <v>44</v>
      </c>
      <c r="G2377" t="s">
        <v>28</v>
      </c>
      <c r="H2377" t="s">
        <v>29</v>
      </c>
      <c r="I2377" s="1" t="s">
        <v>30</v>
      </c>
      <c r="J2377">
        <v>2195.29</v>
      </c>
    </row>
    <row r="2378" spans="1:10" hidden="1" x14ac:dyDescent="0.35">
      <c r="A2378" t="str">
        <f t="shared" si="37"/>
        <v>Fronteira dos Vales20224.10</v>
      </c>
      <c r="B2378">
        <v>3127057</v>
      </c>
      <c r="C2378" t="s">
        <v>48</v>
      </c>
      <c r="D2378">
        <v>2022</v>
      </c>
      <c r="E2378">
        <v>6</v>
      </c>
      <c r="F2378">
        <v>58</v>
      </c>
      <c r="G2378" t="s">
        <v>31</v>
      </c>
      <c r="H2378" t="s">
        <v>29</v>
      </c>
      <c r="I2378" s="1" t="s">
        <v>32</v>
      </c>
      <c r="J2378">
        <v>6710.66</v>
      </c>
    </row>
    <row r="2379" spans="1:10" hidden="1" x14ac:dyDescent="0.35">
      <c r="A2379" t="str">
        <f t="shared" si="37"/>
        <v>Fronteira dos Vales20224.11</v>
      </c>
      <c r="B2379">
        <v>3127057</v>
      </c>
      <c r="C2379" t="s">
        <v>48</v>
      </c>
      <c r="D2379">
        <v>2022</v>
      </c>
      <c r="E2379">
        <v>6</v>
      </c>
      <c r="F2379">
        <v>59</v>
      </c>
      <c r="G2379" t="s">
        <v>33</v>
      </c>
      <c r="H2379" t="s">
        <v>29</v>
      </c>
      <c r="I2379" s="1" t="s">
        <v>34</v>
      </c>
    </row>
    <row r="2380" spans="1:10" hidden="1" x14ac:dyDescent="0.35">
      <c r="A2380" t="str">
        <f t="shared" si="37"/>
        <v>Fronteira dos Vales20224.2</v>
      </c>
      <c r="B2380">
        <v>3127057</v>
      </c>
      <c r="C2380" t="s">
        <v>48</v>
      </c>
      <c r="D2380">
        <v>2022</v>
      </c>
      <c r="E2380">
        <v>6</v>
      </c>
      <c r="F2380">
        <v>45</v>
      </c>
      <c r="G2380" t="s">
        <v>35</v>
      </c>
      <c r="H2380" t="s">
        <v>29</v>
      </c>
      <c r="I2380" s="1" t="s">
        <v>36</v>
      </c>
      <c r="J2380">
        <v>14257.68</v>
      </c>
    </row>
    <row r="2381" spans="1:10" hidden="1" x14ac:dyDescent="0.35">
      <c r="A2381" t="str">
        <f t="shared" si="37"/>
        <v>Fronteira dos Vales20224.8</v>
      </c>
      <c r="B2381">
        <v>3127057</v>
      </c>
      <c r="C2381" t="s">
        <v>48</v>
      </c>
      <c r="D2381">
        <v>2022</v>
      </c>
      <c r="E2381">
        <v>6</v>
      </c>
      <c r="F2381">
        <v>56</v>
      </c>
      <c r="G2381" t="s">
        <v>37</v>
      </c>
      <c r="H2381" t="s">
        <v>29</v>
      </c>
      <c r="I2381" s="1" t="s">
        <v>38</v>
      </c>
      <c r="J2381">
        <v>15658.36</v>
      </c>
    </row>
    <row r="2382" spans="1:10" hidden="1" x14ac:dyDescent="0.35">
      <c r="A2382" t="str">
        <f t="shared" si="37"/>
        <v>Fronteira dos Vales20224.9</v>
      </c>
      <c r="B2382">
        <v>3127057</v>
      </c>
      <c r="C2382" t="s">
        <v>48</v>
      </c>
      <c r="D2382">
        <v>2022</v>
      </c>
      <c r="E2382">
        <v>6</v>
      </c>
      <c r="F2382">
        <v>57</v>
      </c>
      <c r="G2382" t="s">
        <v>39</v>
      </c>
      <c r="H2382" t="s">
        <v>29</v>
      </c>
      <c r="I2382" s="1" t="s">
        <v>40</v>
      </c>
      <c r="J2382">
        <v>15658.36</v>
      </c>
    </row>
    <row r="2383" spans="1:10" hidden="1" x14ac:dyDescent="0.35">
      <c r="A2383" t="str">
        <f t="shared" si="37"/>
        <v>Itaipé20221.1</v>
      </c>
      <c r="B2383">
        <v>3132305</v>
      </c>
      <c r="C2383" t="s">
        <v>49</v>
      </c>
      <c r="D2383">
        <v>2022</v>
      </c>
      <c r="E2383">
        <v>6</v>
      </c>
      <c r="F2383">
        <v>24</v>
      </c>
      <c r="G2383" t="s">
        <v>10</v>
      </c>
      <c r="H2383" t="s">
        <v>11</v>
      </c>
      <c r="I2383" s="1" t="s">
        <v>12</v>
      </c>
      <c r="J2383">
        <v>0.26500000000000001</v>
      </c>
    </row>
    <row r="2384" spans="1:10" hidden="1" x14ac:dyDescent="0.35">
      <c r="A2384" t="str">
        <f t="shared" si="37"/>
        <v>Itaipé20221.2</v>
      </c>
      <c r="B2384">
        <v>3132305</v>
      </c>
      <c r="C2384" t="s">
        <v>49</v>
      </c>
      <c r="D2384">
        <v>2022</v>
      </c>
      <c r="E2384">
        <v>6</v>
      </c>
      <c r="F2384">
        <v>67</v>
      </c>
      <c r="G2384" t="s">
        <v>13</v>
      </c>
      <c r="H2384" t="s">
        <v>11</v>
      </c>
      <c r="I2384" s="1" t="s">
        <v>14</v>
      </c>
      <c r="J2384">
        <v>0.93069999999999997</v>
      </c>
    </row>
    <row r="2385" spans="1:10" hidden="1" x14ac:dyDescent="0.35">
      <c r="A2385" t="str">
        <f t="shared" si="37"/>
        <v>Itaipé20221.3</v>
      </c>
      <c r="B2385">
        <v>3132305</v>
      </c>
      <c r="C2385" t="s">
        <v>49</v>
      </c>
      <c r="D2385">
        <v>2022</v>
      </c>
      <c r="E2385">
        <v>6</v>
      </c>
      <c r="F2385">
        <v>68</v>
      </c>
      <c r="G2385" t="s">
        <v>15</v>
      </c>
      <c r="H2385" t="s">
        <v>11</v>
      </c>
      <c r="I2385" s="1" t="s">
        <v>16</v>
      </c>
      <c r="J2385">
        <v>6.88E-2</v>
      </c>
    </row>
    <row r="2386" spans="1:10" hidden="1" x14ac:dyDescent="0.35">
      <c r="A2386" t="str">
        <f t="shared" si="37"/>
        <v>Itaipé20222.1</v>
      </c>
      <c r="B2386">
        <v>3132305</v>
      </c>
      <c r="C2386" t="s">
        <v>49</v>
      </c>
      <c r="D2386">
        <v>2022</v>
      </c>
      <c r="E2386">
        <v>6</v>
      </c>
      <c r="F2386">
        <v>28</v>
      </c>
      <c r="G2386" t="s">
        <v>17</v>
      </c>
      <c r="H2386" t="s">
        <v>18</v>
      </c>
      <c r="I2386" s="1" t="s">
        <v>19</v>
      </c>
      <c r="J2386">
        <v>0.12820000000000001</v>
      </c>
    </row>
    <row r="2387" spans="1:10" hidden="1" x14ac:dyDescent="0.35">
      <c r="A2387" t="str">
        <f t="shared" si="37"/>
        <v>Itaipé20222.2</v>
      </c>
      <c r="B2387">
        <v>3132305</v>
      </c>
      <c r="C2387" t="s">
        <v>49</v>
      </c>
      <c r="D2387">
        <v>2022</v>
      </c>
      <c r="E2387">
        <v>6</v>
      </c>
      <c r="F2387">
        <v>29</v>
      </c>
      <c r="G2387" t="s">
        <v>20</v>
      </c>
      <c r="H2387" t="s">
        <v>18</v>
      </c>
      <c r="I2387" s="1" t="s">
        <v>21</v>
      </c>
      <c r="J2387">
        <v>0.87129999999999996</v>
      </c>
    </row>
    <row r="2388" spans="1:10" hidden="1" x14ac:dyDescent="0.35">
      <c r="A2388" t="str">
        <f t="shared" si="37"/>
        <v>Itaipé20222.4</v>
      </c>
      <c r="B2388">
        <v>3132305</v>
      </c>
      <c r="C2388" t="s">
        <v>49</v>
      </c>
      <c r="D2388">
        <v>2022</v>
      </c>
      <c r="E2388">
        <v>6</v>
      </c>
      <c r="F2388">
        <v>31</v>
      </c>
      <c r="G2388" t="s">
        <v>22</v>
      </c>
      <c r="H2388" t="s">
        <v>18</v>
      </c>
      <c r="I2388" s="1" t="s">
        <v>23</v>
      </c>
      <c r="J2388">
        <v>6.7400000000000002E-2</v>
      </c>
    </row>
    <row r="2389" spans="1:10" hidden="1" x14ac:dyDescent="0.35">
      <c r="A2389" t="str">
        <f t="shared" si="37"/>
        <v>Itaipé20222.5</v>
      </c>
      <c r="B2389">
        <v>3132305</v>
      </c>
      <c r="C2389" t="s">
        <v>49</v>
      </c>
      <c r="D2389">
        <v>2022</v>
      </c>
      <c r="E2389">
        <v>6</v>
      </c>
      <c r="F2389">
        <v>32</v>
      </c>
      <c r="G2389" t="s">
        <v>24</v>
      </c>
      <c r="H2389" t="s">
        <v>18</v>
      </c>
      <c r="I2389" s="1" t="s">
        <v>25</v>
      </c>
      <c r="J2389">
        <v>0.57310000000000005</v>
      </c>
    </row>
    <row r="2390" spans="1:10" hidden="1" x14ac:dyDescent="0.35">
      <c r="A2390" t="str">
        <f t="shared" si="37"/>
        <v>Itaipé20222.8</v>
      </c>
      <c r="B2390">
        <v>3132305</v>
      </c>
      <c r="C2390" t="s">
        <v>49</v>
      </c>
      <c r="D2390">
        <v>2022</v>
      </c>
      <c r="E2390">
        <v>6</v>
      </c>
      <c r="F2390">
        <v>35</v>
      </c>
      <c r="G2390" t="s">
        <v>26</v>
      </c>
      <c r="H2390" t="s">
        <v>18</v>
      </c>
      <c r="I2390" s="1" t="s">
        <v>27</v>
      </c>
      <c r="J2390">
        <v>0.36330000000000001</v>
      </c>
    </row>
    <row r="2391" spans="1:10" hidden="1" x14ac:dyDescent="0.35">
      <c r="A2391" t="str">
        <f t="shared" si="37"/>
        <v>Itaipé20224.1</v>
      </c>
      <c r="B2391">
        <v>3132305</v>
      </c>
      <c r="C2391" t="s">
        <v>49</v>
      </c>
      <c r="D2391">
        <v>2022</v>
      </c>
      <c r="E2391">
        <v>6</v>
      </c>
      <c r="F2391">
        <v>44</v>
      </c>
      <c r="G2391" t="s">
        <v>28</v>
      </c>
      <c r="H2391" t="s">
        <v>29</v>
      </c>
      <c r="I2391" s="1" t="s">
        <v>30</v>
      </c>
      <c r="J2391">
        <v>3064.74</v>
      </c>
    </row>
    <row r="2392" spans="1:10" hidden="1" x14ac:dyDescent="0.35">
      <c r="A2392" t="str">
        <f t="shared" si="37"/>
        <v>Itaipé20224.10</v>
      </c>
      <c r="B2392">
        <v>3132305</v>
      </c>
      <c r="C2392" t="s">
        <v>49</v>
      </c>
      <c r="D2392">
        <v>2022</v>
      </c>
      <c r="E2392">
        <v>6</v>
      </c>
      <c r="F2392">
        <v>58</v>
      </c>
      <c r="G2392" t="s">
        <v>31</v>
      </c>
      <c r="H2392" t="s">
        <v>29</v>
      </c>
      <c r="I2392" s="1" t="s">
        <v>32</v>
      </c>
      <c r="J2392">
        <v>6138.6</v>
      </c>
    </row>
    <row r="2393" spans="1:10" hidden="1" x14ac:dyDescent="0.35">
      <c r="A2393" t="str">
        <f t="shared" si="37"/>
        <v>Itaipé20224.11</v>
      </c>
      <c r="B2393">
        <v>3132305</v>
      </c>
      <c r="C2393" t="s">
        <v>49</v>
      </c>
      <c r="D2393">
        <v>2022</v>
      </c>
      <c r="E2393">
        <v>6</v>
      </c>
      <c r="F2393">
        <v>59</v>
      </c>
      <c r="G2393" t="s">
        <v>33</v>
      </c>
      <c r="H2393" t="s">
        <v>29</v>
      </c>
      <c r="I2393" s="1" t="s">
        <v>34</v>
      </c>
      <c r="J2393">
        <v>166.55</v>
      </c>
    </row>
    <row r="2394" spans="1:10" hidden="1" x14ac:dyDescent="0.35">
      <c r="A2394" t="str">
        <f t="shared" si="37"/>
        <v>Itaipé20224.2</v>
      </c>
      <c r="B2394">
        <v>3132305</v>
      </c>
      <c r="C2394" t="s">
        <v>49</v>
      </c>
      <c r="D2394">
        <v>2022</v>
      </c>
      <c r="E2394">
        <v>6</v>
      </c>
      <c r="F2394">
        <v>45</v>
      </c>
      <c r="G2394" t="s">
        <v>35</v>
      </c>
      <c r="H2394" t="s">
        <v>29</v>
      </c>
      <c r="I2394" s="1" t="s">
        <v>36</v>
      </c>
      <c r="J2394">
        <v>10827.81</v>
      </c>
    </row>
    <row r="2395" spans="1:10" hidden="1" x14ac:dyDescent="0.35">
      <c r="A2395" t="str">
        <f t="shared" si="37"/>
        <v>Itaipé20224.8</v>
      </c>
      <c r="B2395">
        <v>3132305</v>
      </c>
      <c r="C2395" t="s">
        <v>49</v>
      </c>
      <c r="D2395">
        <v>2022</v>
      </c>
      <c r="E2395">
        <v>6</v>
      </c>
      <c r="F2395">
        <v>56</v>
      </c>
      <c r="G2395" t="s">
        <v>37</v>
      </c>
      <c r="H2395" t="s">
        <v>29</v>
      </c>
      <c r="I2395" s="1" t="s">
        <v>38</v>
      </c>
      <c r="J2395">
        <v>12545.36</v>
      </c>
    </row>
    <row r="2396" spans="1:10" hidden="1" x14ac:dyDescent="0.35">
      <c r="A2396" t="str">
        <f t="shared" si="37"/>
        <v>Itaipé20224.9</v>
      </c>
      <c r="B2396">
        <v>3132305</v>
      </c>
      <c r="C2396" t="s">
        <v>49</v>
      </c>
      <c r="D2396">
        <v>2022</v>
      </c>
      <c r="E2396">
        <v>6</v>
      </c>
      <c r="F2396">
        <v>57</v>
      </c>
      <c r="G2396" t="s">
        <v>39</v>
      </c>
      <c r="H2396" t="s">
        <v>29</v>
      </c>
      <c r="I2396" s="1" t="s">
        <v>40</v>
      </c>
      <c r="J2396">
        <v>12545.36</v>
      </c>
    </row>
    <row r="2397" spans="1:10" hidden="1" x14ac:dyDescent="0.35">
      <c r="A2397" t="str">
        <f t="shared" si="37"/>
        <v>Ladainha20221.1</v>
      </c>
      <c r="B2397">
        <v>3137007</v>
      </c>
      <c r="C2397" t="s">
        <v>50</v>
      </c>
      <c r="D2397">
        <v>2022</v>
      </c>
      <c r="E2397">
        <v>6</v>
      </c>
      <c r="F2397">
        <v>24</v>
      </c>
      <c r="G2397" t="s">
        <v>10</v>
      </c>
      <c r="H2397" t="s">
        <v>11</v>
      </c>
      <c r="I2397" s="1" t="s">
        <v>12</v>
      </c>
      <c r="J2397">
        <v>0.27310000000000001</v>
      </c>
    </row>
    <row r="2398" spans="1:10" hidden="1" x14ac:dyDescent="0.35">
      <c r="A2398" t="str">
        <f t="shared" si="37"/>
        <v>Ladainha20221.2</v>
      </c>
      <c r="B2398">
        <v>3137007</v>
      </c>
      <c r="C2398" t="s">
        <v>50</v>
      </c>
      <c r="D2398">
        <v>2022</v>
      </c>
      <c r="E2398">
        <v>6</v>
      </c>
      <c r="F2398">
        <v>67</v>
      </c>
      <c r="G2398" t="s">
        <v>13</v>
      </c>
      <c r="H2398" t="s">
        <v>11</v>
      </c>
      <c r="I2398" s="1" t="s">
        <v>14</v>
      </c>
      <c r="J2398">
        <v>0.98009999999999997</v>
      </c>
    </row>
    <row r="2399" spans="1:10" hidden="1" x14ac:dyDescent="0.35">
      <c r="A2399" t="str">
        <f t="shared" si="37"/>
        <v>Ladainha20221.3</v>
      </c>
      <c r="B2399">
        <v>3137007</v>
      </c>
      <c r="C2399" t="s">
        <v>50</v>
      </c>
      <c r="D2399">
        <v>2022</v>
      </c>
      <c r="E2399">
        <v>6</v>
      </c>
      <c r="F2399">
        <v>68</v>
      </c>
      <c r="G2399" t="s">
        <v>15</v>
      </c>
      <c r="H2399" t="s">
        <v>11</v>
      </c>
      <c r="I2399" s="1" t="s">
        <v>16</v>
      </c>
      <c r="J2399">
        <v>1.9900000000000001E-2</v>
      </c>
    </row>
    <row r="2400" spans="1:10" hidden="1" x14ac:dyDescent="0.35">
      <c r="A2400" t="str">
        <f t="shared" si="37"/>
        <v>Ladainha20222.1</v>
      </c>
      <c r="B2400">
        <v>3137007</v>
      </c>
      <c r="C2400" t="s">
        <v>50</v>
      </c>
      <c r="D2400">
        <v>2022</v>
      </c>
      <c r="E2400">
        <v>6</v>
      </c>
      <c r="F2400">
        <v>28</v>
      </c>
      <c r="G2400" t="s">
        <v>17</v>
      </c>
      <c r="H2400" t="s">
        <v>18</v>
      </c>
      <c r="I2400" s="1" t="s">
        <v>19</v>
      </c>
      <c r="J2400">
        <v>0.1716</v>
      </c>
    </row>
    <row r="2401" spans="1:10" hidden="1" x14ac:dyDescent="0.35">
      <c r="A2401" t="str">
        <f t="shared" si="37"/>
        <v>Ladainha20222.2</v>
      </c>
      <c r="B2401">
        <v>3137007</v>
      </c>
      <c r="C2401" t="s">
        <v>50</v>
      </c>
      <c r="D2401">
        <v>2022</v>
      </c>
      <c r="E2401">
        <v>6</v>
      </c>
      <c r="F2401">
        <v>29</v>
      </c>
      <c r="G2401" t="s">
        <v>20</v>
      </c>
      <c r="H2401" t="s">
        <v>18</v>
      </c>
      <c r="I2401" s="1" t="s">
        <v>21</v>
      </c>
      <c r="J2401">
        <v>0.82840000000000003</v>
      </c>
    </row>
    <row r="2402" spans="1:10" hidden="1" x14ac:dyDescent="0.35">
      <c r="A2402" t="str">
        <f t="shared" si="37"/>
        <v>Ladainha20222.4</v>
      </c>
      <c r="B2402">
        <v>3137007</v>
      </c>
      <c r="C2402" t="s">
        <v>50</v>
      </c>
      <c r="D2402">
        <v>2022</v>
      </c>
      <c r="E2402">
        <v>6</v>
      </c>
      <c r="F2402">
        <v>31</v>
      </c>
      <c r="G2402" t="s">
        <v>22</v>
      </c>
      <c r="H2402" t="s">
        <v>18</v>
      </c>
      <c r="I2402" s="1" t="s">
        <v>23</v>
      </c>
      <c r="J2402">
        <v>8.3599999999999994E-2</v>
      </c>
    </row>
    <row r="2403" spans="1:10" hidden="1" x14ac:dyDescent="0.35">
      <c r="A2403" t="str">
        <f t="shared" si="37"/>
        <v>Ladainha20222.5</v>
      </c>
      <c r="B2403">
        <v>3137007</v>
      </c>
      <c r="C2403" t="s">
        <v>50</v>
      </c>
      <c r="D2403">
        <v>2022</v>
      </c>
      <c r="E2403">
        <v>6</v>
      </c>
      <c r="F2403">
        <v>32</v>
      </c>
      <c r="G2403" t="s">
        <v>24</v>
      </c>
      <c r="H2403" t="s">
        <v>18</v>
      </c>
      <c r="I2403" s="1" t="s">
        <v>25</v>
      </c>
      <c r="J2403">
        <v>0.52790000000000004</v>
      </c>
    </row>
    <row r="2404" spans="1:10" hidden="1" x14ac:dyDescent="0.35">
      <c r="A2404" t="str">
        <f t="shared" si="37"/>
        <v>Ladainha20222.8</v>
      </c>
      <c r="B2404">
        <v>3137007</v>
      </c>
      <c r="C2404" t="s">
        <v>50</v>
      </c>
      <c r="D2404">
        <v>2022</v>
      </c>
      <c r="E2404">
        <v>6</v>
      </c>
      <c r="F2404">
        <v>35</v>
      </c>
      <c r="G2404" t="s">
        <v>26</v>
      </c>
      <c r="H2404" t="s">
        <v>18</v>
      </c>
      <c r="I2404" s="1" t="s">
        <v>27</v>
      </c>
      <c r="J2404">
        <v>0.2999</v>
      </c>
    </row>
    <row r="2405" spans="1:10" hidden="1" x14ac:dyDescent="0.35">
      <c r="A2405" t="str">
        <f t="shared" si="37"/>
        <v>Ladainha20224.1</v>
      </c>
      <c r="B2405">
        <v>3137007</v>
      </c>
      <c r="C2405" t="s">
        <v>50</v>
      </c>
      <c r="D2405">
        <v>2022</v>
      </c>
      <c r="E2405">
        <v>6</v>
      </c>
      <c r="F2405">
        <v>44</v>
      </c>
      <c r="G2405" t="s">
        <v>28</v>
      </c>
      <c r="H2405" t="s">
        <v>29</v>
      </c>
      <c r="I2405" s="1" t="s">
        <v>30</v>
      </c>
      <c r="J2405">
        <v>3570.05</v>
      </c>
    </row>
    <row r="2406" spans="1:10" hidden="1" x14ac:dyDescent="0.35">
      <c r="A2406" t="str">
        <f t="shared" si="37"/>
        <v>Ladainha20224.10</v>
      </c>
      <c r="B2406">
        <v>3137007</v>
      </c>
      <c r="C2406" t="s">
        <v>50</v>
      </c>
      <c r="D2406">
        <v>2022</v>
      </c>
      <c r="E2406">
        <v>6</v>
      </c>
      <c r="F2406">
        <v>58</v>
      </c>
      <c r="G2406" t="s">
        <v>31</v>
      </c>
      <c r="H2406" t="s">
        <v>29</v>
      </c>
      <c r="I2406" s="1" t="s">
        <v>32</v>
      </c>
      <c r="J2406">
        <v>6893.19</v>
      </c>
    </row>
    <row r="2407" spans="1:10" hidden="1" x14ac:dyDescent="0.35">
      <c r="A2407" t="str">
        <f t="shared" si="37"/>
        <v>Ladainha20224.11</v>
      </c>
      <c r="B2407">
        <v>3137007</v>
      </c>
      <c r="C2407" t="s">
        <v>50</v>
      </c>
      <c r="D2407">
        <v>2022</v>
      </c>
      <c r="E2407">
        <v>6</v>
      </c>
      <c r="F2407">
        <v>59</v>
      </c>
      <c r="G2407" t="s">
        <v>33</v>
      </c>
      <c r="H2407" t="s">
        <v>29</v>
      </c>
      <c r="I2407" s="1" t="s">
        <v>34</v>
      </c>
      <c r="J2407">
        <v>139.78</v>
      </c>
    </row>
    <row r="2408" spans="1:10" hidden="1" x14ac:dyDescent="0.35">
      <c r="A2408" t="str">
        <f t="shared" si="37"/>
        <v>Ladainha20224.2</v>
      </c>
      <c r="B2408">
        <v>3137007</v>
      </c>
      <c r="C2408" t="s">
        <v>50</v>
      </c>
      <c r="D2408">
        <v>2022</v>
      </c>
      <c r="E2408">
        <v>6</v>
      </c>
      <c r="F2408">
        <v>45</v>
      </c>
      <c r="G2408" t="s">
        <v>35</v>
      </c>
      <c r="H2408" t="s">
        <v>29</v>
      </c>
      <c r="I2408" s="1" t="s">
        <v>36</v>
      </c>
      <c r="J2408">
        <v>14978.33</v>
      </c>
    </row>
    <row r="2409" spans="1:10" hidden="1" x14ac:dyDescent="0.35">
      <c r="A2409" t="str">
        <f t="shared" si="37"/>
        <v>Ladainha20224.8</v>
      </c>
      <c r="B2409">
        <v>3137007</v>
      </c>
      <c r="C2409" t="s">
        <v>50</v>
      </c>
      <c r="D2409">
        <v>2022</v>
      </c>
      <c r="E2409">
        <v>6</v>
      </c>
      <c r="F2409">
        <v>56</v>
      </c>
      <c r="G2409" t="s">
        <v>37</v>
      </c>
      <c r="H2409" t="s">
        <v>29</v>
      </c>
      <c r="I2409" s="1" t="s">
        <v>38</v>
      </c>
      <c r="J2409">
        <v>17045.71</v>
      </c>
    </row>
    <row r="2410" spans="1:10" hidden="1" x14ac:dyDescent="0.35">
      <c r="A2410" t="str">
        <f t="shared" si="37"/>
        <v>Ladainha20224.9</v>
      </c>
      <c r="B2410">
        <v>3137007</v>
      </c>
      <c r="C2410" t="s">
        <v>50</v>
      </c>
      <c r="D2410">
        <v>2022</v>
      </c>
      <c r="E2410">
        <v>6</v>
      </c>
      <c r="F2410">
        <v>57</v>
      </c>
      <c r="G2410" t="s">
        <v>39</v>
      </c>
      <c r="H2410" t="s">
        <v>29</v>
      </c>
      <c r="I2410" s="1" t="s">
        <v>40</v>
      </c>
      <c r="J2410">
        <v>17045.71</v>
      </c>
    </row>
    <row r="2411" spans="1:10" hidden="1" x14ac:dyDescent="0.35">
      <c r="A2411" t="str">
        <f t="shared" si="37"/>
        <v>Machacalis20221.1</v>
      </c>
      <c r="B2411">
        <v>3138906</v>
      </c>
      <c r="C2411" t="s">
        <v>51</v>
      </c>
      <c r="D2411">
        <v>2022</v>
      </c>
      <c r="E2411">
        <v>6</v>
      </c>
      <c r="F2411">
        <v>24</v>
      </c>
      <c r="G2411" t="s">
        <v>10</v>
      </c>
      <c r="H2411" t="s">
        <v>11</v>
      </c>
      <c r="I2411" s="1" t="s">
        <v>12</v>
      </c>
      <c r="J2411">
        <v>0.26019999999999999</v>
      </c>
    </row>
    <row r="2412" spans="1:10" hidden="1" x14ac:dyDescent="0.35">
      <c r="A2412" t="str">
        <f t="shared" si="37"/>
        <v>Machacalis20221.2</v>
      </c>
      <c r="B2412">
        <v>3138906</v>
      </c>
      <c r="C2412" t="s">
        <v>51</v>
      </c>
      <c r="D2412">
        <v>2022</v>
      </c>
      <c r="E2412">
        <v>6</v>
      </c>
      <c r="F2412">
        <v>67</v>
      </c>
      <c r="G2412" t="s">
        <v>13</v>
      </c>
      <c r="H2412" t="s">
        <v>11</v>
      </c>
      <c r="I2412" s="1" t="s">
        <v>14</v>
      </c>
      <c r="J2412">
        <v>0.92410000000000003</v>
      </c>
    </row>
    <row r="2413" spans="1:10" hidden="1" x14ac:dyDescent="0.35">
      <c r="A2413" t="str">
        <f t="shared" si="37"/>
        <v>Machacalis20221.3</v>
      </c>
      <c r="B2413">
        <v>3138906</v>
      </c>
      <c r="C2413" t="s">
        <v>51</v>
      </c>
      <c r="D2413">
        <v>2022</v>
      </c>
      <c r="E2413">
        <v>6</v>
      </c>
      <c r="F2413">
        <v>68</v>
      </c>
      <c r="G2413" t="s">
        <v>15</v>
      </c>
      <c r="H2413" t="s">
        <v>11</v>
      </c>
      <c r="I2413" s="1" t="s">
        <v>16</v>
      </c>
      <c r="J2413">
        <v>7.5800000000000006E-2</v>
      </c>
    </row>
    <row r="2414" spans="1:10" hidden="1" x14ac:dyDescent="0.35">
      <c r="A2414" t="str">
        <f t="shared" si="37"/>
        <v>Machacalis20222.1</v>
      </c>
      <c r="B2414">
        <v>3138906</v>
      </c>
      <c r="C2414" t="s">
        <v>51</v>
      </c>
      <c r="D2414">
        <v>2022</v>
      </c>
      <c r="E2414">
        <v>6</v>
      </c>
      <c r="F2414">
        <v>28</v>
      </c>
      <c r="G2414" t="s">
        <v>17</v>
      </c>
      <c r="H2414" t="s">
        <v>18</v>
      </c>
      <c r="I2414" s="1" t="s">
        <v>19</v>
      </c>
      <c r="J2414">
        <v>0.35549999999999998</v>
      </c>
    </row>
    <row r="2415" spans="1:10" hidden="1" x14ac:dyDescent="0.35">
      <c r="A2415" t="str">
        <f t="shared" si="37"/>
        <v>Machacalis20222.2</v>
      </c>
      <c r="B2415">
        <v>3138906</v>
      </c>
      <c r="C2415" t="s">
        <v>51</v>
      </c>
      <c r="D2415">
        <v>2022</v>
      </c>
      <c r="E2415">
        <v>6</v>
      </c>
      <c r="F2415">
        <v>29</v>
      </c>
      <c r="G2415" t="s">
        <v>20</v>
      </c>
      <c r="H2415" t="s">
        <v>18</v>
      </c>
      <c r="I2415" s="1" t="s">
        <v>21</v>
      </c>
      <c r="J2415">
        <v>0.64439999999999997</v>
      </c>
    </row>
    <row r="2416" spans="1:10" hidden="1" x14ac:dyDescent="0.35">
      <c r="A2416" t="str">
        <f t="shared" si="37"/>
        <v>Machacalis20222.4</v>
      </c>
      <c r="B2416">
        <v>3138906</v>
      </c>
      <c r="C2416" t="s">
        <v>51</v>
      </c>
      <c r="D2416">
        <v>2022</v>
      </c>
      <c r="E2416">
        <v>6</v>
      </c>
      <c r="F2416">
        <v>31</v>
      </c>
      <c r="G2416" t="s">
        <v>22</v>
      </c>
      <c r="H2416" t="s">
        <v>18</v>
      </c>
      <c r="I2416" s="1" t="s">
        <v>23</v>
      </c>
      <c r="J2416">
        <v>0.15920000000000001</v>
      </c>
    </row>
    <row r="2417" spans="1:10" hidden="1" x14ac:dyDescent="0.35">
      <c r="A2417" t="str">
        <f t="shared" si="37"/>
        <v>Machacalis20222.5</v>
      </c>
      <c r="B2417">
        <v>3138906</v>
      </c>
      <c r="C2417" t="s">
        <v>51</v>
      </c>
      <c r="D2417">
        <v>2022</v>
      </c>
      <c r="E2417">
        <v>6</v>
      </c>
      <c r="F2417">
        <v>32</v>
      </c>
      <c r="G2417" t="s">
        <v>24</v>
      </c>
      <c r="H2417" t="s">
        <v>18</v>
      </c>
      <c r="I2417" s="1" t="s">
        <v>25</v>
      </c>
      <c r="J2417">
        <v>0.48830000000000001</v>
      </c>
    </row>
    <row r="2418" spans="1:10" hidden="1" x14ac:dyDescent="0.35">
      <c r="A2418" t="str">
        <f t="shared" si="37"/>
        <v>Machacalis20222.8</v>
      </c>
      <c r="B2418">
        <v>3138906</v>
      </c>
      <c r="C2418" t="s">
        <v>51</v>
      </c>
      <c r="D2418">
        <v>2022</v>
      </c>
      <c r="E2418">
        <v>6</v>
      </c>
      <c r="F2418">
        <v>35</v>
      </c>
      <c r="G2418" t="s">
        <v>26</v>
      </c>
      <c r="H2418" t="s">
        <v>18</v>
      </c>
      <c r="I2418" s="1" t="s">
        <v>27</v>
      </c>
      <c r="J2418">
        <v>0.21560000000000001</v>
      </c>
    </row>
    <row r="2419" spans="1:10" hidden="1" x14ac:dyDescent="0.35">
      <c r="A2419" t="str">
        <f t="shared" si="37"/>
        <v>Machacalis20224.1</v>
      </c>
      <c r="B2419">
        <v>3138906</v>
      </c>
      <c r="C2419" t="s">
        <v>51</v>
      </c>
      <c r="D2419">
        <v>2022</v>
      </c>
      <c r="E2419">
        <v>6</v>
      </c>
      <c r="F2419">
        <v>44</v>
      </c>
      <c r="G2419" t="s">
        <v>28</v>
      </c>
      <c r="H2419" t="s">
        <v>29</v>
      </c>
      <c r="I2419" s="1" t="s">
        <v>30</v>
      </c>
      <c r="J2419">
        <v>5925.51</v>
      </c>
    </row>
    <row r="2420" spans="1:10" hidden="1" x14ac:dyDescent="0.35">
      <c r="A2420" t="str">
        <f t="shared" si="37"/>
        <v>Machacalis20224.10</v>
      </c>
      <c r="B2420">
        <v>3138906</v>
      </c>
      <c r="C2420" t="s">
        <v>51</v>
      </c>
      <c r="D2420">
        <v>2022</v>
      </c>
      <c r="E2420">
        <v>6</v>
      </c>
      <c r="F2420">
        <v>58</v>
      </c>
      <c r="G2420" t="s">
        <v>31</v>
      </c>
      <c r="H2420" t="s">
        <v>29</v>
      </c>
      <c r="I2420" s="1" t="s">
        <v>32</v>
      </c>
      <c r="J2420">
        <v>6042.46</v>
      </c>
    </row>
    <row r="2421" spans="1:10" hidden="1" x14ac:dyDescent="0.35">
      <c r="A2421" t="str">
        <f t="shared" si="37"/>
        <v>Machacalis20224.11</v>
      </c>
      <c r="B2421">
        <v>3138906</v>
      </c>
      <c r="C2421" t="s">
        <v>51</v>
      </c>
      <c r="D2421">
        <v>2022</v>
      </c>
      <c r="E2421">
        <v>6</v>
      </c>
      <c r="F2421">
        <v>59</v>
      </c>
      <c r="G2421" t="s">
        <v>33</v>
      </c>
      <c r="H2421" t="s">
        <v>29</v>
      </c>
      <c r="I2421" s="1" t="s">
        <v>34</v>
      </c>
      <c r="J2421">
        <v>170.83</v>
      </c>
    </row>
    <row r="2422" spans="1:10" hidden="1" x14ac:dyDescent="0.35">
      <c r="A2422" t="str">
        <f t="shared" si="37"/>
        <v>Machacalis20224.2</v>
      </c>
      <c r="B2422">
        <v>3138906</v>
      </c>
      <c r="C2422" t="s">
        <v>51</v>
      </c>
      <c r="D2422">
        <v>2022</v>
      </c>
      <c r="E2422">
        <v>6</v>
      </c>
      <c r="F2422">
        <v>45</v>
      </c>
      <c r="G2422" t="s">
        <v>35</v>
      </c>
      <c r="H2422" t="s">
        <v>29</v>
      </c>
      <c r="I2422" s="1" t="s">
        <v>36</v>
      </c>
      <c r="J2422">
        <v>11848.71</v>
      </c>
    </row>
    <row r="2423" spans="1:10" hidden="1" x14ac:dyDescent="0.35">
      <c r="A2423" t="str">
        <f t="shared" si="37"/>
        <v>Machacalis20224.8</v>
      </c>
      <c r="B2423">
        <v>3138906</v>
      </c>
      <c r="C2423" t="s">
        <v>51</v>
      </c>
      <c r="D2423">
        <v>2022</v>
      </c>
      <c r="E2423">
        <v>6</v>
      </c>
      <c r="F2423">
        <v>56</v>
      </c>
      <c r="G2423" t="s">
        <v>37</v>
      </c>
      <c r="H2423" t="s">
        <v>29</v>
      </c>
      <c r="I2423" s="1" t="s">
        <v>38</v>
      </c>
      <c r="J2423">
        <v>14687.57</v>
      </c>
    </row>
    <row r="2424" spans="1:10" hidden="1" x14ac:dyDescent="0.35">
      <c r="A2424" t="str">
        <f t="shared" si="37"/>
        <v>Machacalis20224.9</v>
      </c>
      <c r="B2424">
        <v>3138906</v>
      </c>
      <c r="C2424" t="s">
        <v>51</v>
      </c>
      <c r="D2424">
        <v>2022</v>
      </c>
      <c r="E2424">
        <v>6</v>
      </c>
      <c r="F2424">
        <v>57</v>
      </c>
      <c r="G2424" t="s">
        <v>39</v>
      </c>
      <c r="H2424" t="s">
        <v>29</v>
      </c>
      <c r="I2424" s="1" t="s">
        <v>40</v>
      </c>
      <c r="J2424">
        <v>14687.57</v>
      </c>
    </row>
    <row r="2425" spans="1:10" hidden="1" x14ac:dyDescent="0.35">
      <c r="A2425" t="str">
        <f t="shared" si="37"/>
        <v>Malacacheta20221.1</v>
      </c>
      <c r="B2425">
        <v>3139201</v>
      </c>
      <c r="C2425" t="s">
        <v>52</v>
      </c>
      <c r="D2425">
        <v>2022</v>
      </c>
      <c r="E2425">
        <v>6</v>
      </c>
      <c r="F2425">
        <v>24</v>
      </c>
      <c r="G2425" t="s">
        <v>10</v>
      </c>
      <c r="H2425" t="s">
        <v>11</v>
      </c>
      <c r="I2425" s="1" t="s">
        <v>12</v>
      </c>
      <c r="J2425">
        <v>0.25240000000000001</v>
      </c>
    </row>
    <row r="2426" spans="1:10" hidden="1" x14ac:dyDescent="0.35">
      <c r="A2426" t="str">
        <f t="shared" si="37"/>
        <v>Malacacheta20221.2</v>
      </c>
      <c r="B2426">
        <v>3139201</v>
      </c>
      <c r="C2426" t="s">
        <v>52</v>
      </c>
      <c r="D2426">
        <v>2022</v>
      </c>
      <c r="E2426">
        <v>6</v>
      </c>
      <c r="F2426">
        <v>67</v>
      </c>
      <c r="G2426" t="s">
        <v>13</v>
      </c>
      <c r="H2426" t="s">
        <v>11</v>
      </c>
      <c r="I2426" s="1" t="s">
        <v>14</v>
      </c>
      <c r="J2426">
        <v>0.91749999999999998</v>
      </c>
    </row>
    <row r="2427" spans="1:10" hidden="1" x14ac:dyDescent="0.35">
      <c r="A2427" t="str">
        <f t="shared" si="37"/>
        <v>Malacacheta20221.3</v>
      </c>
      <c r="B2427">
        <v>3139201</v>
      </c>
      <c r="C2427" t="s">
        <v>52</v>
      </c>
      <c r="D2427">
        <v>2022</v>
      </c>
      <c r="E2427">
        <v>6</v>
      </c>
      <c r="F2427">
        <v>68</v>
      </c>
      <c r="G2427" t="s">
        <v>15</v>
      </c>
      <c r="H2427" t="s">
        <v>11</v>
      </c>
      <c r="I2427" s="1" t="s">
        <v>16</v>
      </c>
      <c r="J2427">
        <v>7.1199999999999999E-2</v>
      </c>
    </row>
    <row r="2428" spans="1:10" hidden="1" x14ac:dyDescent="0.35">
      <c r="A2428" t="str">
        <f t="shared" si="37"/>
        <v>Malacacheta20222.1</v>
      </c>
      <c r="B2428">
        <v>3139201</v>
      </c>
      <c r="C2428" t="s">
        <v>52</v>
      </c>
      <c r="D2428">
        <v>2022</v>
      </c>
      <c r="E2428">
        <v>6</v>
      </c>
      <c r="F2428">
        <v>28</v>
      </c>
      <c r="G2428" t="s">
        <v>17</v>
      </c>
      <c r="H2428" t="s">
        <v>18</v>
      </c>
      <c r="I2428" s="1" t="s">
        <v>19</v>
      </c>
      <c r="J2428">
        <v>0.44629999999999997</v>
      </c>
    </row>
    <row r="2429" spans="1:10" hidden="1" x14ac:dyDescent="0.35">
      <c r="A2429" t="str">
        <f t="shared" si="37"/>
        <v>Malacacheta20222.2</v>
      </c>
      <c r="B2429">
        <v>3139201</v>
      </c>
      <c r="C2429" t="s">
        <v>52</v>
      </c>
      <c r="D2429">
        <v>2022</v>
      </c>
      <c r="E2429">
        <v>6</v>
      </c>
      <c r="F2429">
        <v>29</v>
      </c>
      <c r="G2429" t="s">
        <v>20</v>
      </c>
      <c r="H2429" t="s">
        <v>18</v>
      </c>
      <c r="I2429" s="1" t="s">
        <v>21</v>
      </c>
      <c r="J2429">
        <v>0.54159999999999997</v>
      </c>
    </row>
    <row r="2430" spans="1:10" hidden="1" x14ac:dyDescent="0.35">
      <c r="A2430" t="str">
        <f t="shared" si="37"/>
        <v>Malacacheta20222.4</v>
      </c>
      <c r="B2430">
        <v>3139201</v>
      </c>
      <c r="C2430" t="s">
        <v>52</v>
      </c>
      <c r="D2430">
        <v>2022</v>
      </c>
      <c r="E2430">
        <v>6</v>
      </c>
      <c r="F2430">
        <v>31</v>
      </c>
      <c r="G2430" t="s">
        <v>22</v>
      </c>
      <c r="H2430" t="s">
        <v>18</v>
      </c>
      <c r="I2430" s="1" t="s">
        <v>23</v>
      </c>
      <c r="J2430">
        <v>0.31709999999999999</v>
      </c>
    </row>
    <row r="2431" spans="1:10" hidden="1" x14ac:dyDescent="0.35">
      <c r="A2431" t="str">
        <f t="shared" si="37"/>
        <v>Malacacheta20222.5</v>
      </c>
      <c r="B2431">
        <v>3139201</v>
      </c>
      <c r="C2431" t="s">
        <v>52</v>
      </c>
      <c r="D2431">
        <v>2022</v>
      </c>
      <c r="E2431">
        <v>6</v>
      </c>
      <c r="F2431">
        <v>32</v>
      </c>
      <c r="G2431" t="s">
        <v>24</v>
      </c>
      <c r="H2431" t="s">
        <v>18</v>
      </c>
      <c r="I2431" s="1" t="s">
        <v>25</v>
      </c>
      <c r="J2431">
        <v>0.57330000000000003</v>
      </c>
    </row>
    <row r="2432" spans="1:10" hidden="1" x14ac:dyDescent="0.35">
      <c r="A2432" t="str">
        <f t="shared" si="37"/>
        <v>Malacacheta20222.8</v>
      </c>
      <c r="B2432">
        <v>3139201</v>
      </c>
      <c r="C2432" t="s">
        <v>52</v>
      </c>
      <c r="D2432">
        <v>2022</v>
      </c>
      <c r="E2432">
        <v>6</v>
      </c>
      <c r="F2432">
        <v>35</v>
      </c>
      <c r="G2432" t="s">
        <v>26</v>
      </c>
      <c r="H2432" t="s">
        <v>18</v>
      </c>
      <c r="I2432" s="1" t="s">
        <v>27</v>
      </c>
      <c r="J2432">
        <v>0.1673</v>
      </c>
    </row>
    <row r="2433" spans="1:10" hidden="1" x14ac:dyDescent="0.35">
      <c r="A2433" t="str">
        <f t="shared" si="37"/>
        <v>Malacacheta20224.1</v>
      </c>
      <c r="B2433">
        <v>3139201</v>
      </c>
      <c r="C2433" t="s">
        <v>52</v>
      </c>
      <c r="D2433">
        <v>2022</v>
      </c>
      <c r="E2433">
        <v>6</v>
      </c>
      <c r="F2433">
        <v>44</v>
      </c>
      <c r="G2433" t="s">
        <v>28</v>
      </c>
      <c r="H2433" t="s">
        <v>29</v>
      </c>
      <c r="I2433" s="1" t="s">
        <v>30</v>
      </c>
      <c r="J2433">
        <v>6631.66</v>
      </c>
    </row>
    <row r="2434" spans="1:10" hidden="1" x14ac:dyDescent="0.35">
      <c r="A2434" t="str">
        <f t="shared" si="37"/>
        <v>Malacacheta20224.10</v>
      </c>
      <c r="B2434">
        <v>3139201</v>
      </c>
      <c r="C2434" t="s">
        <v>52</v>
      </c>
      <c r="D2434">
        <v>2022</v>
      </c>
      <c r="E2434">
        <v>6</v>
      </c>
      <c r="F2434">
        <v>58</v>
      </c>
      <c r="G2434" t="s">
        <v>31</v>
      </c>
      <c r="H2434" t="s">
        <v>29</v>
      </c>
      <c r="I2434" s="1" t="s">
        <v>32</v>
      </c>
      <c r="J2434">
        <v>5820.17</v>
      </c>
    </row>
    <row r="2435" spans="1:10" hidden="1" x14ac:dyDescent="0.35">
      <c r="A2435" t="str">
        <f t="shared" si="37"/>
        <v>Malacacheta20224.11</v>
      </c>
      <c r="B2435">
        <v>3139201</v>
      </c>
      <c r="C2435" t="s">
        <v>52</v>
      </c>
      <c r="D2435">
        <v>2022</v>
      </c>
      <c r="E2435">
        <v>6</v>
      </c>
      <c r="F2435">
        <v>59</v>
      </c>
      <c r="G2435" t="s">
        <v>33</v>
      </c>
      <c r="H2435" t="s">
        <v>29</v>
      </c>
      <c r="I2435" s="1" t="s">
        <v>34</v>
      </c>
      <c r="J2435">
        <v>116.23</v>
      </c>
    </row>
    <row r="2436" spans="1:10" hidden="1" x14ac:dyDescent="0.35">
      <c r="A2436" t="str">
        <f t="shared" ref="A2436:A2499" si="38">C2436&amp;D2436&amp;G2436</f>
        <v>Malacacheta20224.2</v>
      </c>
      <c r="B2436">
        <v>3139201</v>
      </c>
      <c r="C2436" t="s">
        <v>52</v>
      </c>
      <c r="D2436">
        <v>2022</v>
      </c>
      <c r="E2436">
        <v>6</v>
      </c>
      <c r="F2436">
        <v>45</v>
      </c>
      <c r="G2436" t="s">
        <v>35</v>
      </c>
      <c r="H2436" t="s">
        <v>29</v>
      </c>
      <c r="I2436" s="1" t="s">
        <v>36</v>
      </c>
      <c r="J2436">
        <v>13299.91</v>
      </c>
    </row>
    <row r="2437" spans="1:10" hidden="1" x14ac:dyDescent="0.35">
      <c r="A2437" t="str">
        <f t="shared" si="38"/>
        <v>Malacacheta20224.8</v>
      </c>
      <c r="B2437">
        <v>3139201</v>
      </c>
      <c r="C2437" t="s">
        <v>52</v>
      </c>
      <c r="D2437">
        <v>2022</v>
      </c>
      <c r="E2437">
        <v>6</v>
      </c>
      <c r="F2437">
        <v>56</v>
      </c>
      <c r="G2437" t="s">
        <v>37</v>
      </c>
      <c r="H2437" t="s">
        <v>29</v>
      </c>
      <c r="I2437" s="1" t="s">
        <v>38</v>
      </c>
      <c r="J2437">
        <v>10310.969999999999</v>
      </c>
    </row>
    <row r="2438" spans="1:10" hidden="1" x14ac:dyDescent="0.35">
      <c r="A2438" t="str">
        <f t="shared" si="38"/>
        <v>Malacacheta20224.9</v>
      </c>
      <c r="B2438">
        <v>3139201</v>
      </c>
      <c r="C2438" t="s">
        <v>52</v>
      </c>
      <c r="D2438">
        <v>2022</v>
      </c>
      <c r="E2438">
        <v>6</v>
      </c>
      <c r="F2438">
        <v>57</v>
      </c>
      <c r="G2438" t="s">
        <v>39</v>
      </c>
      <c r="H2438" t="s">
        <v>29</v>
      </c>
      <c r="I2438" s="1" t="s">
        <v>40</v>
      </c>
      <c r="J2438">
        <v>10310.969999999999</v>
      </c>
    </row>
    <row r="2439" spans="1:10" hidden="1" x14ac:dyDescent="0.35">
      <c r="A2439" t="str">
        <f t="shared" si="38"/>
        <v>Nanuque20221.1</v>
      </c>
      <c r="B2439">
        <v>3144300</v>
      </c>
      <c r="C2439" t="s">
        <v>53</v>
      </c>
      <c r="D2439">
        <v>2022</v>
      </c>
      <c r="E2439">
        <v>6</v>
      </c>
      <c r="F2439">
        <v>24</v>
      </c>
      <c r="G2439" t="s">
        <v>10</v>
      </c>
      <c r="H2439" t="s">
        <v>11</v>
      </c>
      <c r="I2439" s="1" t="s">
        <v>12</v>
      </c>
      <c r="J2439">
        <v>0.2626</v>
      </c>
    </row>
    <row r="2440" spans="1:10" hidden="1" x14ac:dyDescent="0.35">
      <c r="A2440" t="str">
        <f t="shared" si="38"/>
        <v>Nanuque20221.2</v>
      </c>
      <c r="B2440">
        <v>3144300</v>
      </c>
      <c r="C2440" t="s">
        <v>53</v>
      </c>
      <c r="D2440">
        <v>2022</v>
      </c>
      <c r="E2440">
        <v>6</v>
      </c>
      <c r="F2440">
        <v>67</v>
      </c>
      <c r="G2440" t="s">
        <v>13</v>
      </c>
      <c r="H2440" t="s">
        <v>11</v>
      </c>
      <c r="I2440" s="1" t="s">
        <v>14</v>
      </c>
      <c r="J2440">
        <v>0.92889999999999995</v>
      </c>
    </row>
    <row r="2441" spans="1:10" hidden="1" x14ac:dyDescent="0.35">
      <c r="A2441" t="str">
        <f t="shared" si="38"/>
        <v>Nanuque20221.3</v>
      </c>
      <c r="B2441">
        <v>3144300</v>
      </c>
      <c r="C2441" t="s">
        <v>53</v>
      </c>
      <c r="D2441">
        <v>2022</v>
      </c>
      <c r="E2441">
        <v>6</v>
      </c>
      <c r="F2441">
        <v>68</v>
      </c>
      <c r="G2441" t="s">
        <v>15</v>
      </c>
      <c r="H2441" t="s">
        <v>11</v>
      </c>
      <c r="I2441" s="1" t="s">
        <v>16</v>
      </c>
      <c r="J2441">
        <v>6.7799999999999999E-2</v>
      </c>
    </row>
    <row r="2442" spans="1:10" hidden="1" x14ac:dyDescent="0.35">
      <c r="A2442" t="str">
        <f t="shared" si="38"/>
        <v>Nanuque20222.1</v>
      </c>
      <c r="B2442">
        <v>3144300</v>
      </c>
      <c r="C2442" t="s">
        <v>53</v>
      </c>
      <c r="D2442">
        <v>2022</v>
      </c>
      <c r="E2442">
        <v>6</v>
      </c>
      <c r="F2442">
        <v>28</v>
      </c>
      <c r="G2442" t="s">
        <v>17</v>
      </c>
      <c r="H2442" t="s">
        <v>18</v>
      </c>
      <c r="I2442" s="1" t="s">
        <v>19</v>
      </c>
      <c r="J2442">
        <v>0.17929999999999999</v>
      </c>
    </row>
    <row r="2443" spans="1:10" hidden="1" x14ac:dyDescent="0.35">
      <c r="A2443" t="str">
        <f t="shared" si="38"/>
        <v>Nanuque20222.2</v>
      </c>
      <c r="B2443">
        <v>3144300</v>
      </c>
      <c r="C2443" t="s">
        <v>53</v>
      </c>
      <c r="D2443">
        <v>2022</v>
      </c>
      <c r="E2443">
        <v>6</v>
      </c>
      <c r="F2443">
        <v>29</v>
      </c>
      <c r="G2443" t="s">
        <v>20</v>
      </c>
      <c r="H2443" t="s">
        <v>18</v>
      </c>
      <c r="I2443" s="1" t="s">
        <v>21</v>
      </c>
      <c r="J2443">
        <v>0.81730000000000003</v>
      </c>
    </row>
    <row r="2444" spans="1:10" hidden="1" x14ac:dyDescent="0.35">
      <c r="A2444" t="str">
        <f t="shared" si="38"/>
        <v>Nanuque20222.4</v>
      </c>
      <c r="B2444">
        <v>3144300</v>
      </c>
      <c r="C2444" t="s">
        <v>53</v>
      </c>
      <c r="D2444">
        <v>2022</v>
      </c>
      <c r="E2444">
        <v>6</v>
      </c>
      <c r="F2444">
        <v>31</v>
      </c>
      <c r="G2444" t="s">
        <v>22</v>
      </c>
      <c r="H2444" t="s">
        <v>18</v>
      </c>
      <c r="I2444" s="1" t="s">
        <v>23</v>
      </c>
      <c r="J2444">
        <v>0.17230000000000001</v>
      </c>
    </row>
    <row r="2445" spans="1:10" hidden="1" x14ac:dyDescent="0.35">
      <c r="A2445" t="str">
        <f t="shared" si="38"/>
        <v>Nanuque20222.5</v>
      </c>
      <c r="B2445">
        <v>3144300</v>
      </c>
      <c r="C2445" t="s">
        <v>53</v>
      </c>
      <c r="D2445">
        <v>2022</v>
      </c>
      <c r="E2445">
        <v>6</v>
      </c>
      <c r="F2445">
        <v>32</v>
      </c>
      <c r="G2445" t="s">
        <v>24</v>
      </c>
      <c r="H2445" t="s">
        <v>18</v>
      </c>
      <c r="I2445" s="1" t="s">
        <v>25</v>
      </c>
      <c r="J2445">
        <v>0.49990000000000001</v>
      </c>
    </row>
    <row r="2446" spans="1:10" hidden="1" x14ac:dyDescent="0.35">
      <c r="A2446" t="str">
        <f t="shared" si="38"/>
        <v>Nanuque20222.8</v>
      </c>
      <c r="B2446">
        <v>3144300</v>
      </c>
      <c r="C2446" t="s">
        <v>53</v>
      </c>
      <c r="D2446">
        <v>2022</v>
      </c>
      <c r="E2446">
        <v>6</v>
      </c>
      <c r="F2446">
        <v>35</v>
      </c>
      <c r="G2446" t="s">
        <v>26</v>
      </c>
      <c r="H2446" t="s">
        <v>18</v>
      </c>
      <c r="I2446" s="1" t="s">
        <v>27</v>
      </c>
      <c r="J2446">
        <v>0.23139999999999999</v>
      </c>
    </row>
    <row r="2447" spans="1:10" hidden="1" x14ac:dyDescent="0.35">
      <c r="A2447" t="str">
        <f t="shared" si="38"/>
        <v>Nanuque20224.1</v>
      </c>
      <c r="B2447">
        <v>3144300</v>
      </c>
      <c r="C2447" t="s">
        <v>53</v>
      </c>
      <c r="D2447">
        <v>2022</v>
      </c>
      <c r="E2447">
        <v>6</v>
      </c>
      <c r="F2447">
        <v>44</v>
      </c>
      <c r="G2447" t="s">
        <v>28</v>
      </c>
      <c r="H2447" t="s">
        <v>29</v>
      </c>
      <c r="I2447" s="1" t="s">
        <v>30</v>
      </c>
      <c r="J2447">
        <v>5428.79</v>
      </c>
    </row>
    <row r="2448" spans="1:10" hidden="1" x14ac:dyDescent="0.35">
      <c r="A2448" t="str">
        <f t="shared" si="38"/>
        <v>Nanuque20224.10</v>
      </c>
      <c r="B2448">
        <v>3144300</v>
      </c>
      <c r="C2448" t="s">
        <v>53</v>
      </c>
      <c r="D2448">
        <v>2022</v>
      </c>
      <c r="E2448">
        <v>6</v>
      </c>
      <c r="F2448">
        <v>58</v>
      </c>
      <c r="G2448" t="s">
        <v>31</v>
      </c>
      <c r="H2448" t="s">
        <v>29</v>
      </c>
      <c r="I2448" s="1" t="s">
        <v>32</v>
      </c>
      <c r="J2448">
        <v>5877.89</v>
      </c>
    </row>
    <row r="2449" spans="1:10" hidden="1" x14ac:dyDescent="0.35">
      <c r="A2449" t="str">
        <f t="shared" si="38"/>
        <v>Nanuque20224.11</v>
      </c>
      <c r="B2449">
        <v>3144300</v>
      </c>
      <c r="C2449" t="s">
        <v>53</v>
      </c>
      <c r="D2449">
        <v>2022</v>
      </c>
      <c r="E2449">
        <v>6</v>
      </c>
      <c r="F2449">
        <v>59</v>
      </c>
      <c r="G2449" t="s">
        <v>33</v>
      </c>
      <c r="H2449" t="s">
        <v>29</v>
      </c>
      <c r="I2449" s="1" t="s">
        <v>34</v>
      </c>
      <c r="J2449">
        <v>8.1199999999999992</v>
      </c>
    </row>
    <row r="2450" spans="1:10" hidden="1" x14ac:dyDescent="0.35">
      <c r="A2450" t="str">
        <f t="shared" si="38"/>
        <v>Nanuque20224.2</v>
      </c>
      <c r="B2450">
        <v>3144300</v>
      </c>
      <c r="C2450" t="s">
        <v>53</v>
      </c>
      <c r="D2450">
        <v>2022</v>
      </c>
      <c r="E2450">
        <v>6</v>
      </c>
      <c r="F2450">
        <v>45</v>
      </c>
      <c r="G2450" t="s">
        <v>35</v>
      </c>
      <c r="H2450" t="s">
        <v>29</v>
      </c>
      <c r="I2450" s="1" t="s">
        <v>36</v>
      </c>
      <c r="J2450">
        <v>13074.85</v>
      </c>
    </row>
    <row r="2451" spans="1:10" hidden="1" x14ac:dyDescent="0.35">
      <c r="A2451" t="str">
        <f t="shared" si="38"/>
        <v>Nanuque20224.8</v>
      </c>
      <c r="B2451">
        <v>3144300</v>
      </c>
      <c r="C2451" t="s">
        <v>53</v>
      </c>
      <c r="D2451">
        <v>2022</v>
      </c>
      <c r="E2451">
        <v>6</v>
      </c>
      <c r="F2451">
        <v>56</v>
      </c>
      <c r="G2451" t="s">
        <v>37</v>
      </c>
      <c r="H2451" t="s">
        <v>29</v>
      </c>
      <c r="I2451" s="1" t="s">
        <v>38</v>
      </c>
      <c r="J2451">
        <v>12882.07</v>
      </c>
    </row>
    <row r="2452" spans="1:10" hidden="1" x14ac:dyDescent="0.35">
      <c r="A2452" t="str">
        <f t="shared" si="38"/>
        <v>Nanuque20224.9</v>
      </c>
      <c r="B2452">
        <v>3144300</v>
      </c>
      <c r="C2452" t="s">
        <v>53</v>
      </c>
      <c r="D2452">
        <v>2022</v>
      </c>
      <c r="E2452">
        <v>6</v>
      </c>
      <c r="F2452">
        <v>57</v>
      </c>
      <c r="G2452" t="s">
        <v>39</v>
      </c>
      <c r="H2452" t="s">
        <v>29</v>
      </c>
      <c r="I2452" s="1" t="s">
        <v>40</v>
      </c>
      <c r="J2452">
        <v>12882.07</v>
      </c>
    </row>
    <row r="2453" spans="1:10" hidden="1" x14ac:dyDescent="0.35">
      <c r="A2453" t="str">
        <f t="shared" si="38"/>
        <v>Novo Oriente de Minas20221.1</v>
      </c>
      <c r="B2453">
        <v>3145356</v>
      </c>
      <c r="C2453" t="s">
        <v>54</v>
      </c>
      <c r="D2453">
        <v>2022</v>
      </c>
      <c r="E2453">
        <v>6</v>
      </c>
      <c r="F2453">
        <v>24</v>
      </c>
      <c r="G2453" t="s">
        <v>10</v>
      </c>
      <c r="H2453" t="s">
        <v>11</v>
      </c>
      <c r="I2453" s="1" t="s">
        <v>12</v>
      </c>
      <c r="J2453">
        <v>0.26750000000000002</v>
      </c>
    </row>
    <row r="2454" spans="1:10" hidden="1" x14ac:dyDescent="0.35">
      <c r="A2454" t="str">
        <f t="shared" si="38"/>
        <v>Novo Oriente de Minas20221.2</v>
      </c>
      <c r="B2454">
        <v>3145356</v>
      </c>
      <c r="C2454" t="s">
        <v>54</v>
      </c>
      <c r="D2454">
        <v>2022</v>
      </c>
      <c r="E2454">
        <v>6</v>
      </c>
      <c r="F2454">
        <v>67</v>
      </c>
      <c r="G2454" t="s">
        <v>13</v>
      </c>
      <c r="H2454" t="s">
        <v>11</v>
      </c>
      <c r="I2454" s="1" t="s">
        <v>14</v>
      </c>
      <c r="J2454">
        <v>0.80079999999999996</v>
      </c>
    </row>
    <row r="2455" spans="1:10" hidden="1" x14ac:dyDescent="0.35">
      <c r="A2455" t="str">
        <f t="shared" si="38"/>
        <v>Novo Oriente de Minas20221.3</v>
      </c>
      <c r="B2455">
        <v>3145356</v>
      </c>
      <c r="C2455" t="s">
        <v>54</v>
      </c>
      <c r="D2455">
        <v>2022</v>
      </c>
      <c r="E2455">
        <v>6</v>
      </c>
      <c r="F2455">
        <v>68</v>
      </c>
      <c r="G2455" t="s">
        <v>15</v>
      </c>
      <c r="H2455" t="s">
        <v>11</v>
      </c>
      <c r="I2455" s="1" t="s">
        <v>16</v>
      </c>
      <c r="J2455">
        <v>0.1177</v>
      </c>
    </row>
    <row r="2456" spans="1:10" hidden="1" x14ac:dyDescent="0.35">
      <c r="A2456" t="str">
        <f t="shared" si="38"/>
        <v>Novo Oriente de Minas20222.1</v>
      </c>
      <c r="B2456">
        <v>3145356</v>
      </c>
      <c r="C2456" t="s">
        <v>54</v>
      </c>
      <c r="D2456">
        <v>2022</v>
      </c>
      <c r="E2456">
        <v>6</v>
      </c>
      <c r="F2456">
        <v>28</v>
      </c>
      <c r="G2456" t="s">
        <v>17</v>
      </c>
      <c r="H2456" t="s">
        <v>18</v>
      </c>
      <c r="I2456" s="1" t="s">
        <v>19</v>
      </c>
      <c r="J2456">
        <v>8.6999999999999994E-2</v>
      </c>
    </row>
    <row r="2457" spans="1:10" hidden="1" x14ac:dyDescent="0.35">
      <c r="A2457" t="str">
        <f t="shared" si="38"/>
        <v>Novo Oriente de Minas20222.2</v>
      </c>
      <c r="B2457">
        <v>3145356</v>
      </c>
      <c r="C2457" t="s">
        <v>54</v>
      </c>
      <c r="D2457">
        <v>2022</v>
      </c>
      <c r="E2457">
        <v>6</v>
      </c>
      <c r="F2457">
        <v>29</v>
      </c>
      <c r="G2457" t="s">
        <v>20</v>
      </c>
      <c r="H2457" t="s">
        <v>18</v>
      </c>
      <c r="I2457" s="1" t="s">
        <v>21</v>
      </c>
      <c r="J2457">
        <v>0.83150000000000002</v>
      </c>
    </row>
    <row r="2458" spans="1:10" hidden="1" x14ac:dyDescent="0.35">
      <c r="A2458" t="str">
        <f t="shared" si="38"/>
        <v>Novo Oriente de Minas20222.4</v>
      </c>
      <c r="B2458">
        <v>3145356</v>
      </c>
      <c r="C2458" t="s">
        <v>54</v>
      </c>
      <c r="D2458">
        <v>2022</v>
      </c>
      <c r="E2458">
        <v>6</v>
      </c>
      <c r="F2458">
        <v>31</v>
      </c>
      <c r="G2458" t="s">
        <v>22</v>
      </c>
      <c r="H2458" t="s">
        <v>18</v>
      </c>
      <c r="I2458" s="1" t="s">
        <v>23</v>
      </c>
      <c r="J2458">
        <v>0.17419999999999999</v>
      </c>
    </row>
    <row r="2459" spans="1:10" hidden="1" x14ac:dyDescent="0.35">
      <c r="A2459" t="str">
        <f t="shared" si="38"/>
        <v>Novo Oriente de Minas20222.5</v>
      </c>
      <c r="B2459">
        <v>3145356</v>
      </c>
      <c r="C2459" t="s">
        <v>54</v>
      </c>
      <c r="D2459">
        <v>2022</v>
      </c>
      <c r="E2459">
        <v>6</v>
      </c>
      <c r="F2459">
        <v>32</v>
      </c>
      <c r="G2459" t="s">
        <v>24</v>
      </c>
      <c r="H2459" t="s">
        <v>18</v>
      </c>
      <c r="I2459" s="1" t="s">
        <v>25</v>
      </c>
      <c r="J2459">
        <v>0.60719999999999996</v>
      </c>
    </row>
    <row r="2460" spans="1:10" hidden="1" x14ac:dyDescent="0.35">
      <c r="A2460" t="str">
        <f t="shared" si="38"/>
        <v>Novo Oriente de Minas20222.8</v>
      </c>
      <c r="B2460">
        <v>3145356</v>
      </c>
      <c r="C2460" t="s">
        <v>54</v>
      </c>
      <c r="D2460">
        <v>2022</v>
      </c>
      <c r="E2460">
        <v>6</v>
      </c>
      <c r="F2460">
        <v>35</v>
      </c>
      <c r="G2460" t="s">
        <v>26</v>
      </c>
      <c r="H2460" t="s">
        <v>18</v>
      </c>
      <c r="I2460" s="1" t="s">
        <v>27</v>
      </c>
      <c r="J2460">
        <v>0.29820000000000002</v>
      </c>
    </row>
    <row r="2461" spans="1:10" hidden="1" x14ac:dyDescent="0.35">
      <c r="A2461" t="str">
        <f t="shared" si="38"/>
        <v>Novo Oriente de Minas20224.1</v>
      </c>
      <c r="B2461">
        <v>3145356</v>
      </c>
      <c r="C2461" t="s">
        <v>54</v>
      </c>
      <c r="D2461">
        <v>2022</v>
      </c>
      <c r="E2461">
        <v>6</v>
      </c>
      <c r="F2461">
        <v>44</v>
      </c>
      <c r="G2461" t="s">
        <v>28</v>
      </c>
      <c r="H2461" t="s">
        <v>29</v>
      </c>
      <c r="I2461" s="1" t="s">
        <v>30</v>
      </c>
      <c r="J2461">
        <v>6221.12</v>
      </c>
    </row>
    <row r="2462" spans="1:10" hidden="1" x14ac:dyDescent="0.35">
      <c r="A2462" t="str">
        <f t="shared" si="38"/>
        <v>Novo Oriente de Minas20224.10</v>
      </c>
      <c r="B2462">
        <v>3145356</v>
      </c>
      <c r="C2462" t="s">
        <v>54</v>
      </c>
      <c r="D2462">
        <v>2022</v>
      </c>
      <c r="E2462">
        <v>6</v>
      </c>
      <c r="F2462">
        <v>58</v>
      </c>
      <c r="G2462" t="s">
        <v>31</v>
      </c>
      <c r="H2462" t="s">
        <v>29</v>
      </c>
      <c r="I2462" s="1" t="s">
        <v>32</v>
      </c>
      <c r="J2462">
        <v>6291.01</v>
      </c>
    </row>
    <row r="2463" spans="1:10" hidden="1" x14ac:dyDescent="0.35">
      <c r="A2463" t="str">
        <f t="shared" si="38"/>
        <v>Novo Oriente de Minas20224.11</v>
      </c>
      <c r="B2463">
        <v>3145356</v>
      </c>
      <c r="C2463" t="s">
        <v>54</v>
      </c>
      <c r="D2463">
        <v>2022</v>
      </c>
      <c r="E2463">
        <v>6</v>
      </c>
      <c r="F2463">
        <v>59</v>
      </c>
      <c r="G2463" t="s">
        <v>33</v>
      </c>
      <c r="H2463" t="s">
        <v>29</v>
      </c>
      <c r="I2463" s="1" t="s">
        <v>34</v>
      </c>
      <c r="J2463">
        <v>199.3</v>
      </c>
    </row>
    <row r="2464" spans="1:10" hidden="1" x14ac:dyDescent="0.35">
      <c r="A2464" t="str">
        <f t="shared" si="38"/>
        <v>Novo Oriente de Minas20224.2</v>
      </c>
      <c r="B2464">
        <v>3145356</v>
      </c>
      <c r="C2464" t="s">
        <v>54</v>
      </c>
      <c r="D2464">
        <v>2022</v>
      </c>
      <c r="E2464">
        <v>6</v>
      </c>
      <c r="F2464">
        <v>45</v>
      </c>
      <c r="G2464" t="s">
        <v>35</v>
      </c>
      <c r="H2464" t="s">
        <v>29</v>
      </c>
      <c r="I2464" s="1" t="s">
        <v>36</v>
      </c>
      <c r="J2464">
        <v>13050.29</v>
      </c>
    </row>
    <row r="2465" spans="1:10" hidden="1" x14ac:dyDescent="0.35">
      <c r="A2465" t="str">
        <f t="shared" si="38"/>
        <v>Novo Oriente de Minas20224.8</v>
      </c>
      <c r="B2465">
        <v>3145356</v>
      </c>
      <c r="C2465" t="s">
        <v>54</v>
      </c>
      <c r="D2465">
        <v>2022</v>
      </c>
      <c r="E2465">
        <v>6</v>
      </c>
      <c r="F2465">
        <v>56</v>
      </c>
      <c r="G2465" t="s">
        <v>37</v>
      </c>
      <c r="H2465" t="s">
        <v>29</v>
      </c>
      <c r="I2465" s="1" t="s">
        <v>38</v>
      </c>
      <c r="J2465">
        <v>13416.79</v>
      </c>
    </row>
    <row r="2466" spans="1:10" hidden="1" x14ac:dyDescent="0.35">
      <c r="A2466" t="str">
        <f t="shared" si="38"/>
        <v>Novo Oriente de Minas20224.9</v>
      </c>
      <c r="B2466">
        <v>3145356</v>
      </c>
      <c r="C2466" t="s">
        <v>54</v>
      </c>
      <c r="D2466">
        <v>2022</v>
      </c>
      <c r="E2466">
        <v>6</v>
      </c>
      <c r="F2466">
        <v>57</v>
      </c>
      <c r="G2466" t="s">
        <v>39</v>
      </c>
      <c r="H2466" t="s">
        <v>29</v>
      </c>
      <c r="I2466" s="1" t="s">
        <v>40</v>
      </c>
      <c r="J2466">
        <v>13416.79</v>
      </c>
    </row>
    <row r="2467" spans="1:10" hidden="1" x14ac:dyDescent="0.35">
      <c r="A2467" t="str">
        <f t="shared" si="38"/>
        <v>Ouro Verde de Minas20221.1</v>
      </c>
      <c r="B2467">
        <v>3146206</v>
      </c>
      <c r="C2467" t="s">
        <v>55</v>
      </c>
      <c r="D2467">
        <v>2022</v>
      </c>
      <c r="E2467">
        <v>6</v>
      </c>
      <c r="F2467">
        <v>24</v>
      </c>
      <c r="G2467" t="s">
        <v>10</v>
      </c>
      <c r="H2467" t="s">
        <v>11</v>
      </c>
      <c r="I2467" s="1" t="s">
        <v>12</v>
      </c>
      <c r="J2467">
        <v>0.25019999999999998</v>
      </c>
    </row>
    <row r="2468" spans="1:10" hidden="1" x14ac:dyDescent="0.35">
      <c r="A2468" t="str">
        <f t="shared" si="38"/>
        <v>Ouro Verde de Minas20221.2</v>
      </c>
      <c r="B2468">
        <v>3146206</v>
      </c>
      <c r="C2468" t="s">
        <v>55</v>
      </c>
      <c r="D2468">
        <v>2022</v>
      </c>
      <c r="E2468">
        <v>6</v>
      </c>
      <c r="F2468">
        <v>67</v>
      </c>
      <c r="G2468" t="s">
        <v>13</v>
      </c>
      <c r="H2468" t="s">
        <v>11</v>
      </c>
      <c r="I2468" s="1" t="s">
        <v>14</v>
      </c>
      <c r="J2468">
        <v>0.97840000000000005</v>
      </c>
    </row>
    <row r="2469" spans="1:10" hidden="1" x14ac:dyDescent="0.35">
      <c r="A2469" t="str">
        <f t="shared" si="38"/>
        <v>Ouro Verde de Minas20221.3</v>
      </c>
      <c r="B2469">
        <v>3146206</v>
      </c>
      <c r="C2469" t="s">
        <v>55</v>
      </c>
      <c r="D2469">
        <v>2022</v>
      </c>
      <c r="E2469">
        <v>6</v>
      </c>
      <c r="F2469">
        <v>68</v>
      </c>
      <c r="G2469" t="s">
        <v>15</v>
      </c>
      <c r="H2469" t="s">
        <v>11</v>
      </c>
      <c r="I2469" s="1" t="s">
        <v>16</v>
      </c>
      <c r="J2469">
        <v>1.9199999999999998E-2</v>
      </c>
    </row>
    <row r="2470" spans="1:10" hidden="1" x14ac:dyDescent="0.35">
      <c r="A2470" t="str">
        <f t="shared" si="38"/>
        <v>Ouro Verde de Minas20222.1</v>
      </c>
      <c r="B2470">
        <v>3146206</v>
      </c>
      <c r="C2470" t="s">
        <v>55</v>
      </c>
      <c r="D2470">
        <v>2022</v>
      </c>
      <c r="E2470">
        <v>6</v>
      </c>
      <c r="F2470">
        <v>28</v>
      </c>
      <c r="G2470" t="s">
        <v>17</v>
      </c>
      <c r="H2470" t="s">
        <v>18</v>
      </c>
      <c r="I2470" s="1" t="s">
        <v>19</v>
      </c>
      <c r="J2470">
        <v>0.1236</v>
      </c>
    </row>
    <row r="2471" spans="1:10" hidden="1" x14ac:dyDescent="0.35">
      <c r="A2471" t="str">
        <f t="shared" si="38"/>
        <v>Ouro Verde de Minas20222.2</v>
      </c>
      <c r="B2471">
        <v>3146206</v>
      </c>
      <c r="C2471" t="s">
        <v>55</v>
      </c>
      <c r="D2471">
        <v>2022</v>
      </c>
      <c r="E2471">
        <v>6</v>
      </c>
      <c r="F2471">
        <v>29</v>
      </c>
      <c r="G2471" t="s">
        <v>20</v>
      </c>
      <c r="H2471" t="s">
        <v>18</v>
      </c>
      <c r="I2471" s="1" t="s">
        <v>21</v>
      </c>
      <c r="J2471">
        <v>0.874</v>
      </c>
    </row>
    <row r="2472" spans="1:10" hidden="1" x14ac:dyDescent="0.35">
      <c r="A2472" t="str">
        <f t="shared" si="38"/>
        <v>Ouro Verde de Minas20222.4</v>
      </c>
      <c r="B2472">
        <v>3146206</v>
      </c>
      <c r="C2472" t="s">
        <v>55</v>
      </c>
      <c r="D2472">
        <v>2022</v>
      </c>
      <c r="E2472">
        <v>6</v>
      </c>
      <c r="F2472">
        <v>31</v>
      </c>
      <c r="G2472" t="s">
        <v>22</v>
      </c>
      <c r="H2472" t="s">
        <v>18</v>
      </c>
      <c r="I2472" s="1" t="s">
        <v>23</v>
      </c>
      <c r="J2472">
        <v>5.3100000000000001E-2</v>
      </c>
    </row>
    <row r="2473" spans="1:10" hidden="1" x14ac:dyDescent="0.35">
      <c r="A2473" t="str">
        <f t="shared" si="38"/>
        <v>Ouro Verde de Minas20222.5</v>
      </c>
      <c r="B2473">
        <v>3146206</v>
      </c>
      <c r="C2473" t="s">
        <v>55</v>
      </c>
      <c r="D2473">
        <v>2022</v>
      </c>
      <c r="E2473">
        <v>6</v>
      </c>
      <c r="F2473">
        <v>32</v>
      </c>
      <c r="G2473" t="s">
        <v>24</v>
      </c>
      <c r="H2473" t="s">
        <v>18</v>
      </c>
      <c r="I2473" s="1" t="s">
        <v>25</v>
      </c>
      <c r="J2473">
        <v>0.4713</v>
      </c>
    </row>
    <row r="2474" spans="1:10" hidden="1" x14ac:dyDescent="0.35">
      <c r="A2474" t="str">
        <f t="shared" si="38"/>
        <v>Ouro Verde de Minas20222.8</v>
      </c>
      <c r="B2474">
        <v>3146206</v>
      </c>
      <c r="C2474" t="s">
        <v>55</v>
      </c>
      <c r="D2474">
        <v>2022</v>
      </c>
      <c r="E2474">
        <v>6</v>
      </c>
      <c r="F2474">
        <v>35</v>
      </c>
      <c r="G2474" t="s">
        <v>26</v>
      </c>
      <c r="H2474" t="s">
        <v>18</v>
      </c>
      <c r="I2474" s="1" t="s">
        <v>27</v>
      </c>
      <c r="J2474">
        <v>0.2974</v>
      </c>
    </row>
    <row r="2475" spans="1:10" hidden="1" x14ac:dyDescent="0.35">
      <c r="A2475" t="str">
        <f t="shared" si="38"/>
        <v>Ouro Verde de Minas20224.1</v>
      </c>
      <c r="B2475">
        <v>3146206</v>
      </c>
      <c r="C2475" t="s">
        <v>55</v>
      </c>
      <c r="D2475">
        <v>2022</v>
      </c>
      <c r="E2475">
        <v>6</v>
      </c>
      <c r="F2475">
        <v>44</v>
      </c>
      <c r="G2475" t="s">
        <v>28</v>
      </c>
      <c r="H2475" t="s">
        <v>29</v>
      </c>
      <c r="I2475" s="1" t="s">
        <v>30</v>
      </c>
      <c r="J2475">
        <v>2030.97</v>
      </c>
    </row>
    <row r="2476" spans="1:10" hidden="1" x14ac:dyDescent="0.35">
      <c r="A2476" t="str">
        <f t="shared" si="38"/>
        <v>Ouro Verde de Minas20224.10</v>
      </c>
      <c r="B2476">
        <v>3146206</v>
      </c>
      <c r="C2476" t="s">
        <v>55</v>
      </c>
      <c r="D2476">
        <v>2022</v>
      </c>
      <c r="E2476">
        <v>6</v>
      </c>
      <c r="F2476">
        <v>58</v>
      </c>
      <c r="G2476" t="s">
        <v>31</v>
      </c>
      <c r="H2476" t="s">
        <v>29</v>
      </c>
      <c r="I2476" s="1" t="s">
        <v>32</v>
      </c>
      <c r="J2476">
        <v>7112.25</v>
      </c>
    </row>
    <row r="2477" spans="1:10" hidden="1" x14ac:dyDescent="0.35">
      <c r="A2477" t="str">
        <f t="shared" si="38"/>
        <v>Ouro Verde de Minas20224.11</v>
      </c>
      <c r="B2477">
        <v>3146206</v>
      </c>
      <c r="C2477" t="s">
        <v>55</v>
      </c>
      <c r="D2477">
        <v>2022</v>
      </c>
      <c r="E2477">
        <v>6</v>
      </c>
      <c r="F2477">
        <v>59</v>
      </c>
      <c r="G2477" t="s">
        <v>33</v>
      </c>
      <c r="H2477" t="s">
        <v>29</v>
      </c>
      <c r="I2477" s="1" t="s">
        <v>34</v>
      </c>
    </row>
    <row r="2478" spans="1:10" hidden="1" x14ac:dyDescent="0.35">
      <c r="A2478" t="str">
        <f t="shared" si="38"/>
        <v>Ouro Verde de Minas20224.2</v>
      </c>
      <c r="B2478">
        <v>3146206</v>
      </c>
      <c r="C2478" t="s">
        <v>55</v>
      </c>
      <c r="D2478">
        <v>2022</v>
      </c>
      <c r="E2478">
        <v>6</v>
      </c>
      <c r="F2478">
        <v>45</v>
      </c>
      <c r="G2478" t="s">
        <v>35</v>
      </c>
      <c r="H2478" t="s">
        <v>29</v>
      </c>
      <c r="I2478" s="1" t="s">
        <v>36</v>
      </c>
      <c r="J2478">
        <v>16604.560000000001</v>
      </c>
    </row>
    <row r="2479" spans="1:10" hidden="1" x14ac:dyDescent="0.35">
      <c r="A2479" t="str">
        <f t="shared" si="38"/>
        <v>Ouro Verde de Minas20224.8</v>
      </c>
      <c r="B2479">
        <v>3146206</v>
      </c>
      <c r="C2479" t="s">
        <v>55</v>
      </c>
      <c r="D2479">
        <v>2022</v>
      </c>
      <c r="E2479">
        <v>6</v>
      </c>
      <c r="F2479">
        <v>56</v>
      </c>
      <c r="G2479" t="s">
        <v>37</v>
      </c>
      <c r="H2479" t="s">
        <v>29</v>
      </c>
      <c r="I2479" s="1" t="s">
        <v>38</v>
      </c>
      <c r="J2479">
        <v>18342.86</v>
      </c>
    </row>
    <row r="2480" spans="1:10" hidden="1" x14ac:dyDescent="0.35">
      <c r="A2480" t="str">
        <f t="shared" si="38"/>
        <v>Ouro Verde de Minas20224.9</v>
      </c>
      <c r="B2480">
        <v>3146206</v>
      </c>
      <c r="C2480" t="s">
        <v>55</v>
      </c>
      <c r="D2480">
        <v>2022</v>
      </c>
      <c r="E2480">
        <v>6</v>
      </c>
      <c r="F2480">
        <v>57</v>
      </c>
      <c r="G2480" t="s">
        <v>39</v>
      </c>
      <c r="H2480" t="s">
        <v>29</v>
      </c>
      <c r="I2480" s="1" t="s">
        <v>40</v>
      </c>
      <c r="J2480">
        <v>18342.86</v>
      </c>
    </row>
    <row r="2481" spans="1:10" hidden="1" x14ac:dyDescent="0.35">
      <c r="A2481" t="str">
        <f t="shared" si="38"/>
        <v>Pavão20221.1</v>
      </c>
      <c r="B2481">
        <v>3148509</v>
      </c>
      <c r="C2481" t="s">
        <v>56</v>
      </c>
      <c r="D2481">
        <v>2022</v>
      </c>
      <c r="E2481">
        <v>6</v>
      </c>
      <c r="F2481">
        <v>24</v>
      </c>
      <c r="G2481" t="s">
        <v>10</v>
      </c>
      <c r="H2481" t="s">
        <v>11</v>
      </c>
      <c r="I2481" s="1" t="s">
        <v>12</v>
      </c>
      <c r="J2481">
        <v>0.27229999999999999</v>
      </c>
    </row>
    <row r="2482" spans="1:10" hidden="1" x14ac:dyDescent="0.35">
      <c r="A2482" t="str">
        <f t="shared" si="38"/>
        <v>Pavão20221.2</v>
      </c>
      <c r="B2482">
        <v>3148509</v>
      </c>
      <c r="C2482" t="s">
        <v>56</v>
      </c>
      <c r="D2482">
        <v>2022</v>
      </c>
      <c r="E2482">
        <v>6</v>
      </c>
      <c r="F2482">
        <v>67</v>
      </c>
      <c r="G2482" t="s">
        <v>13</v>
      </c>
      <c r="H2482" t="s">
        <v>11</v>
      </c>
      <c r="I2482" s="1" t="s">
        <v>14</v>
      </c>
      <c r="J2482">
        <v>0.81110000000000004</v>
      </c>
    </row>
    <row r="2483" spans="1:10" hidden="1" x14ac:dyDescent="0.35">
      <c r="A2483" t="str">
        <f t="shared" si="38"/>
        <v>Pavão20221.3</v>
      </c>
      <c r="B2483">
        <v>3148509</v>
      </c>
      <c r="C2483" t="s">
        <v>56</v>
      </c>
      <c r="D2483">
        <v>2022</v>
      </c>
      <c r="E2483">
        <v>6</v>
      </c>
      <c r="F2483">
        <v>68</v>
      </c>
      <c r="G2483" t="s">
        <v>15</v>
      </c>
      <c r="H2483" t="s">
        <v>11</v>
      </c>
      <c r="I2483" s="1" t="s">
        <v>16</v>
      </c>
      <c r="J2483">
        <v>0.18590000000000001</v>
      </c>
    </row>
    <row r="2484" spans="1:10" hidden="1" x14ac:dyDescent="0.35">
      <c r="A2484" t="str">
        <f t="shared" si="38"/>
        <v>Pavão20222.1</v>
      </c>
      <c r="B2484">
        <v>3148509</v>
      </c>
      <c r="C2484" t="s">
        <v>56</v>
      </c>
      <c r="D2484">
        <v>2022</v>
      </c>
      <c r="E2484">
        <v>6</v>
      </c>
      <c r="F2484">
        <v>28</v>
      </c>
      <c r="G2484" t="s">
        <v>17</v>
      </c>
      <c r="H2484" t="s">
        <v>18</v>
      </c>
      <c r="I2484" s="1" t="s">
        <v>19</v>
      </c>
      <c r="J2484">
        <v>0.25069999999999998</v>
      </c>
    </row>
    <row r="2485" spans="1:10" hidden="1" x14ac:dyDescent="0.35">
      <c r="A2485" t="str">
        <f t="shared" si="38"/>
        <v>Pavão20222.2</v>
      </c>
      <c r="B2485">
        <v>3148509</v>
      </c>
      <c r="C2485" t="s">
        <v>56</v>
      </c>
      <c r="D2485">
        <v>2022</v>
      </c>
      <c r="E2485">
        <v>6</v>
      </c>
      <c r="F2485">
        <v>29</v>
      </c>
      <c r="G2485" t="s">
        <v>20</v>
      </c>
      <c r="H2485" t="s">
        <v>18</v>
      </c>
      <c r="I2485" s="1" t="s">
        <v>21</v>
      </c>
      <c r="J2485">
        <v>0.76910000000000001</v>
      </c>
    </row>
    <row r="2486" spans="1:10" hidden="1" x14ac:dyDescent="0.35">
      <c r="A2486" t="str">
        <f t="shared" si="38"/>
        <v>Pavão20222.4</v>
      </c>
      <c r="B2486">
        <v>3148509</v>
      </c>
      <c r="C2486" t="s">
        <v>56</v>
      </c>
      <c r="D2486">
        <v>2022</v>
      </c>
      <c r="E2486">
        <v>6</v>
      </c>
      <c r="F2486">
        <v>31</v>
      </c>
      <c r="G2486" t="s">
        <v>22</v>
      </c>
      <c r="H2486" t="s">
        <v>18</v>
      </c>
      <c r="I2486" s="1" t="s">
        <v>23</v>
      </c>
      <c r="J2486">
        <v>0.19470000000000001</v>
      </c>
    </row>
    <row r="2487" spans="1:10" hidden="1" x14ac:dyDescent="0.35">
      <c r="A2487" t="str">
        <f t="shared" si="38"/>
        <v>Pavão20222.5</v>
      </c>
      <c r="B2487">
        <v>3148509</v>
      </c>
      <c r="C2487" t="s">
        <v>56</v>
      </c>
      <c r="D2487">
        <v>2022</v>
      </c>
      <c r="E2487">
        <v>6</v>
      </c>
      <c r="F2487">
        <v>32</v>
      </c>
      <c r="G2487" t="s">
        <v>24</v>
      </c>
      <c r="H2487" t="s">
        <v>18</v>
      </c>
      <c r="I2487" s="1" t="s">
        <v>25</v>
      </c>
      <c r="J2487">
        <v>0.4617</v>
      </c>
    </row>
    <row r="2488" spans="1:10" hidden="1" x14ac:dyDescent="0.35">
      <c r="A2488" t="str">
        <f t="shared" si="38"/>
        <v>Pavão20222.8</v>
      </c>
      <c r="B2488">
        <v>3148509</v>
      </c>
      <c r="C2488" t="s">
        <v>56</v>
      </c>
      <c r="D2488">
        <v>2022</v>
      </c>
      <c r="E2488">
        <v>6</v>
      </c>
      <c r="F2488">
        <v>35</v>
      </c>
      <c r="G2488" t="s">
        <v>26</v>
      </c>
      <c r="H2488" t="s">
        <v>18</v>
      </c>
      <c r="I2488" s="1" t="s">
        <v>27</v>
      </c>
      <c r="J2488">
        <v>0.24099999999999999</v>
      </c>
    </row>
    <row r="2489" spans="1:10" hidden="1" x14ac:dyDescent="0.35">
      <c r="A2489" t="str">
        <f t="shared" si="38"/>
        <v>Pavão20224.1</v>
      </c>
      <c r="B2489">
        <v>3148509</v>
      </c>
      <c r="C2489" t="s">
        <v>56</v>
      </c>
      <c r="D2489">
        <v>2022</v>
      </c>
      <c r="E2489">
        <v>6</v>
      </c>
      <c r="F2489">
        <v>44</v>
      </c>
      <c r="G2489" t="s">
        <v>28</v>
      </c>
      <c r="H2489" t="s">
        <v>29</v>
      </c>
      <c r="I2489" s="1" t="s">
        <v>30</v>
      </c>
      <c r="J2489">
        <v>6764.29</v>
      </c>
    </row>
    <row r="2490" spans="1:10" hidden="1" x14ac:dyDescent="0.35">
      <c r="A2490" t="str">
        <f t="shared" si="38"/>
        <v>Pavão20224.10</v>
      </c>
      <c r="B2490">
        <v>3148509</v>
      </c>
      <c r="C2490" t="s">
        <v>56</v>
      </c>
      <c r="D2490">
        <v>2022</v>
      </c>
      <c r="E2490">
        <v>6</v>
      </c>
      <c r="F2490">
        <v>58</v>
      </c>
      <c r="G2490" t="s">
        <v>31</v>
      </c>
      <c r="H2490" t="s">
        <v>29</v>
      </c>
      <c r="I2490" s="1" t="s">
        <v>32</v>
      </c>
      <c r="J2490">
        <v>4960.71</v>
      </c>
    </row>
    <row r="2491" spans="1:10" hidden="1" x14ac:dyDescent="0.35">
      <c r="A2491" t="str">
        <f t="shared" si="38"/>
        <v>Pavão20224.11</v>
      </c>
      <c r="B2491">
        <v>3148509</v>
      </c>
      <c r="C2491" t="s">
        <v>56</v>
      </c>
      <c r="D2491">
        <v>2022</v>
      </c>
      <c r="E2491">
        <v>6</v>
      </c>
      <c r="F2491">
        <v>59</v>
      </c>
      <c r="G2491" t="s">
        <v>33</v>
      </c>
      <c r="H2491" t="s">
        <v>29</v>
      </c>
      <c r="I2491" s="1" t="s">
        <v>34</v>
      </c>
      <c r="J2491">
        <v>1105.54</v>
      </c>
    </row>
    <row r="2492" spans="1:10" hidden="1" x14ac:dyDescent="0.35">
      <c r="A2492" t="str">
        <f t="shared" si="38"/>
        <v>Pavão20224.2</v>
      </c>
      <c r="B2492">
        <v>3148509</v>
      </c>
      <c r="C2492" t="s">
        <v>56</v>
      </c>
      <c r="D2492">
        <v>2022</v>
      </c>
      <c r="E2492">
        <v>6</v>
      </c>
      <c r="F2492">
        <v>45</v>
      </c>
      <c r="G2492" t="s">
        <v>35</v>
      </c>
      <c r="H2492" t="s">
        <v>29</v>
      </c>
      <c r="I2492" s="1" t="s">
        <v>36</v>
      </c>
      <c r="J2492">
        <v>14406.86</v>
      </c>
    </row>
    <row r="2493" spans="1:10" hidden="1" x14ac:dyDescent="0.35">
      <c r="A2493" t="str">
        <f t="shared" si="38"/>
        <v>Pavão20224.8</v>
      </c>
      <c r="B2493">
        <v>3148509</v>
      </c>
      <c r="C2493" t="s">
        <v>56</v>
      </c>
      <c r="D2493">
        <v>2022</v>
      </c>
      <c r="E2493">
        <v>6</v>
      </c>
      <c r="F2493">
        <v>56</v>
      </c>
      <c r="G2493" t="s">
        <v>37</v>
      </c>
      <c r="H2493" t="s">
        <v>29</v>
      </c>
      <c r="I2493" s="1" t="s">
        <v>38</v>
      </c>
      <c r="J2493">
        <v>16366.41</v>
      </c>
    </row>
    <row r="2494" spans="1:10" hidden="1" x14ac:dyDescent="0.35">
      <c r="A2494" t="str">
        <f t="shared" si="38"/>
        <v>Pavão20224.9</v>
      </c>
      <c r="B2494">
        <v>3148509</v>
      </c>
      <c r="C2494" t="s">
        <v>56</v>
      </c>
      <c r="D2494">
        <v>2022</v>
      </c>
      <c r="E2494">
        <v>6</v>
      </c>
      <c r="F2494">
        <v>57</v>
      </c>
      <c r="G2494" t="s">
        <v>39</v>
      </c>
      <c r="H2494" t="s">
        <v>29</v>
      </c>
      <c r="I2494" s="1" t="s">
        <v>40</v>
      </c>
      <c r="J2494">
        <v>16366.41</v>
      </c>
    </row>
    <row r="2495" spans="1:10" hidden="1" x14ac:dyDescent="0.35">
      <c r="A2495" t="str">
        <f t="shared" si="38"/>
        <v>Poté20221.1</v>
      </c>
      <c r="B2495">
        <v>3152402</v>
      </c>
      <c r="C2495" t="s">
        <v>57</v>
      </c>
      <c r="D2495">
        <v>2022</v>
      </c>
      <c r="E2495">
        <v>6</v>
      </c>
      <c r="F2495">
        <v>24</v>
      </c>
      <c r="G2495" t="s">
        <v>10</v>
      </c>
      <c r="H2495" t="s">
        <v>11</v>
      </c>
      <c r="I2495" s="1" t="s">
        <v>12</v>
      </c>
      <c r="J2495">
        <v>0.28050000000000003</v>
      </c>
    </row>
    <row r="2496" spans="1:10" hidden="1" x14ac:dyDescent="0.35">
      <c r="A2496" t="str">
        <f t="shared" si="38"/>
        <v>Poté20221.2</v>
      </c>
      <c r="B2496">
        <v>3152402</v>
      </c>
      <c r="C2496" t="s">
        <v>57</v>
      </c>
      <c r="D2496">
        <v>2022</v>
      </c>
      <c r="E2496">
        <v>6</v>
      </c>
      <c r="F2496">
        <v>67</v>
      </c>
      <c r="G2496" t="s">
        <v>13</v>
      </c>
      <c r="H2496" t="s">
        <v>11</v>
      </c>
      <c r="I2496" s="1" t="s">
        <v>14</v>
      </c>
      <c r="J2496">
        <v>0.97509999999999997</v>
      </c>
    </row>
    <row r="2497" spans="1:10" hidden="1" x14ac:dyDescent="0.35">
      <c r="A2497" t="str">
        <f t="shared" si="38"/>
        <v>Poté20221.3</v>
      </c>
      <c r="B2497">
        <v>3152402</v>
      </c>
      <c r="C2497" t="s">
        <v>57</v>
      </c>
      <c r="D2497">
        <v>2022</v>
      </c>
      <c r="E2497">
        <v>6</v>
      </c>
      <c r="F2497">
        <v>68</v>
      </c>
      <c r="G2497" t="s">
        <v>15</v>
      </c>
      <c r="H2497" t="s">
        <v>11</v>
      </c>
      <c r="I2497" s="1" t="s">
        <v>16</v>
      </c>
      <c r="J2497">
        <v>2.41E-2</v>
      </c>
    </row>
    <row r="2498" spans="1:10" hidden="1" x14ac:dyDescent="0.35">
      <c r="A2498" t="str">
        <f t="shared" si="38"/>
        <v>Poté20222.1</v>
      </c>
      <c r="B2498">
        <v>3152402</v>
      </c>
      <c r="C2498" t="s">
        <v>57</v>
      </c>
      <c r="D2498">
        <v>2022</v>
      </c>
      <c r="E2498">
        <v>6</v>
      </c>
      <c r="F2498">
        <v>28</v>
      </c>
      <c r="G2498" t="s">
        <v>17</v>
      </c>
      <c r="H2498" t="s">
        <v>18</v>
      </c>
      <c r="I2498" s="1" t="s">
        <v>19</v>
      </c>
      <c r="J2498">
        <v>0.16520000000000001</v>
      </c>
    </row>
    <row r="2499" spans="1:10" hidden="1" x14ac:dyDescent="0.35">
      <c r="A2499" t="str">
        <f t="shared" si="38"/>
        <v>Poté20222.2</v>
      </c>
      <c r="B2499">
        <v>3152402</v>
      </c>
      <c r="C2499" t="s">
        <v>57</v>
      </c>
      <c r="D2499">
        <v>2022</v>
      </c>
      <c r="E2499">
        <v>6</v>
      </c>
      <c r="F2499">
        <v>29</v>
      </c>
      <c r="G2499" t="s">
        <v>20</v>
      </c>
      <c r="H2499" t="s">
        <v>18</v>
      </c>
      <c r="I2499" s="1" t="s">
        <v>21</v>
      </c>
      <c r="J2499">
        <v>0.83399999999999996</v>
      </c>
    </row>
    <row r="2500" spans="1:10" hidden="1" x14ac:dyDescent="0.35">
      <c r="A2500" t="str">
        <f t="shared" ref="A2500:A2563" si="39">C2500&amp;D2500&amp;G2500</f>
        <v>Poté20222.4</v>
      </c>
      <c r="B2500">
        <v>3152402</v>
      </c>
      <c r="C2500" t="s">
        <v>57</v>
      </c>
      <c r="D2500">
        <v>2022</v>
      </c>
      <c r="E2500">
        <v>6</v>
      </c>
      <c r="F2500">
        <v>31</v>
      </c>
      <c r="G2500" t="s">
        <v>22</v>
      </c>
      <c r="H2500" t="s">
        <v>18</v>
      </c>
      <c r="I2500" s="1" t="s">
        <v>23</v>
      </c>
      <c r="J2500">
        <v>0.13150000000000001</v>
      </c>
    </row>
    <row r="2501" spans="1:10" hidden="1" x14ac:dyDescent="0.35">
      <c r="A2501" t="str">
        <f t="shared" si="39"/>
        <v>Poté20222.5</v>
      </c>
      <c r="B2501">
        <v>3152402</v>
      </c>
      <c r="C2501" t="s">
        <v>57</v>
      </c>
      <c r="D2501">
        <v>2022</v>
      </c>
      <c r="E2501">
        <v>6</v>
      </c>
      <c r="F2501">
        <v>32</v>
      </c>
      <c r="G2501" t="s">
        <v>24</v>
      </c>
      <c r="H2501" t="s">
        <v>18</v>
      </c>
      <c r="I2501" s="1" t="s">
        <v>25</v>
      </c>
      <c r="J2501">
        <v>0.55679999999999996</v>
      </c>
    </row>
    <row r="2502" spans="1:10" hidden="1" x14ac:dyDescent="0.35">
      <c r="A2502" t="str">
        <f t="shared" si="39"/>
        <v>Poté20222.8</v>
      </c>
      <c r="B2502">
        <v>3152402</v>
      </c>
      <c r="C2502" t="s">
        <v>57</v>
      </c>
      <c r="D2502">
        <v>2022</v>
      </c>
      <c r="E2502">
        <v>6</v>
      </c>
      <c r="F2502">
        <v>35</v>
      </c>
      <c r="G2502" t="s">
        <v>26</v>
      </c>
      <c r="H2502" t="s">
        <v>18</v>
      </c>
      <c r="I2502" s="1" t="s">
        <v>27</v>
      </c>
      <c r="J2502">
        <v>0.27600000000000002</v>
      </c>
    </row>
    <row r="2503" spans="1:10" hidden="1" x14ac:dyDescent="0.35">
      <c r="A2503" t="str">
        <f t="shared" si="39"/>
        <v>Poté20224.1</v>
      </c>
      <c r="B2503">
        <v>3152402</v>
      </c>
      <c r="C2503" t="s">
        <v>57</v>
      </c>
      <c r="D2503">
        <v>2022</v>
      </c>
      <c r="E2503">
        <v>6</v>
      </c>
      <c r="F2503">
        <v>44</v>
      </c>
      <c r="G2503" t="s">
        <v>28</v>
      </c>
      <c r="H2503" t="s">
        <v>29</v>
      </c>
      <c r="I2503" s="1" t="s">
        <v>30</v>
      </c>
      <c r="J2503">
        <v>5538.56</v>
      </c>
    </row>
    <row r="2504" spans="1:10" hidden="1" x14ac:dyDescent="0.35">
      <c r="A2504" t="str">
        <f t="shared" si="39"/>
        <v>Poté20224.10</v>
      </c>
      <c r="B2504">
        <v>3152402</v>
      </c>
      <c r="C2504" t="s">
        <v>57</v>
      </c>
      <c r="D2504">
        <v>2022</v>
      </c>
      <c r="E2504">
        <v>6</v>
      </c>
      <c r="F2504">
        <v>58</v>
      </c>
      <c r="G2504" t="s">
        <v>31</v>
      </c>
      <c r="H2504" t="s">
        <v>29</v>
      </c>
      <c r="I2504" s="1" t="s">
        <v>32</v>
      </c>
      <c r="J2504">
        <v>6215.46</v>
      </c>
    </row>
    <row r="2505" spans="1:10" hidden="1" x14ac:dyDescent="0.35">
      <c r="A2505" t="str">
        <f t="shared" si="39"/>
        <v>Poté20224.11</v>
      </c>
      <c r="B2505">
        <v>3152402</v>
      </c>
      <c r="C2505" t="s">
        <v>57</v>
      </c>
      <c r="D2505">
        <v>2022</v>
      </c>
      <c r="E2505">
        <v>6</v>
      </c>
      <c r="F2505">
        <v>59</v>
      </c>
      <c r="G2505" t="s">
        <v>33</v>
      </c>
      <c r="H2505" t="s">
        <v>29</v>
      </c>
      <c r="I2505" s="1" t="s">
        <v>34</v>
      </c>
      <c r="J2505">
        <v>47.68</v>
      </c>
    </row>
    <row r="2506" spans="1:10" hidden="1" x14ac:dyDescent="0.35">
      <c r="A2506" t="str">
        <f t="shared" si="39"/>
        <v>Poté20224.2</v>
      </c>
      <c r="B2506">
        <v>3152402</v>
      </c>
      <c r="C2506" t="s">
        <v>57</v>
      </c>
      <c r="D2506">
        <v>2022</v>
      </c>
      <c r="E2506">
        <v>6</v>
      </c>
      <c r="F2506">
        <v>45</v>
      </c>
      <c r="G2506" t="s">
        <v>35</v>
      </c>
      <c r="H2506" t="s">
        <v>29</v>
      </c>
      <c r="I2506" s="1" t="s">
        <v>36</v>
      </c>
      <c r="J2506">
        <v>10554.66</v>
      </c>
    </row>
    <row r="2507" spans="1:10" hidden="1" x14ac:dyDescent="0.35">
      <c r="A2507" t="str">
        <f t="shared" si="39"/>
        <v>Poté20224.8</v>
      </c>
      <c r="B2507">
        <v>3152402</v>
      </c>
      <c r="C2507" t="s">
        <v>57</v>
      </c>
      <c r="D2507">
        <v>2022</v>
      </c>
      <c r="E2507">
        <v>6</v>
      </c>
      <c r="F2507">
        <v>56</v>
      </c>
      <c r="G2507" t="s">
        <v>37</v>
      </c>
      <c r="H2507" t="s">
        <v>29</v>
      </c>
      <c r="I2507" s="1" t="s">
        <v>38</v>
      </c>
      <c r="J2507">
        <v>12749.18</v>
      </c>
    </row>
    <row r="2508" spans="1:10" hidden="1" x14ac:dyDescent="0.35">
      <c r="A2508" t="str">
        <f t="shared" si="39"/>
        <v>Poté20224.9</v>
      </c>
      <c r="B2508">
        <v>3152402</v>
      </c>
      <c r="C2508" t="s">
        <v>57</v>
      </c>
      <c r="D2508">
        <v>2022</v>
      </c>
      <c r="E2508">
        <v>6</v>
      </c>
      <c r="F2508">
        <v>57</v>
      </c>
      <c r="G2508" t="s">
        <v>39</v>
      </c>
      <c r="H2508" t="s">
        <v>29</v>
      </c>
      <c r="I2508" s="1" t="s">
        <v>40</v>
      </c>
      <c r="J2508">
        <v>12749.18</v>
      </c>
    </row>
    <row r="2509" spans="1:10" hidden="1" x14ac:dyDescent="0.35">
      <c r="A2509" t="str">
        <f t="shared" si="39"/>
        <v>Santa Helena de Minas20221.1</v>
      </c>
      <c r="B2509">
        <v>3157658</v>
      </c>
      <c r="C2509" t="s">
        <v>58</v>
      </c>
      <c r="D2509">
        <v>2022</v>
      </c>
      <c r="E2509">
        <v>6</v>
      </c>
      <c r="F2509">
        <v>24</v>
      </c>
      <c r="G2509" t="s">
        <v>10</v>
      </c>
      <c r="H2509" t="s">
        <v>11</v>
      </c>
      <c r="I2509" s="1" t="s">
        <v>12</v>
      </c>
      <c r="J2509">
        <v>0.251</v>
      </c>
    </row>
    <row r="2510" spans="1:10" hidden="1" x14ac:dyDescent="0.35">
      <c r="A2510" t="str">
        <f t="shared" si="39"/>
        <v>Santa Helena de Minas20221.2</v>
      </c>
      <c r="B2510">
        <v>3157658</v>
      </c>
      <c r="C2510" t="s">
        <v>58</v>
      </c>
      <c r="D2510">
        <v>2022</v>
      </c>
      <c r="E2510">
        <v>6</v>
      </c>
      <c r="F2510">
        <v>67</v>
      </c>
      <c r="G2510" t="s">
        <v>13</v>
      </c>
      <c r="H2510" t="s">
        <v>11</v>
      </c>
      <c r="I2510" s="1" t="s">
        <v>14</v>
      </c>
      <c r="J2510">
        <v>0.88060000000000005</v>
      </c>
    </row>
    <row r="2511" spans="1:10" hidden="1" x14ac:dyDescent="0.35">
      <c r="A2511" t="str">
        <f t="shared" si="39"/>
        <v>Santa Helena de Minas20221.3</v>
      </c>
      <c r="B2511">
        <v>3157658</v>
      </c>
      <c r="C2511" t="s">
        <v>58</v>
      </c>
      <c r="D2511">
        <v>2022</v>
      </c>
      <c r="E2511">
        <v>6</v>
      </c>
      <c r="F2511">
        <v>68</v>
      </c>
      <c r="G2511" t="s">
        <v>15</v>
      </c>
      <c r="H2511" t="s">
        <v>11</v>
      </c>
      <c r="I2511" s="1" t="s">
        <v>16</v>
      </c>
      <c r="J2511">
        <v>0.11940000000000001</v>
      </c>
    </row>
    <row r="2512" spans="1:10" hidden="1" x14ac:dyDescent="0.35">
      <c r="A2512" t="str">
        <f t="shared" si="39"/>
        <v>Santa Helena de Minas20222.1</v>
      </c>
      <c r="B2512">
        <v>3157658</v>
      </c>
      <c r="C2512" t="s">
        <v>58</v>
      </c>
      <c r="D2512">
        <v>2022</v>
      </c>
      <c r="E2512">
        <v>6</v>
      </c>
      <c r="F2512">
        <v>28</v>
      </c>
      <c r="G2512" t="s">
        <v>17</v>
      </c>
      <c r="H2512" t="s">
        <v>18</v>
      </c>
      <c r="I2512" s="1" t="s">
        <v>19</v>
      </c>
      <c r="J2512">
        <v>7.4800000000000005E-2</v>
      </c>
    </row>
    <row r="2513" spans="1:10" hidden="1" x14ac:dyDescent="0.35">
      <c r="A2513" t="str">
        <f t="shared" si="39"/>
        <v>Santa Helena de Minas20222.2</v>
      </c>
      <c r="B2513">
        <v>3157658</v>
      </c>
      <c r="C2513" t="s">
        <v>58</v>
      </c>
      <c r="D2513">
        <v>2022</v>
      </c>
      <c r="E2513">
        <v>6</v>
      </c>
      <c r="F2513">
        <v>29</v>
      </c>
      <c r="G2513" t="s">
        <v>20</v>
      </c>
      <c r="H2513" t="s">
        <v>18</v>
      </c>
      <c r="I2513" s="1" t="s">
        <v>21</v>
      </c>
      <c r="J2513">
        <v>0.99360000000000004</v>
      </c>
    </row>
    <row r="2514" spans="1:10" hidden="1" x14ac:dyDescent="0.35">
      <c r="A2514" t="str">
        <f t="shared" si="39"/>
        <v>Santa Helena de Minas20222.4</v>
      </c>
      <c r="B2514">
        <v>3157658</v>
      </c>
      <c r="C2514" t="s">
        <v>58</v>
      </c>
      <c r="D2514">
        <v>2022</v>
      </c>
      <c r="E2514">
        <v>6</v>
      </c>
      <c r="F2514">
        <v>31</v>
      </c>
      <c r="G2514" t="s">
        <v>22</v>
      </c>
      <c r="H2514" t="s">
        <v>18</v>
      </c>
      <c r="I2514" s="1" t="s">
        <v>23</v>
      </c>
      <c r="J2514">
        <v>6.4699999999999994E-2</v>
      </c>
    </row>
    <row r="2515" spans="1:10" hidden="1" x14ac:dyDescent="0.35">
      <c r="A2515" t="str">
        <f t="shared" si="39"/>
        <v>Santa Helena de Minas20222.5</v>
      </c>
      <c r="B2515">
        <v>3157658</v>
      </c>
      <c r="C2515" t="s">
        <v>58</v>
      </c>
      <c r="D2515">
        <v>2022</v>
      </c>
      <c r="E2515">
        <v>6</v>
      </c>
      <c r="F2515">
        <v>32</v>
      </c>
      <c r="G2515" t="s">
        <v>24</v>
      </c>
      <c r="H2515" t="s">
        <v>18</v>
      </c>
      <c r="I2515" s="1" t="s">
        <v>25</v>
      </c>
      <c r="J2515">
        <v>0.70469999999999999</v>
      </c>
    </row>
    <row r="2516" spans="1:10" hidden="1" x14ac:dyDescent="0.35">
      <c r="A2516" t="str">
        <f t="shared" si="39"/>
        <v>Santa Helena de Minas20222.8</v>
      </c>
      <c r="B2516">
        <v>3157658</v>
      </c>
      <c r="C2516" t="s">
        <v>58</v>
      </c>
      <c r="D2516">
        <v>2022</v>
      </c>
      <c r="E2516">
        <v>6</v>
      </c>
      <c r="F2516">
        <v>35</v>
      </c>
      <c r="G2516" t="s">
        <v>26</v>
      </c>
      <c r="H2516" t="s">
        <v>18</v>
      </c>
      <c r="I2516" s="1" t="s">
        <v>27</v>
      </c>
      <c r="J2516">
        <v>0.20949999999999999</v>
      </c>
    </row>
    <row r="2517" spans="1:10" hidden="1" x14ac:dyDescent="0.35">
      <c r="A2517" t="str">
        <f t="shared" si="39"/>
        <v>Santa Helena de Minas20224.1</v>
      </c>
      <c r="B2517">
        <v>3157658</v>
      </c>
      <c r="C2517" t="s">
        <v>58</v>
      </c>
      <c r="D2517">
        <v>2022</v>
      </c>
      <c r="E2517">
        <v>6</v>
      </c>
      <c r="F2517">
        <v>44</v>
      </c>
      <c r="G2517" t="s">
        <v>28</v>
      </c>
      <c r="H2517" t="s">
        <v>29</v>
      </c>
      <c r="I2517" s="1" t="s">
        <v>30</v>
      </c>
      <c r="J2517">
        <v>3036.81</v>
      </c>
    </row>
    <row r="2518" spans="1:10" hidden="1" x14ac:dyDescent="0.35">
      <c r="A2518" t="str">
        <f t="shared" si="39"/>
        <v>Santa Helena de Minas20224.10</v>
      </c>
      <c r="B2518">
        <v>3157658</v>
      </c>
      <c r="C2518" t="s">
        <v>58</v>
      </c>
      <c r="D2518">
        <v>2022</v>
      </c>
      <c r="E2518">
        <v>6</v>
      </c>
      <c r="F2518">
        <v>58</v>
      </c>
      <c r="G2518" t="s">
        <v>31</v>
      </c>
      <c r="H2518" t="s">
        <v>29</v>
      </c>
      <c r="I2518" s="1" t="s">
        <v>32</v>
      </c>
      <c r="J2518">
        <v>6243.47</v>
      </c>
    </row>
    <row r="2519" spans="1:10" hidden="1" x14ac:dyDescent="0.35">
      <c r="A2519" t="str">
        <f t="shared" si="39"/>
        <v>Santa Helena de Minas20224.11</v>
      </c>
      <c r="B2519">
        <v>3157658</v>
      </c>
      <c r="C2519" t="s">
        <v>58</v>
      </c>
      <c r="D2519">
        <v>2022</v>
      </c>
      <c r="E2519">
        <v>6</v>
      </c>
      <c r="F2519">
        <v>59</v>
      </c>
      <c r="G2519" t="s">
        <v>33</v>
      </c>
      <c r="H2519" t="s">
        <v>29</v>
      </c>
      <c r="I2519" s="1" t="s">
        <v>34</v>
      </c>
      <c r="J2519">
        <v>347.4</v>
      </c>
    </row>
    <row r="2520" spans="1:10" hidden="1" x14ac:dyDescent="0.35">
      <c r="A2520" t="str">
        <f t="shared" si="39"/>
        <v>Santa Helena de Minas20224.2</v>
      </c>
      <c r="B2520">
        <v>3157658</v>
      </c>
      <c r="C2520" t="s">
        <v>58</v>
      </c>
      <c r="D2520">
        <v>2022</v>
      </c>
      <c r="E2520">
        <v>6</v>
      </c>
      <c r="F2520">
        <v>45</v>
      </c>
      <c r="G2520" t="s">
        <v>35</v>
      </c>
      <c r="H2520" t="s">
        <v>29</v>
      </c>
      <c r="I2520" s="1" t="s">
        <v>36</v>
      </c>
      <c r="J2520">
        <v>14221.76</v>
      </c>
    </row>
    <row r="2521" spans="1:10" hidden="1" x14ac:dyDescent="0.35">
      <c r="A2521" t="str">
        <f t="shared" si="39"/>
        <v>Santa Helena de Minas20224.8</v>
      </c>
      <c r="B2521">
        <v>3157658</v>
      </c>
      <c r="C2521" t="s">
        <v>58</v>
      </c>
      <c r="D2521">
        <v>2022</v>
      </c>
      <c r="E2521">
        <v>6</v>
      </c>
      <c r="F2521">
        <v>56</v>
      </c>
      <c r="G2521" t="s">
        <v>37</v>
      </c>
      <c r="H2521" t="s">
        <v>29</v>
      </c>
      <c r="I2521" s="1" t="s">
        <v>38</v>
      </c>
      <c r="J2521">
        <v>14114.85</v>
      </c>
    </row>
    <row r="2522" spans="1:10" hidden="1" x14ac:dyDescent="0.35">
      <c r="A2522" t="str">
        <f t="shared" si="39"/>
        <v>Santa Helena de Minas20224.9</v>
      </c>
      <c r="B2522">
        <v>3157658</v>
      </c>
      <c r="C2522" t="s">
        <v>58</v>
      </c>
      <c r="D2522">
        <v>2022</v>
      </c>
      <c r="E2522">
        <v>6</v>
      </c>
      <c r="F2522">
        <v>57</v>
      </c>
      <c r="G2522" t="s">
        <v>39</v>
      </c>
      <c r="H2522" t="s">
        <v>29</v>
      </c>
      <c r="I2522" s="1" t="s">
        <v>40</v>
      </c>
      <c r="J2522">
        <v>14114.85</v>
      </c>
    </row>
    <row r="2523" spans="1:10" hidden="1" x14ac:dyDescent="0.35">
      <c r="A2523" t="str">
        <f t="shared" si="39"/>
        <v>Serra dos Aimorés20221.1</v>
      </c>
      <c r="B2523">
        <v>3166709</v>
      </c>
      <c r="C2523" t="s">
        <v>59</v>
      </c>
      <c r="D2523">
        <v>2022</v>
      </c>
      <c r="E2523">
        <v>6</v>
      </c>
      <c r="F2523">
        <v>24</v>
      </c>
      <c r="G2523" t="s">
        <v>10</v>
      </c>
      <c r="H2523" t="s">
        <v>11</v>
      </c>
      <c r="I2523" s="1" t="s">
        <v>12</v>
      </c>
      <c r="J2523">
        <v>0.26350000000000001</v>
      </c>
    </row>
    <row r="2524" spans="1:10" hidden="1" x14ac:dyDescent="0.35">
      <c r="A2524" t="str">
        <f t="shared" si="39"/>
        <v>Serra dos Aimorés20221.2</v>
      </c>
      <c r="B2524">
        <v>3166709</v>
      </c>
      <c r="C2524" t="s">
        <v>59</v>
      </c>
      <c r="D2524">
        <v>2022</v>
      </c>
      <c r="E2524">
        <v>6</v>
      </c>
      <c r="F2524">
        <v>67</v>
      </c>
      <c r="G2524" t="s">
        <v>13</v>
      </c>
      <c r="H2524" t="s">
        <v>11</v>
      </c>
      <c r="I2524" s="1" t="s">
        <v>14</v>
      </c>
      <c r="J2524">
        <v>0.7006</v>
      </c>
    </row>
    <row r="2525" spans="1:10" hidden="1" x14ac:dyDescent="0.35">
      <c r="A2525" t="str">
        <f t="shared" si="39"/>
        <v>Serra dos Aimorés20221.3</v>
      </c>
      <c r="B2525">
        <v>3166709</v>
      </c>
      <c r="C2525" t="s">
        <v>59</v>
      </c>
      <c r="D2525">
        <v>2022</v>
      </c>
      <c r="E2525">
        <v>6</v>
      </c>
      <c r="F2525">
        <v>68</v>
      </c>
      <c r="G2525" t="s">
        <v>15</v>
      </c>
      <c r="H2525" t="s">
        <v>11</v>
      </c>
      <c r="I2525" s="1" t="s">
        <v>16</v>
      </c>
      <c r="J2525">
        <v>0.29920000000000002</v>
      </c>
    </row>
    <row r="2526" spans="1:10" hidden="1" x14ac:dyDescent="0.35">
      <c r="A2526" t="str">
        <f t="shared" si="39"/>
        <v>Serra dos Aimorés20222.1</v>
      </c>
      <c r="B2526">
        <v>3166709</v>
      </c>
      <c r="C2526" t="s">
        <v>59</v>
      </c>
      <c r="D2526">
        <v>2022</v>
      </c>
      <c r="E2526">
        <v>6</v>
      </c>
      <c r="F2526">
        <v>28</v>
      </c>
      <c r="G2526" t="s">
        <v>17</v>
      </c>
      <c r="H2526" t="s">
        <v>18</v>
      </c>
      <c r="I2526" s="1" t="s">
        <v>19</v>
      </c>
      <c r="J2526">
        <v>0.16619999999999999</v>
      </c>
    </row>
    <row r="2527" spans="1:10" hidden="1" x14ac:dyDescent="0.35">
      <c r="A2527" t="str">
        <f t="shared" si="39"/>
        <v>Serra dos Aimorés20222.2</v>
      </c>
      <c r="B2527">
        <v>3166709</v>
      </c>
      <c r="C2527" t="s">
        <v>59</v>
      </c>
      <c r="D2527">
        <v>2022</v>
      </c>
      <c r="E2527">
        <v>6</v>
      </c>
      <c r="F2527">
        <v>29</v>
      </c>
      <c r="G2527" t="s">
        <v>20</v>
      </c>
      <c r="H2527" t="s">
        <v>18</v>
      </c>
      <c r="I2527" s="1" t="s">
        <v>21</v>
      </c>
      <c r="J2527">
        <v>0.8337</v>
      </c>
    </row>
    <row r="2528" spans="1:10" hidden="1" x14ac:dyDescent="0.35">
      <c r="A2528" t="str">
        <f t="shared" si="39"/>
        <v>Serra dos Aimorés20222.4</v>
      </c>
      <c r="B2528">
        <v>3166709</v>
      </c>
      <c r="C2528" t="s">
        <v>59</v>
      </c>
      <c r="D2528">
        <v>2022</v>
      </c>
      <c r="E2528">
        <v>6</v>
      </c>
      <c r="F2528">
        <v>31</v>
      </c>
      <c r="G2528" t="s">
        <v>22</v>
      </c>
      <c r="H2528" t="s">
        <v>18</v>
      </c>
      <c r="I2528" s="1" t="s">
        <v>23</v>
      </c>
      <c r="J2528">
        <v>0.10150000000000001</v>
      </c>
    </row>
    <row r="2529" spans="1:10" hidden="1" x14ac:dyDescent="0.35">
      <c r="A2529" t="str">
        <f t="shared" si="39"/>
        <v>Serra dos Aimorés20222.5</v>
      </c>
      <c r="B2529">
        <v>3166709</v>
      </c>
      <c r="C2529" t="s">
        <v>59</v>
      </c>
      <c r="D2529">
        <v>2022</v>
      </c>
      <c r="E2529">
        <v>6</v>
      </c>
      <c r="F2529">
        <v>32</v>
      </c>
      <c r="G2529" t="s">
        <v>24</v>
      </c>
      <c r="H2529" t="s">
        <v>18</v>
      </c>
      <c r="I2529" s="1" t="s">
        <v>25</v>
      </c>
      <c r="J2529">
        <v>0.75309999999999999</v>
      </c>
    </row>
    <row r="2530" spans="1:10" hidden="1" x14ac:dyDescent="0.35">
      <c r="A2530" t="str">
        <f t="shared" si="39"/>
        <v>Serra dos Aimorés20222.8</v>
      </c>
      <c r="B2530">
        <v>3166709</v>
      </c>
      <c r="C2530" t="s">
        <v>59</v>
      </c>
      <c r="D2530">
        <v>2022</v>
      </c>
      <c r="E2530">
        <v>6</v>
      </c>
      <c r="F2530">
        <v>35</v>
      </c>
      <c r="G2530" t="s">
        <v>26</v>
      </c>
      <c r="H2530" t="s">
        <v>18</v>
      </c>
      <c r="I2530" s="1" t="s">
        <v>27</v>
      </c>
      <c r="J2530">
        <v>0.2147</v>
      </c>
    </row>
    <row r="2531" spans="1:10" hidden="1" x14ac:dyDescent="0.35">
      <c r="A2531" t="str">
        <f t="shared" si="39"/>
        <v>Serra dos Aimorés20224.1</v>
      </c>
      <c r="B2531">
        <v>3166709</v>
      </c>
      <c r="C2531" t="s">
        <v>59</v>
      </c>
      <c r="D2531">
        <v>2022</v>
      </c>
      <c r="E2531">
        <v>6</v>
      </c>
      <c r="F2531">
        <v>44</v>
      </c>
      <c r="G2531" t="s">
        <v>28</v>
      </c>
      <c r="H2531" t="s">
        <v>29</v>
      </c>
      <c r="I2531" s="1" t="s">
        <v>30</v>
      </c>
      <c r="J2531">
        <v>2490.21</v>
      </c>
    </row>
    <row r="2532" spans="1:10" hidden="1" x14ac:dyDescent="0.35">
      <c r="A2532" t="str">
        <f t="shared" si="39"/>
        <v>Serra dos Aimorés20224.10</v>
      </c>
      <c r="B2532">
        <v>3166709</v>
      </c>
      <c r="C2532" t="s">
        <v>59</v>
      </c>
      <c r="D2532">
        <v>2022</v>
      </c>
      <c r="E2532">
        <v>6</v>
      </c>
      <c r="F2532">
        <v>58</v>
      </c>
      <c r="G2532" t="s">
        <v>31</v>
      </c>
      <c r="H2532" t="s">
        <v>29</v>
      </c>
      <c r="I2532" s="1" t="s">
        <v>32</v>
      </c>
      <c r="J2532">
        <v>4537.58</v>
      </c>
    </row>
    <row r="2533" spans="1:10" hidden="1" x14ac:dyDescent="0.35">
      <c r="A2533" t="str">
        <f t="shared" si="39"/>
        <v>Serra dos Aimorés20224.11</v>
      </c>
      <c r="B2533">
        <v>3166709</v>
      </c>
      <c r="C2533" t="s">
        <v>59</v>
      </c>
      <c r="D2533">
        <v>2022</v>
      </c>
      <c r="E2533">
        <v>6</v>
      </c>
      <c r="F2533">
        <v>59</v>
      </c>
      <c r="G2533" t="s">
        <v>33</v>
      </c>
      <c r="H2533" t="s">
        <v>29</v>
      </c>
      <c r="I2533" s="1" t="s">
        <v>34</v>
      </c>
      <c r="J2533">
        <v>1070.8900000000001</v>
      </c>
    </row>
    <row r="2534" spans="1:10" hidden="1" x14ac:dyDescent="0.35">
      <c r="A2534" t="str">
        <f t="shared" si="39"/>
        <v>Serra dos Aimorés20224.2</v>
      </c>
      <c r="B2534">
        <v>3166709</v>
      </c>
      <c r="C2534" t="s">
        <v>59</v>
      </c>
      <c r="D2534">
        <v>2022</v>
      </c>
      <c r="E2534">
        <v>6</v>
      </c>
      <c r="F2534">
        <v>45</v>
      </c>
      <c r="G2534" t="s">
        <v>35</v>
      </c>
      <c r="H2534" t="s">
        <v>29</v>
      </c>
      <c r="I2534" s="1" t="s">
        <v>36</v>
      </c>
      <c r="J2534">
        <v>15485.2</v>
      </c>
    </row>
    <row r="2535" spans="1:10" hidden="1" x14ac:dyDescent="0.35">
      <c r="A2535" t="str">
        <f t="shared" si="39"/>
        <v>Serra dos Aimorés20224.8</v>
      </c>
      <c r="B2535">
        <v>3166709</v>
      </c>
      <c r="C2535" t="s">
        <v>59</v>
      </c>
      <c r="D2535">
        <v>2022</v>
      </c>
      <c r="E2535">
        <v>6</v>
      </c>
      <c r="F2535">
        <v>56</v>
      </c>
      <c r="G2535" t="s">
        <v>37</v>
      </c>
      <c r="H2535" t="s">
        <v>29</v>
      </c>
      <c r="I2535" s="1" t="s">
        <v>38</v>
      </c>
      <c r="J2535">
        <v>10622.06</v>
      </c>
    </row>
    <row r="2536" spans="1:10" hidden="1" x14ac:dyDescent="0.35">
      <c r="A2536" t="str">
        <f t="shared" si="39"/>
        <v>Serra dos Aimorés20224.9</v>
      </c>
      <c r="B2536">
        <v>3166709</v>
      </c>
      <c r="C2536" t="s">
        <v>59</v>
      </c>
      <c r="D2536">
        <v>2022</v>
      </c>
      <c r="E2536">
        <v>6</v>
      </c>
      <c r="F2536">
        <v>57</v>
      </c>
      <c r="G2536" t="s">
        <v>39</v>
      </c>
      <c r="H2536" t="s">
        <v>29</v>
      </c>
      <c r="I2536" s="1" t="s">
        <v>40</v>
      </c>
      <c r="J2536">
        <v>10622.06</v>
      </c>
    </row>
    <row r="2537" spans="1:10" hidden="1" x14ac:dyDescent="0.35">
      <c r="A2537" t="str">
        <f t="shared" si="39"/>
        <v>Setubinha20221.1</v>
      </c>
      <c r="B2537">
        <v>3165552</v>
      </c>
      <c r="C2537" t="s">
        <v>60</v>
      </c>
      <c r="D2537">
        <v>2022</v>
      </c>
      <c r="E2537">
        <v>6</v>
      </c>
      <c r="F2537">
        <v>24</v>
      </c>
      <c r="G2537" t="s">
        <v>10</v>
      </c>
      <c r="H2537" t="s">
        <v>11</v>
      </c>
      <c r="I2537" s="1" t="s">
        <v>12</v>
      </c>
      <c r="J2537">
        <v>0.25840000000000002</v>
      </c>
    </row>
    <row r="2538" spans="1:10" hidden="1" x14ac:dyDescent="0.35">
      <c r="A2538" t="str">
        <f t="shared" si="39"/>
        <v>Setubinha20221.2</v>
      </c>
      <c r="B2538">
        <v>3165552</v>
      </c>
      <c r="C2538" t="s">
        <v>60</v>
      </c>
      <c r="D2538">
        <v>2022</v>
      </c>
      <c r="E2538">
        <v>6</v>
      </c>
      <c r="F2538">
        <v>67</v>
      </c>
      <c r="G2538" t="s">
        <v>13</v>
      </c>
      <c r="H2538" t="s">
        <v>11</v>
      </c>
      <c r="I2538" s="1" t="s">
        <v>14</v>
      </c>
      <c r="J2538">
        <v>0.92530000000000001</v>
      </c>
    </row>
    <row r="2539" spans="1:10" hidden="1" x14ac:dyDescent="0.35">
      <c r="A2539" t="str">
        <f t="shared" si="39"/>
        <v>Setubinha20221.3</v>
      </c>
      <c r="B2539">
        <v>3165552</v>
      </c>
      <c r="C2539" t="s">
        <v>60</v>
      </c>
      <c r="D2539">
        <v>2022</v>
      </c>
      <c r="E2539">
        <v>6</v>
      </c>
      <c r="F2539">
        <v>68</v>
      </c>
      <c r="G2539" t="s">
        <v>15</v>
      </c>
      <c r="H2539" t="s">
        <v>11</v>
      </c>
      <c r="I2539" s="1" t="s">
        <v>16</v>
      </c>
      <c r="J2539">
        <v>6.2600000000000003E-2</v>
      </c>
    </row>
    <row r="2540" spans="1:10" hidden="1" x14ac:dyDescent="0.35">
      <c r="A2540" t="str">
        <f t="shared" si="39"/>
        <v>Setubinha20222.1</v>
      </c>
      <c r="B2540">
        <v>3165552</v>
      </c>
      <c r="C2540" t="s">
        <v>60</v>
      </c>
      <c r="D2540">
        <v>2022</v>
      </c>
      <c r="E2540">
        <v>6</v>
      </c>
      <c r="F2540">
        <v>28</v>
      </c>
      <c r="G2540" t="s">
        <v>17</v>
      </c>
      <c r="H2540" t="s">
        <v>18</v>
      </c>
      <c r="I2540" s="1" t="s">
        <v>19</v>
      </c>
      <c r="J2540">
        <v>0.34379999999999999</v>
      </c>
    </row>
    <row r="2541" spans="1:10" hidden="1" x14ac:dyDescent="0.35">
      <c r="A2541" t="str">
        <f t="shared" si="39"/>
        <v>Setubinha20222.2</v>
      </c>
      <c r="B2541">
        <v>3165552</v>
      </c>
      <c r="C2541" t="s">
        <v>60</v>
      </c>
      <c r="D2541">
        <v>2022</v>
      </c>
      <c r="E2541">
        <v>6</v>
      </c>
      <c r="F2541">
        <v>29</v>
      </c>
      <c r="G2541" t="s">
        <v>20</v>
      </c>
      <c r="H2541" t="s">
        <v>18</v>
      </c>
      <c r="I2541" s="1" t="s">
        <v>21</v>
      </c>
      <c r="J2541">
        <v>0.73260000000000003</v>
      </c>
    </row>
    <row r="2542" spans="1:10" hidden="1" x14ac:dyDescent="0.35">
      <c r="A2542" t="str">
        <f t="shared" si="39"/>
        <v>Setubinha20222.4</v>
      </c>
      <c r="B2542">
        <v>3165552</v>
      </c>
      <c r="C2542" t="s">
        <v>60</v>
      </c>
      <c r="D2542">
        <v>2022</v>
      </c>
      <c r="E2542">
        <v>6</v>
      </c>
      <c r="F2542">
        <v>31</v>
      </c>
      <c r="G2542" t="s">
        <v>22</v>
      </c>
      <c r="H2542" t="s">
        <v>18</v>
      </c>
      <c r="I2542" s="1" t="s">
        <v>23</v>
      </c>
      <c r="J2542">
        <v>0.1467</v>
      </c>
    </row>
    <row r="2543" spans="1:10" hidden="1" x14ac:dyDescent="0.35">
      <c r="A2543" t="str">
        <f t="shared" si="39"/>
        <v>Setubinha20222.5</v>
      </c>
      <c r="B2543">
        <v>3165552</v>
      </c>
      <c r="C2543" t="s">
        <v>60</v>
      </c>
      <c r="D2543">
        <v>2022</v>
      </c>
      <c r="E2543">
        <v>6</v>
      </c>
      <c r="F2543">
        <v>32</v>
      </c>
      <c r="G2543" t="s">
        <v>24</v>
      </c>
      <c r="H2543" t="s">
        <v>18</v>
      </c>
      <c r="I2543" s="1" t="s">
        <v>25</v>
      </c>
      <c r="J2543">
        <v>0.33839999999999998</v>
      </c>
    </row>
    <row r="2544" spans="1:10" hidden="1" x14ac:dyDescent="0.35">
      <c r="A2544" t="str">
        <f t="shared" si="39"/>
        <v>Setubinha20222.8</v>
      </c>
      <c r="B2544">
        <v>3165552</v>
      </c>
      <c r="C2544" t="s">
        <v>60</v>
      </c>
      <c r="D2544">
        <v>2022</v>
      </c>
      <c r="E2544">
        <v>6</v>
      </c>
      <c r="F2544">
        <v>35</v>
      </c>
      <c r="G2544" t="s">
        <v>26</v>
      </c>
      <c r="H2544" t="s">
        <v>18</v>
      </c>
      <c r="I2544" s="1" t="s">
        <v>27</v>
      </c>
      <c r="J2544">
        <v>0.315</v>
      </c>
    </row>
    <row r="2545" spans="1:10" hidden="1" x14ac:dyDescent="0.35">
      <c r="A2545" t="str">
        <f t="shared" si="39"/>
        <v>Setubinha20224.1</v>
      </c>
      <c r="B2545">
        <v>3165552</v>
      </c>
      <c r="C2545" t="s">
        <v>60</v>
      </c>
      <c r="D2545">
        <v>2022</v>
      </c>
      <c r="E2545">
        <v>6</v>
      </c>
      <c r="F2545">
        <v>44</v>
      </c>
      <c r="G2545" t="s">
        <v>28</v>
      </c>
      <c r="H2545" t="s">
        <v>29</v>
      </c>
      <c r="I2545" s="1" t="s">
        <v>30</v>
      </c>
      <c r="J2545">
        <v>5793.27</v>
      </c>
    </row>
    <row r="2546" spans="1:10" hidden="1" x14ac:dyDescent="0.35">
      <c r="A2546" t="str">
        <f t="shared" si="39"/>
        <v>Setubinha20224.10</v>
      </c>
      <c r="B2546">
        <v>3165552</v>
      </c>
      <c r="C2546" t="s">
        <v>60</v>
      </c>
      <c r="D2546">
        <v>2022</v>
      </c>
      <c r="E2546">
        <v>6</v>
      </c>
      <c r="F2546">
        <v>58</v>
      </c>
      <c r="G2546" t="s">
        <v>31</v>
      </c>
      <c r="H2546" t="s">
        <v>29</v>
      </c>
      <c r="I2546" s="1" t="s">
        <v>32</v>
      </c>
      <c r="J2546">
        <v>6951.47</v>
      </c>
    </row>
    <row r="2547" spans="1:10" hidden="1" x14ac:dyDescent="0.35">
      <c r="A2547" t="str">
        <f t="shared" si="39"/>
        <v>Setubinha20224.11</v>
      </c>
      <c r="B2547">
        <v>3165552</v>
      </c>
      <c r="C2547" t="s">
        <v>60</v>
      </c>
      <c r="D2547">
        <v>2022</v>
      </c>
      <c r="E2547">
        <v>6</v>
      </c>
      <c r="F2547">
        <v>59</v>
      </c>
      <c r="G2547" t="s">
        <v>33</v>
      </c>
      <c r="H2547" t="s">
        <v>29</v>
      </c>
      <c r="I2547" s="1" t="s">
        <v>34</v>
      </c>
      <c r="J2547">
        <v>144.96</v>
      </c>
    </row>
    <row r="2548" spans="1:10" hidden="1" x14ac:dyDescent="0.35">
      <c r="A2548" t="str">
        <f t="shared" si="39"/>
        <v>Setubinha20224.2</v>
      </c>
      <c r="B2548">
        <v>3165552</v>
      </c>
      <c r="C2548" t="s">
        <v>60</v>
      </c>
      <c r="D2548">
        <v>2022</v>
      </c>
      <c r="E2548">
        <v>6</v>
      </c>
      <c r="F2548">
        <v>45</v>
      </c>
      <c r="G2548" t="s">
        <v>35</v>
      </c>
      <c r="H2548" t="s">
        <v>29</v>
      </c>
      <c r="I2548" s="1" t="s">
        <v>36</v>
      </c>
      <c r="J2548">
        <v>18151.009999999998</v>
      </c>
    </row>
    <row r="2549" spans="1:10" hidden="1" x14ac:dyDescent="0.35">
      <c r="A2549" t="str">
        <f t="shared" si="39"/>
        <v>Setubinha20224.8</v>
      </c>
      <c r="B2549">
        <v>3165552</v>
      </c>
      <c r="C2549" t="s">
        <v>60</v>
      </c>
      <c r="D2549">
        <v>2022</v>
      </c>
      <c r="E2549">
        <v>6</v>
      </c>
      <c r="F2549">
        <v>56</v>
      </c>
      <c r="G2549" t="s">
        <v>37</v>
      </c>
      <c r="H2549" t="s">
        <v>29</v>
      </c>
      <c r="I2549" s="1" t="s">
        <v>38</v>
      </c>
      <c r="J2549">
        <v>21878.33</v>
      </c>
    </row>
    <row r="2550" spans="1:10" hidden="1" x14ac:dyDescent="0.35">
      <c r="A2550" t="str">
        <f t="shared" si="39"/>
        <v>Setubinha20224.9</v>
      </c>
      <c r="B2550">
        <v>3165552</v>
      </c>
      <c r="C2550" t="s">
        <v>60</v>
      </c>
      <c r="D2550">
        <v>2022</v>
      </c>
      <c r="E2550">
        <v>6</v>
      </c>
      <c r="F2550">
        <v>57</v>
      </c>
      <c r="G2550" t="s">
        <v>39</v>
      </c>
      <c r="H2550" t="s">
        <v>29</v>
      </c>
      <c r="I2550" s="1" t="s">
        <v>40</v>
      </c>
      <c r="J2550">
        <v>21878.33</v>
      </c>
    </row>
    <row r="2551" spans="1:10" hidden="1" x14ac:dyDescent="0.35">
      <c r="A2551" t="str">
        <f t="shared" si="39"/>
        <v>Teófilo Otoni20221.1</v>
      </c>
      <c r="B2551">
        <v>3168606</v>
      </c>
      <c r="C2551" t="s">
        <v>61</v>
      </c>
      <c r="D2551">
        <v>2022</v>
      </c>
      <c r="E2551">
        <v>6</v>
      </c>
      <c r="F2551">
        <v>24</v>
      </c>
      <c r="G2551" t="s">
        <v>10</v>
      </c>
      <c r="H2551" t="s">
        <v>11</v>
      </c>
      <c r="I2551" s="1" t="s">
        <v>12</v>
      </c>
      <c r="J2551">
        <v>0.26029999999999998</v>
      </c>
    </row>
    <row r="2552" spans="1:10" hidden="1" x14ac:dyDescent="0.35">
      <c r="A2552" t="str">
        <f t="shared" si="39"/>
        <v>Teófilo Otoni20221.2</v>
      </c>
      <c r="B2552">
        <v>3168606</v>
      </c>
      <c r="C2552" t="s">
        <v>61</v>
      </c>
      <c r="D2552">
        <v>2022</v>
      </c>
      <c r="E2552">
        <v>6</v>
      </c>
      <c r="F2552">
        <v>67</v>
      </c>
      <c r="G2552" t="s">
        <v>13</v>
      </c>
      <c r="H2552" t="s">
        <v>11</v>
      </c>
      <c r="I2552" s="1" t="s">
        <v>14</v>
      </c>
      <c r="J2552">
        <v>0.93279999999999996</v>
      </c>
    </row>
    <row r="2553" spans="1:10" hidden="1" x14ac:dyDescent="0.35">
      <c r="A2553" t="str">
        <f t="shared" si="39"/>
        <v>Teófilo Otoni20221.3</v>
      </c>
      <c r="B2553">
        <v>3168606</v>
      </c>
      <c r="C2553" t="s">
        <v>61</v>
      </c>
      <c r="D2553">
        <v>2022</v>
      </c>
      <c r="E2553">
        <v>6</v>
      </c>
      <c r="F2553">
        <v>68</v>
      </c>
      <c r="G2553" t="s">
        <v>15</v>
      </c>
      <c r="H2553" t="s">
        <v>11</v>
      </c>
      <c r="I2553" s="1" t="s">
        <v>16</v>
      </c>
      <c r="J2553">
        <v>6.5000000000000002E-2</v>
      </c>
    </row>
    <row r="2554" spans="1:10" hidden="1" x14ac:dyDescent="0.35">
      <c r="A2554" t="str">
        <f t="shared" si="39"/>
        <v>Teófilo Otoni20222.1</v>
      </c>
      <c r="B2554">
        <v>3168606</v>
      </c>
      <c r="C2554" t="s">
        <v>61</v>
      </c>
      <c r="D2554">
        <v>2022</v>
      </c>
      <c r="E2554">
        <v>6</v>
      </c>
      <c r="F2554">
        <v>28</v>
      </c>
      <c r="G2554" t="s">
        <v>17</v>
      </c>
      <c r="H2554" t="s">
        <v>18</v>
      </c>
      <c r="I2554" s="1" t="s">
        <v>19</v>
      </c>
      <c r="J2554">
        <v>0.35799999999999998</v>
      </c>
    </row>
    <row r="2555" spans="1:10" hidden="1" x14ac:dyDescent="0.35">
      <c r="A2555" t="str">
        <f t="shared" si="39"/>
        <v>Teófilo Otoni20222.2</v>
      </c>
      <c r="B2555">
        <v>3168606</v>
      </c>
      <c r="C2555" t="s">
        <v>61</v>
      </c>
      <c r="D2555">
        <v>2022</v>
      </c>
      <c r="E2555">
        <v>6</v>
      </c>
      <c r="F2555">
        <v>29</v>
      </c>
      <c r="G2555" t="s">
        <v>20</v>
      </c>
      <c r="H2555" t="s">
        <v>18</v>
      </c>
      <c r="I2555" s="1" t="s">
        <v>21</v>
      </c>
      <c r="J2555">
        <v>0.67049999999999998</v>
      </c>
    </row>
    <row r="2556" spans="1:10" hidden="1" x14ac:dyDescent="0.35">
      <c r="A2556" t="str">
        <f t="shared" si="39"/>
        <v>Teófilo Otoni20222.4</v>
      </c>
      <c r="B2556">
        <v>3168606</v>
      </c>
      <c r="C2556" t="s">
        <v>61</v>
      </c>
      <c r="D2556">
        <v>2022</v>
      </c>
      <c r="E2556">
        <v>6</v>
      </c>
      <c r="F2556">
        <v>31</v>
      </c>
      <c r="G2556" t="s">
        <v>22</v>
      </c>
      <c r="H2556" t="s">
        <v>18</v>
      </c>
      <c r="I2556" s="1" t="s">
        <v>23</v>
      </c>
      <c r="J2556">
        <v>0.28339999999999999</v>
      </c>
    </row>
    <row r="2557" spans="1:10" hidden="1" x14ac:dyDescent="0.35">
      <c r="A2557" t="str">
        <f t="shared" si="39"/>
        <v>Teófilo Otoni20222.5</v>
      </c>
      <c r="B2557">
        <v>3168606</v>
      </c>
      <c r="C2557" t="s">
        <v>61</v>
      </c>
      <c r="D2557">
        <v>2022</v>
      </c>
      <c r="E2557">
        <v>6</v>
      </c>
      <c r="F2557">
        <v>32</v>
      </c>
      <c r="G2557" t="s">
        <v>24</v>
      </c>
      <c r="H2557" t="s">
        <v>18</v>
      </c>
      <c r="I2557" s="1" t="s">
        <v>25</v>
      </c>
      <c r="J2557">
        <v>0.53600000000000003</v>
      </c>
    </row>
    <row r="2558" spans="1:10" hidden="1" x14ac:dyDescent="0.35">
      <c r="A2558" t="str">
        <f t="shared" si="39"/>
        <v>Teófilo Otoni20222.8</v>
      </c>
      <c r="B2558">
        <v>3168606</v>
      </c>
      <c r="C2558" t="s">
        <v>61</v>
      </c>
      <c r="D2558">
        <v>2022</v>
      </c>
      <c r="E2558">
        <v>6</v>
      </c>
      <c r="F2558">
        <v>35</v>
      </c>
      <c r="G2558" t="s">
        <v>26</v>
      </c>
      <c r="H2558" t="s">
        <v>18</v>
      </c>
      <c r="I2558" s="1" t="s">
        <v>27</v>
      </c>
      <c r="J2558">
        <v>0.222</v>
      </c>
    </row>
    <row r="2559" spans="1:10" hidden="1" x14ac:dyDescent="0.35">
      <c r="A2559" t="str">
        <f t="shared" si="39"/>
        <v>Teófilo Otoni20224.1</v>
      </c>
      <c r="B2559">
        <v>3168606</v>
      </c>
      <c r="C2559" t="s">
        <v>61</v>
      </c>
      <c r="D2559">
        <v>2022</v>
      </c>
      <c r="E2559">
        <v>6</v>
      </c>
      <c r="F2559">
        <v>44</v>
      </c>
      <c r="G2559" t="s">
        <v>28</v>
      </c>
      <c r="H2559" t="s">
        <v>29</v>
      </c>
      <c r="I2559" s="1" t="s">
        <v>30</v>
      </c>
      <c r="J2559">
        <v>7589.89</v>
      </c>
    </row>
    <row r="2560" spans="1:10" hidden="1" x14ac:dyDescent="0.35">
      <c r="A2560" t="str">
        <f t="shared" si="39"/>
        <v>Teófilo Otoni20224.10</v>
      </c>
      <c r="B2560">
        <v>3168606</v>
      </c>
      <c r="C2560" t="s">
        <v>61</v>
      </c>
      <c r="D2560">
        <v>2022</v>
      </c>
      <c r="E2560">
        <v>6</v>
      </c>
      <c r="F2560">
        <v>58</v>
      </c>
      <c r="G2560" t="s">
        <v>31</v>
      </c>
      <c r="H2560" t="s">
        <v>29</v>
      </c>
      <c r="I2560" s="1" t="s">
        <v>32</v>
      </c>
      <c r="J2560">
        <v>6128.97</v>
      </c>
    </row>
    <row r="2561" spans="1:10" hidden="1" x14ac:dyDescent="0.35">
      <c r="A2561" t="str">
        <f t="shared" si="39"/>
        <v>Teófilo Otoni20224.11</v>
      </c>
      <c r="B2561">
        <v>3168606</v>
      </c>
      <c r="C2561" t="s">
        <v>61</v>
      </c>
      <c r="D2561">
        <v>2022</v>
      </c>
      <c r="E2561">
        <v>6</v>
      </c>
      <c r="F2561">
        <v>59</v>
      </c>
      <c r="G2561" t="s">
        <v>33</v>
      </c>
      <c r="H2561" t="s">
        <v>29</v>
      </c>
      <c r="I2561" s="1" t="s">
        <v>34</v>
      </c>
      <c r="J2561">
        <v>4.2</v>
      </c>
    </row>
    <row r="2562" spans="1:10" hidden="1" x14ac:dyDescent="0.35">
      <c r="A2562" t="str">
        <f t="shared" si="39"/>
        <v>Teófilo Otoni20224.2</v>
      </c>
      <c r="B2562">
        <v>3168606</v>
      </c>
      <c r="C2562" t="s">
        <v>61</v>
      </c>
      <c r="D2562">
        <v>2022</v>
      </c>
      <c r="E2562">
        <v>6</v>
      </c>
      <c r="F2562">
        <v>45</v>
      </c>
      <c r="G2562" t="s">
        <v>35</v>
      </c>
      <c r="H2562" t="s">
        <v>29</v>
      </c>
      <c r="I2562" s="1" t="s">
        <v>36</v>
      </c>
      <c r="J2562">
        <v>10157.49</v>
      </c>
    </row>
    <row r="2563" spans="1:10" hidden="1" x14ac:dyDescent="0.35">
      <c r="A2563" t="str">
        <f t="shared" si="39"/>
        <v>Teófilo Otoni20224.8</v>
      </c>
      <c r="B2563">
        <v>3168606</v>
      </c>
      <c r="C2563" t="s">
        <v>61</v>
      </c>
      <c r="D2563">
        <v>2022</v>
      </c>
      <c r="E2563">
        <v>6</v>
      </c>
      <c r="F2563">
        <v>56</v>
      </c>
      <c r="G2563" t="s">
        <v>37</v>
      </c>
      <c r="H2563" t="s">
        <v>29</v>
      </c>
      <c r="I2563" s="1" t="s">
        <v>38</v>
      </c>
      <c r="J2563">
        <v>10686.64</v>
      </c>
    </row>
    <row r="2564" spans="1:10" hidden="1" x14ac:dyDescent="0.35">
      <c r="A2564" t="str">
        <f t="shared" ref="A2564:A2627" si="40">C2564&amp;D2564&amp;G2564</f>
        <v>Teófilo Otoni20224.9</v>
      </c>
      <c r="B2564">
        <v>3168606</v>
      </c>
      <c r="C2564" t="s">
        <v>61</v>
      </c>
      <c r="D2564">
        <v>2022</v>
      </c>
      <c r="E2564">
        <v>6</v>
      </c>
      <c r="F2564">
        <v>57</v>
      </c>
      <c r="G2564" t="s">
        <v>39</v>
      </c>
      <c r="H2564" t="s">
        <v>29</v>
      </c>
      <c r="I2564" s="1" t="s">
        <v>40</v>
      </c>
      <c r="J2564">
        <v>10686.64</v>
      </c>
    </row>
    <row r="2565" spans="1:10" hidden="1" x14ac:dyDescent="0.35">
      <c r="A2565" t="str">
        <f t="shared" si="40"/>
        <v>Umburatiba20221.1</v>
      </c>
      <c r="B2565">
        <v>3170305</v>
      </c>
      <c r="C2565" t="s">
        <v>62</v>
      </c>
      <c r="D2565">
        <v>2022</v>
      </c>
      <c r="E2565">
        <v>6</v>
      </c>
      <c r="F2565">
        <v>24</v>
      </c>
      <c r="G2565" t="s">
        <v>10</v>
      </c>
      <c r="H2565" t="s">
        <v>11</v>
      </c>
      <c r="I2565" s="1" t="s">
        <v>12</v>
      </c>
      <c r="J2565">
        <v>0.25019999999999998</v>
      </c>
    </row>
    <row r="2566" spans="1:10" hidden="1" x14ac:dyDescent="0.35">
      <c r="A2566" t="str">
        <f t="shared" si="40"/>
        <v>Umburatiba20221.2</v>
      </c>
      <c r="B2566">
        <v>3170305</v>
      </c>
      <c r="C2566" t="s">
        <v>62</v>
      </c>
      <c r="D2566">
        <v>2022</v>
      </c>
      <c r="E2566">
        <v>6</v>
      </c>
      <c r="F2566">
        <v>67</v>
      </c>
      <c r="G2566" t="s">
        <v>13</v>
      </c>
      <c r="H2566" t="s">
        <v>11</v>
      </c>
      <c r="I2566" s="1" t="s">
        <v>14</v>
      </c>
      <c r="J2566">
        <v>0.89029999999999998</v>
      </c>
    </row>
    <row r="2567" spans="1:10" hidden="1" x14ac:dyDescent="0.35">
      <c r="A2567" t="str">
        <f t="shared" si="40"/>
        <v>Umburatiba20221.3</v>
      </c>
      <c r="B2567">
        <v>3170305</v>
      </c>
      <c r="C2567" t="s">
        <v>62</v>
      </c>
      <c r="D2567">
        <v>2022</v>
      </c>
      <c r="E2567">
        <v>6</v>
      </c>
      <c r="F2567">
        <v>68</v>
      </c>
      <c r="G2567" t="s">
        <v>15</v>
      </c>
      <c r="H2567" t="s">
        <v>11</v>
      </c>
      <c r="I2567" s="1" t="s">
        <v>16</v>
      </c>
      <c r="J2567">
        <v>0.1096</v>
      </c>
    </row>
    <row r="2568" spans="1:10" hidden="1" x14ac:dyDescent="0.35">
      <c r="A2568" t="str">
        <f t="shared" si="40"/>
        <v>Umburatiba20222.1</v>
      </c>
      <c r="B2568">
        <v>3170305</v>
      </c>
      <c r="C2568" t="s">
        <v>62</v>
      </c>
      <c r="D2568">
        <v>2022</v>
      </c>
      <c r="E2568">
        <v>6</v>
      </c>
      <c r="F2568">
        <v>28</v>
      </c>
      <c r="G2568" t="s">
        <v>17</v>
      </c>
      <c r="H2568" t="s">
        <v>18</v>
      </c>
      <c r="I2568" s="1" t="s">
        <v>19</v>
      </c>
    </row>
    <row r="2569" spans="1:10" hidden="1" x14ac:dyDescent="0.35">
      <c r="A2569" t="str">
        <f t="shared" si="40"/>
        <v>Umburatiba20222.2</v>
      </c>
      <c r="B2569">
        <v>3170305</v>
      </c>
      <c r="C2569" t="s">
        <v>62</v>
      </c>
      <c r="D2569">
        <v>2022</v>
      </c>
      <c r="E2569">
        <v>6</v>
      </c>
      <c r="F2569">
        <v>29</v>
      </c>
      <c r="G2569" t="s">
        <v>20</v>
      </c>
      <c r="H2569" t="s">
        <v>18</v>
      </c>
      <c r="I2569" s="1" t="s">
        <v>21</v>
      </c>
      <c r="J2569">
        <v>1.0840000000000001</v>
      </c>
    </row>
    <row r="2570" spans="1:10" hidden="1" x14ac:dyDescent="0.35">
      <c r="A2570" t="str">
        <f t="shared" si="40"/>
        <v>Umburatiba20222.4</v>
      </c>
      <c r="B2570">
        <v>3170305</v>
      </c>
      <c r="C2570" t="s">
        <v>62</v>
      </c>
      <c r="D2570">
        <v>2022</v>
      </c>
      <c r="E2570">
        <v>6</v>
      </c>
      <c r="F2570">
        <v>31</v>
      </c>
      <c r="G2570" t="s">
        <v>22</v>
      </c>
      <c r="H2570" t="s">
        <v>18</v>
      </c>
      <c r="I2570" s="1" t="s">
        <v>23</v>
      </c>
      <c r="J2570">
        <v>4.6399999999999997E-2</v>
      </c>
    </row>
    <row r="2571" spans="1:10" hidden="1" x14ac:dyDescent="0.35">
      <c r="A2571" t="str">
        <f t="shared" si="40"/>
        <v>Umburatiba20222.5</v>
      </c>
      <c r="B2571">
        <v>3170305</v>
      </c>
      <c r="C2571" t="s">
        <v>62</v>
      </c>
      <c r="D2571">
        <v>2022</v>
      </c>
      <c r="E2571">
        <v>6</v>
      </c>
      <c r="F2571">
        <v>32</v>
      </c>
      <c r="G2571" t="s">
        <v>24</v>
      </c>
      <c r="H2571" t="s">
        <v>18</v>
      </c>
      <c r="I2571" s="1" t="s">
        <v>25</v>
      </c>
      <c r="J2571">
        <v>0.79339999999999999</v>
      </c>
    </row>
    <row r="2572" spans="1:10" hidden="1" x14ac:dyDescent="0.35">
      <c r="A2572" t="str">
        <f t="shared" si="40"/>
        <v>Umburatiba20222.8</v>
      </c>
      <c r="B2572">
        <v>3170305</v>
      </c>
      <c r="C2572" t="s">
        <v>62</v>
      </c>
      <c r="D2572">
        <v>2022</v>
      </c>
      <c r="E2572">
        <v>6</v>
      </c>
      <c r="F2572">
        <v>35</v>
      </c>
      <c r="G2572" t="s">
        <v>26</v>
      </c>
      <c r="H2572" t="s">
        <v>18</v>
      </c>
      <c r="I2572" s="1" t="s">
        <v>27</v>
      </c>
      <c r="J2572">
        <v>0.182</v>
      </c>
    </row>
    <row r="2573" spans="1:10" hidden="1" x14ac:dyDescent="0.35">
      <c r="A2573" t="str">
        <f t="shared" si="40"/>
        <v>Umburatiba20224.1</v>
      </c>
      <c r="B2573">
        <v>3170305</v>
      </c>
      <c r="C2573" t="s">
        <v>62</v>
      </c>
      <c r="D2573">
        <v>2022</v>
      </c>
      <c r="E2573">
        <v>6</v>
      </c>
      <c r="F2573">
        <v>44</v>
      </c>
      <c r="G2573" t="s">
        <v>28</v>
      </c>
      <c r="H2573" t="s">
        <v>29</v>
      </c>
      <c r="I2573" s="1" t="s">
        <v>30</v>
      </c>
      <c r="J2573">
        <v>3090.53</v>
      </c>
    </row>
    <row r="2574" spans="1:10" hidden="1" x14ac:dyDescent="0.35">
      <c r="A2574" t="str">
        <f t="shared" si="40"/>
        <v>Umburatiba20224.10</v>
      </c>
      <c r="B2574">
        <v>3170305</v>
      </c>
      <c r="C2574" t="s">
        <v>62</v>
      </c>
      <c r="D2574">
        <v>2022</v>
      </c>
      <c r="E2574">
        <v>6</v>
      </c>
      <c r="F2574">
        <v>58</v>
      </c>
      <c r="G2574" t="s">
        <v>31</v>
      </c>
      <c r="H2574" t="s">
        <v>29</v>
      </c>
      <c r="I2574" s="1" t="s">
        <v>32</v>
      </c>
      <c r="J2574">
        <v>6513.79</v>
      </c>
    </row>
    <row r="2575" spans="1:10" hidden="1" x14ac:dyDescent="0.35">
      <c r="A2575" t="str">
        <f t="shared" si="40"/>
        <v>Umburatiba20224.11</v>
      </c>
      <c r="B2575">
        <v>3170305</v>
      </c>
      <c r="C2575" t="s">
        <v>62</v>
      </c>
      <c r="D2575">
        <v>2022</v>
      </c>
      <c r="E2575">
        <v>6</v>
      </c>
      <c r="F2575">
        <v>59</v>
      </c>
      <c r="G2575" t="s">
        <v>33</v>
      </c>
      <c r="H2575" t="s">
        <v>29</v>
      </c>
      <c r="I2575" s="1" t="s">
        <v>34</v>
      </c>
    </row>
    <row r="2576" spans="1:10" hidden="1" x14ac:dyDescent="0.35">
      <c r="A2576" t="str">
        <f t="shared" si="40"/>
        <v>Umburatiba20224.2</v>
      </c>
      <c r="B2576">
        <v>3170305</v>
      </c>
      <c r="C2576" t="s">
        <v>62</v>
      </c>
      <c r="D2576">
        <v>2022</v>
      </c>
      <c r="E2576">
        <v>6</v>
      </c>
      <c r="F2576">
        <v>45</v>
      </c>
      <c r="G2576" t="s">
        <v>35</v>
      </c>
      <c r="H2576" t="s">
        <v>29</v>
      </c>
      <c r="I2576" s="1" t="s">
        <v>36</v>
      </c>
      <c r="J2576">
        <v>13460.24</v>
      </c>
    </row>
    <row r="2577" spans="1:10" hidden="1" x14ac:dyDescent="0.35">
      <c r="A2577" t="str">
        <f t="shared" si="40"/>
        <v>Umburatiba20224.8</v>
      </c>
      <c r="B2577">
        <v>3170305</v>
      </c>
      <c r="C2577" t="s">
        <v>62</v>
      </c>
      <c r="D2577">
        <v>2022</v>
      </c>
      <c r="E2577">
        <v>6</v>
      </c>
      <c r="F2577">
        <v>56</v>
      </c>
      <c r="G2577" t="s">
        <v>37</v>
      </c>
      <c r="H2577" t="s">
        <v>29</v>
      </c>
      <c r="I2577" s="1" t="s">
        <v>38</v>
      </c>
      <c r="J2577">
        <v>13523.12</v>
      </c>
    </row>
    <row r="2578" spans="1:10" hidden="1" x14ac:dyDescent="0.35">
      <c r="A2578" t="str">
        <f t="shared" si="40"/>
        <v>Umburatiba20224.9</v>
      </c>
      <c r="B2578">
        <v>3170305</v>
      </c>
      <c r="C2578" t="s">
        <v>62</v>
      </c>
      <c r="D2578">
        <v>2022</v>
      </c>
      <c r="E2578">
        <v>6</v>
      </c>
      <c r="F2578">
        <v>57</v>
      </c>
      <c r="G2578" t="s">
        <v>39</v>
      </c>
      <c r="H2578" t="s">
        <v>29</v>
      </c>
      <c r="I2578" s="1" t="s">
        <v>40</v>
      </c>
      <c r="J2578">
        <v>13523.12</v>
      </c>
    </row>
    <row r="2579" spans="1:10" hidden="1" x14ac:dyDescent="0.35">
      <c r="A2579" t="str">
        <f t="shared" si="40"/>
        <v>Águas Formosas20231.1</v>
      </c>
      <c r="B2579">
        <v>3100906</v>
      </c>
      <c r="C2579" t="s">
        <v>9</v>
      </c>
      <c r="D2579">
        <v>2023</v>
      </c>
      <c r="E2579">
        <v>6</v>
      </c>
      <c r="F2579">
        <v>24</v>
      </c>
      <c r="G2579" t="s">
        <v>10</v>
      </c>
      <c r="H2579" t="s">
        <v>11</v>
      </c>
      <c r="I2579" s="1" t="s">
        <v>12</v>
      </c>
      <c r="J2579">
        <v>0.2722</v>
      </c>
    </row>
    <row r="2580" spans="1:10" hidden="1" x14ac:dyDescent="0.35">
      <c r="A2580" t="str">
        <f t="shared" si="40"/>
        <v>Águas Formosas20231.2</v>
      </c>
      <c r="B2580">
        <v>3100906</v>
      </c>
      <c r="C2580" t="s">
        <v>9</v>
      </c>
      <c r="D2580">
        <v>2023</v>
      </c>
      <c r="E2580">
        <v>6</v>
      </c>
      <c r="F2580">
        <v>67</v>
      </c>
      <c r="G2580" t="s">
        <v>13</v>
      </c>
      <c r="H2580" t="s">
        <v>11</v>
      </c>
      <c r="I2580" s="1" t="s">
        <v>14</v>
      </c>
      <c r="J2580">
        <v>0.97470000000000001</v>
      </c>
    </row>
    <row r="2581" spans="1:10" hidden="1" x14ac:dyDescent="0.35">
      <c r="A2581" t="str">
        <f t="shared" si="40"/>
        <v>Águas Formosas20231.3</v>
      </c>
      <c r="B2581">
        <v>3100906</v>
      </c>
      <c r="C2581" t="s">
        <v>9</v>
      </c>
      <c r="D2581">
        <v>2023</v>
      </c>
      <c r="E2581">
        <v>6</v>
      </c>
      <c r="F2581">
        <v>68</v>
      </c>
      <c r="G2581" t="s">
        <v>15</v>
      </c>
      <c r="H2581" t="s">
        <v>11</v>
      </c>
      <c r="I2581" s="1" t="s">
        <v>16</v>
      </c>
      <c r="J2581">
        <v>2.53E-2</v>
      </c>
    </row>
    <row r="2582" spans="1:10" hidden="1" x14ac:dyDescent="0.35">
      <c r="A2582" t="str">
        <f t="shared" si="40"/>
        <v>Águas Formosas20232.1</v>
      </c>
      <c r="B2582">
        <v>3100906</v>
      </c>
      <c r="C2582" t="s">
        <v>9</v>
      </c>
      <c r="D2582">
        <v>2023</v>
      </c>
      <c r="E2582">
        <v>6</v>
      </c>
      <c r="F2582">
        <v>28</v>
      </c>
      <c r="G2582" t="s">
        <v>17</v>
      </c>
      <c r="H2582" t="s">
        <v>18</v>
      </c>
      <c r="I2582" s="1" t="s">
        <v>19</v>
      </c>
      <c r="J2582">
        <v>0.72119999999999995</v>
      </c>
    </row>
    <row r="2583" spans="1:10" hidden="1" x14ac:dyDescent="0.35">
      <c r="A2583" t="str">
        <f t="shared" si="40"/>
        <v>Águas Formosas20232.2</v>
      </c>
      <c r="B2583">
        <v>3100906</v>
      </c>
      <c r="C2583" t="s">
        <v>9</v>
      </c>
      <c r="D2583">
        <v>2023</v>
      </c>
      <c r="E2583">
        <v>6</v>
      </c>
      <c r="F2583">
        <v>29</v>
      </c>
      <c r="G2583" t="s">
        <v>20</v>
      </c>
      <c r="H2583" t="s">
        <v>18</v>
      </c>
      <c r="I2583" s="1" t="s">
        <v>21</v>
      </c>
      <c r="J2583">
        <v>0.23350000000000001</v>
      </c>
    </row>
    <row r="2584" spans="1:10" hidden="1" x14ac:dyDescent="0.35">
      <c r="A2584" t="str">
        <f t="shared" si="40"/>
        <v>Águas Formosas20232.4</v>
      </c>
      <c r="B2584">
        <v>3100906</v>
      </c>
      <c r="C2584" t="s">
        <v>9</v>
      </c>
      <c r="D2584">
        <v>2023</v>
      </c>
      <c r="E2584">
        <v>6</v>
      </c>
      <c r="F2584">
        <v>31</v>
      </c>
      <c r="G2584" t="s">
        <v>22</v>
      </c>
      <c r="H2584" t="s">
        <v>18</v>
      </c>
      <c r="I2584" s="1" t="s">
        <v>23</v>
      </c>
      <c r="J2584">
        <v>0.2571</v>
      </c>
    </row>
    <row r="2585" spans="1:10" hidden="1" x14ac:dyDescent="0.35">
      <c r="A2585" t="str">
        <f t="shared" si="40"/>
        <v>Águas Formosas20232.5</v>
      </c>
      <c r="B2585">
        <v>3100906</v>
      </c>
      <c r="C2585" t="s">
        <v>9</v>
      </c>
      <c r="D2585">
        <v>2023</v>
      </c>
      <c r="E2585">
        <v>6</v>
      </c>
      <c r="F2585">
        <v>32</v>
      </c>
      <c r="G2585" t="s">
        <v>24</v>
      </c>
      <c r="H2585" t="s">
        <v>18</v>
      </c>
      <c r="I2585" s="1" t="s">
        <v>25</v>
      </c>
      <c r="J2585">
        <v>0.154</v>
      </c>
    </row>
    <row r="2586" spans="1:10" hidden="1" x14ac:dyDescent="0.35">
      <c r="A2586" t="str">
        <f t="shared" si="40"/>
        <v>Águas Formosas20232.8</v>
      </c>
      <c r="B2586">
        <v>3100906</v>
      </c>
      <c r="C2586" t="s">
        <v>9</v>
      </c>
      <c r="D2586">
        <v>2023</v>
      </c>
      <c r="E2586">
        <v>6</v>
      </c>
      <c r="F2586">
        <v>35</v>
      </c>
      <c r="G2586" t="s">
        <v>26</v>
      </c>
      <c r="H2586" t="s">
        <v>18</v>
      </c>
      <c r="I2586" s="1" t="s">
        <v>27</v>
      </c>
    </row>
    <row r="2587" spans="1:10" hidden="1" x14ac:dyDescent="0.35">
      <c r="A2587" t="str">
        <f t="shared" si="40"/>
        <v>Águas Formosas20234.1</v>
      </c>
      <c r="B2587">
        <v>3100906</v>
      </c>
      <c r="C2587" t="s">
        <v>9</v>
      </c>
      <c r="D2587">
        <v>2023</v>
      </c>
      <c r="E2587">
        <v>6</v>
      </c>
      <c r="F2587">
        <v>44</v>
      </c>
      <c r="G2587" t="s">
        <v>28</v>
      </c>
      <c r="H2587" t="s">
        <v>29</v>
      </c>
      <c r="I2587" s="1" t="s">
        <v>30</v>
      </c>
      <c r="J2587">
        <v>11058.28</v>
      </c>
    </row>
    <row r="2588" spans="1:10" hidden="1" x14ac:dyDescent="0.35">
      <c r="A2588" t="str">
        <f t="shared" si="40"/>
        <v>Águas Formosas20234.10</v>
      </c>
      <c r="B2588">
        <v>3100906</v>
      </c>
      <c r="C2588" t="s">
        <v>9</v>
      </c>
      <c r="D2588">
        <v>2023</v>
      </c>
      <c r="E2588">
        <v>6</v>
      </c>
      <c r="F2588">
        <v>58</v>
      </c>
      <c r="G2588" t="s">
        <v>31</v>
      </c>
      <c r="H2588" t="s">
        <v>29</v>
      </c>
      <c r="I2588" s="1" t="s">
        <v>32</v>
      </c>
      <c r="J2588">
        <v>6300.01</v>
      </c>
    </row>
    <row r="2589" spans="1:10" hidden="1" x14ac:dyDescent="0.35">
      <c r="A2589" t="str">
        <f t="shared" si="40"/>
        <v>Águas Formosas20234.11</v>
      </c>
      <c r="B2589">
        <v>3100906</v>
      </c>
      <c r="C2589" t="s">
        <v>9</v>
      </c>
      <c r="D2589">
        <v>2023</v>
      </c>
      <c r="E2589">
        <v>6</v>
      </c>
      <c r="F2589">
        <v>59</v>
      </c>
      <c r="G2589" t="s">
        <v>33</v>
      </c>
      <c r="H2589" t="s">
        <v>29</v>
      </c>
      <c r="I2589" s="1" t="s">
        <v>34</v>
      </c>
    </row>
    <row r="2590" spans="1:10" hidden="1" x14ac:dyDescent="0.35">
      <c r="A2590" t="str">
        <f t="shared" si="40"/>
        <v>Águas Formosas20234.2</v>
      </c>
      <c r="B2590">
        <v>3100906</v>
      </c>
      <c r="C2590" t="s">
        <v>9</v>
      </c>
      <c r="D2590">
        <v>2023</v>
      </c>
      <c r="E2590">
        <v>6</v>
      </c>
      <c r="F2590">
        <v>45</v>
      </c>
      <c r="G2590" t="s">
        <v>35</v>
      </c>
      <c r="H2590" t="s">
        <v>29</v>
      </c>
      <c r="I2590" s="1" t="s">
        <v>36</v>
      </c>
      <c r="J2590">
        <v>16982.009999999998</v>
      </c>
    </row>
    <row r="2591" spans="1:10" hidden="1" x14ac:dyDescent="0.35">
      <c r="A2591" t="str">
        <f t="shared" si="40"/>
        <v>Águas Formosas20234.8</v>
      </c>
      <c r="B2591">
        <v>3100906</v>
      </c>
      <c r="C2591" t="s">
        <v>9</v>
      </c>
      <c r="D2591">
        <v>2023</v>
      </c>
      <c r="E2591">
        <v>6</v>
      </c>
      <c r="F2591">
        <v>56</v>
      </c>
      <c r="G2591" t="s">
        <v>37</v>
      </c>
      <c r="H2591" t="s">
        <v>29</v>
      </c>
      <c r="I2591" s="1" t="s">
        <v>38</v>
      </c>
      <c r="J2591">
        <v>29094.16</v>
      </c>
    </row>
    <row r="2592" spans="1:10" hidden="1" x14ac:dyDescent="0.35">
      <c r="A2592" t="str">
        <f t="shared" si="40"/>
        <v>Águas Formosas20234.9</v>
      </c>
      <c r="B2592">
        <v>3100906</v>
      </c>
      <c r="C2592" t="s">
        <v>9</v>
      </c>
      <c r="D2592">
        <v>2023</v>
      </c>
      <c r="E2592">
        <v>6</v>
      </c>
      <c r="F2592">
        <v>57</v>
      </c>
      <c r="G2592" t="s">
        <v>39</v>
      </c>
      <c r="H2592" t="s">
        <v>29</v>
      </c>
      <c r="I2592" s="1" t="s">
        <v>40</v>
      </c>
      <c r="J2592">
        <v>29094.16</v>
      </c>
    </row>
    <row r="2593" spans="1:10" hidden="1" x14ac:dyDescent="0.35">
      <c r="A2593" t="str">
        <f t="shared" si="40"/>
        <v>Ataléia20231.1</v>
      </c>
      <c r="B2593">
        <v>3104700</v>
      </c>
      <c r="C2593" t="s">
        <v>41</v>
      </c>
      <c r="D2593">
        <v>2023</v>
      </c>
      <c r="E2593">
        <v>6</v>
      </c>
      <c r="F2593">
        <v>24</v>
      </c>
      <c r="G2593" t="s">
        <v>10</v>
      </c>
      <c r="H2593" t="s">
        <v>11</v>
      </c>
      <c r="I2593" s="1" t="s">
        <v>12</v>
      </c>
      <c r="J2593">
        <v>0.27789999999999998</v>
      </c>
    </row>
    <row r="2594" spans="1:10" hidden="1" x14ac:dyDescent="0.35">
      <c r="A2594" t="str">
        <f t="shared" si="40"/>
        <v>Ataléia20231.2</v>
      </c>
      <c r="B2594">
        <v>3104700</v>
      </c>
      <c r="C2594" t="s">
        <v>41</v>
      </c>
      <c r="D2594">
        <v>2023</v>
      </c>
      <c r="E2594">
        <v>6</v>
      </c>
      <c r="F2594">
        <v>67</v>
      </c>
      <c r="G2594" t="s">
        <v>13</v>
      </c>
      <c r="H2594" t="s">
        <v>11</v>
      </c>
      <c r="I2594" s="1" t="s">
        <v>14</v>
      </c>
      <c r="J2594">
        <v>0.91420000000000001</v>
      </c>
    </row>
    <row r="2595" spans="1:10" hidden="1" x14ac:dyDescent="0.35">
      <c r="A2595" t="str">
        <f t="shared" si="40"/>
        <v>Ataléia20231.3</v>
      </c>
      <c r="B2595">
        <v>3104700</v>
      </c>
      <c r="C2595" t="s">
        <v>41</v>
      </c>
      <c r="D2595">
        <v>2023</v>
      </c>
      <c r="E2595">
        <v>6</v>
      </c>
      <c r="F2595">
        <v>68</v>
      </c>
      <c r="G2595" t="s">
        <v>15</v>
      </c>
      <c r="H2595" t="s">
        <v>11</v>
      </c>
      <c r="I2595" s="1" t="s">
        <v>16</v>
      </c>
      <c r="J2595">
        <v>4.5999999999999999E-2</v>
      </c>
    </row>
    <row r="2596" spans="1:10" hidden="1" x14ac:dyDescent="0.35">
      <c r="A2596" t="str">
        <f t="shared" si="40"/>
        <v>Ataléia20232.1</v>
      </c>
      <c r="B2596">
        <v>3104700</v>
      </c>
      <c r="C2596" t="s">
        <v>41</v>
      </c>
      <c r="D2596">
        <v>2023</v>
      </c>
      <c r="E2596">
        <v>6</v>
      </c>
      <c r="F2596">
        <v>28</v>
      </c>
      <c r="G2596" t="s">
        <v>17</v>
      </c>
      <c r="H2596" t="s">
        <v>18</v>
      </c>
      <c r="I2596" s="1" t="s">
        <v>19</v>
      </c>
      <c r="J2596">
        <v>4.2700000000000002E-2</v>
      </c>
    </row>
    <row r="2597" spans="1:10" hidden="1" x14ac:dyDescent="0.35">
      <c r="A2597" t="str">
        <f t="shared" si="40"/>
        <v>Ataléia20232.2</v>
      </c>
      <c r="B2597">
        <v>3104700</v>
      </c>
      <c r="C2597" t="s">
        <v>41</v>
      </c>
      <c r="D2597">
        <v>2023</v>
      </c>
      <c r="E2597">
        <v>6</v>
      </c>
      <c r="F2597">
        <v>29</v>
      </c>
      <c r="G2597" t="s">
        <v>20</v>
      </c>
      <c r="H2597" t="s">
        <v>18</v>
      </c>
      <c r="I2597" s="1" t="s">
        <v>21</v>
      </c>
      <c r="J2597">
        <v>0.91420000000000001</v>
      </c>
    </row>
    <row r="2598" spans="1:10" hidden="1" x14ac:dyDescent="0.35">
      <c r="A2598" t="str">
        <f t="shared" si="40"/>
        <v>Ataléia20232.4</v>
      </c>
      <c r="B2598">
        <v>3104700</v>
      </c>
      <c r="C2598" t="s">
        <v>41</v>
      </c>
      <c r="D2598">
        <v>2023</v>
      </c>
      <c r="E2598">
        <v>6</v>
      </c>
      <c r="F2598">
        <v>31</v>
      </c>
      <c r="G2598" t="s">
        <v>22</v>
      </c>
      <c r="H2598" t="s">
        <v>18</v>
      </c>
      <c r="I2598" s="1" t="s">
        <v>23</v>
      </c>
      <c r="J2598">
        <v>6.9099999999999995E-2</v>
      </c>
    </row>
    <row r="2599" spans="1:10" hidden="1" x14ac:dyDescent="0.35">
      <c r="A2599" t="str">
        <f t="shared" si="40"/>
        <v>Ataléia20232.5</v>
      </c>
      <c r="B2599">
        <v>3104700</v>
      </c>
      <c r="C2599" t="s">
        <v>41</v>
      </c>
      <c r="D2599">
        <v>2023</v>
      </c>
      <c r="E2599">
        <v>6</v>
      </c>
      <c r="F2599">
        <v>32</v>
      </c>
      <c r="G2599" t="s">
        <v>24</v>
      </c>
      <c r="H2599" t="s">
        <v>18</v>
      </c>
      <c r="I2599" s="1" t="s">
        <v>25</v>
      </c>
      <c r="J2599">
        <v>0.55230000000000001</v>
      </c>
    </row>
    <row r="2600" spans="1:10" hidden="1" x14ac:dyDescent="0.35">
      <c r="A2600" t="str">
        <f t="shared" si="40"/>
        <v>Ataléia20232.8</v>
      </c>
      <c r="B2600">
        <v>3104700</v>
      </c>
      <c r="C2600" t="s">
        <v>41</v>
      </c>
      <c r="D2600">
        <v>2023</v>
      </c>
      <c r="E2600">
        <v>6</v>
      </c>
      <c r="F2600">
        <v>35</v>
      </c>
      <c r="G2600" t="s">
        <v>26</v>
      </c>
      <c r="H2600" t="s">
        <v>18</v>
      </c>
      <c r="I2600" s="1" t="s">
        <v>27</v>
      </c>
      <c r="J2600">
        <v>0.25269999999999998</v>
      </c>
    </row>
    <row r="2601" spans="1:10" hidden="1" x14ac:dyDescent="0.35">
      <c r="A2601" t="str">
        <f t="shared" si="40"/>
        <v>Ataléia20234.1</v>
      </c>
      <c r="B2601">
        <v>3104700</v>
      </c>
      <c r="C2601" t="s">
        <v>41</v>
      </c>
      <c r="D2601">
        <v>2023</v>
      </c>
      <c r="E2601">
        <v>6</v>
      </c>
      <c r="F2601">
        <v>44</v>
      </c>
      <c r="G2601" t="s">
        <v>28</v>
      </c>
      <c r="H2601" t="s">
        <v>29</v>
      </c>
      <c r="I2601" s="1" t="s">
        <v>30</v>
      </c>
      <c r="J2601">
        <v>3610.6</v>
      </c>
    </row>
    <row r="2602" spans="1:10" hidden="1" x14ac:dyDescent="0.35">
      <c r="A2602" t="str">
        <f t="shared" si="40"/>
        <v>Ataléia20234.10</v>
      </c>
      <c r="B2602">
        <v>3104700</v>
      </c>
      <c r="C2602" t="s">
        <v>41</v>
      </c>
      <c r="D2602">
        <v>2023</v>
      </c>
      <c r="E2602">
        <v>6</v>
      </c>
      <c r="F2602">
        <v>58</v>
      </c>
      <c r="G2602" t="s">
        <v>31</v>
      </c>
      <c r="H2602" t="s">
        <v>29</v>
      </c>
      <c r="I2602" s="1" t="s">
        <v>32</v>
      </c>
      <c r="J2602">
        <v>5790.58</v>
      </c>
    </row>
    <row r="2603" spans="1:10" hidden="1" x14ac:dyDescent="0.35">
      <c r="A2603" t="str">
        <f t="shared" si="40"/>
        <v>Ataléia20234.11</v>
      </c>
      <c r="B2603">
        <v>3104700</v>
      </c>
      <c r="C2603" t="s">
        <v>41</v>
      </c>
      <c r="D2603">
        <v>2023</v>
      </c>
      <c r="E2603">
        <v>6</v>
      </c>
      <c r="F2603">
        <v>59</v>
      </c>
      <c r="G2603" t="s">
        <v>33</v>
      </c>
      <c r="H2603" t="s">
        <v>29</v>
      </c>
      <c r="I2603" s="1" t="s">
        <v>34</v>
      </c>
    </row>
    <row r="2604" spans="1:10" hidden="1" x14ac:dyDescent="0.35">
      <c r="A2604" t="str">
        <f t="shared" si="40"/>
        <v>Ataléia20234.2</v>
      </c>
      <c r="B2604">
        <v>3104700</v>
      </c>
      <c r="C2604" t="s">
        <v>41</v>
      </c>
      <c r="D2604">
        <v>2023</v>
      </c>
      <c r="E2604">
        <v>6</v>
      </c>
      <c r="F2604">
        <v>45</v>
      </c>
      <c r="G2604" t="s">
        <v>35</v>
      </c>
      <c r="H2604" t="s">
        <v>29</v>
      </c>
      <c r="I2604" s="1" t="s">
        <v>36</v>
      </c>
      <c r="J2604">
        <v>14593.83</v>
      </c>
    </row>
    <row r="2605" spans="1:10" hidden="1" x14ac:dyDescent="0.35">
      <c r="A2605" t="str">
        <f t="shared" si="40"/>
        <v>Ataléia20234.8</v>
      </c>
      <c r="B2605">
        <v>3104700</v>
      </c>
      <c r="C2605" t="s">
        <v>41</v>
      </c>
      <c r="D2605">
        <v>2023</v>
      </c>
      <c r="E2605">
        <v>6</v>
      </c>
      <c r="F2605">
        <v>56</v>
      </c>
      <c r="G2605" t="s">
        <v>37</v>
      </c>
      <c r="H2605" t="s">
        <v>29</v>
      </c>
      <c r="I2605" s="1" t="s">
        <v>38</v>
      </c>
      <c r="J2605">
        <v>17034.91</v>
      </c>
    </row>
    <row r="2606" spans="1:10" hidden="1" x14ac:dyDescent="0.35">
      <c r="A2606" t="str">
        <f t="shared" si="40"/>
        <v>Ataléia20234.9</v>
      </c>
      <c r="B2606">
        <v>3104700</v>
      </c>
      <c r="C2606" t="s">
        <v>41</v>
      </c>
      <c r="D2606">
        <v>2023</v>
      </c>
      <c r="E2606">
        <v>6</v>
      </c>
      <c r="F2606">
        <v>57</v>
      </c>
      <c r="G2606" t="s">
        <v>39</v>
      </c>
      <c r="H2606" t="s">
        <v>29</v>
      </c>
      <c r="I2606" s="1" t="s">
        <v>40</v>
      </c>
      <c r="J2606">
        <v>17034.91</v>
      </c>
    </row>
    <row r="2607" spans="1:10" hidden="1" x14ac:dyDescent="0.35">
      <c r="A2607" t="str">
        <f t="shared" si="40"/>
        <v>Bertópolis20231.1</v>
      </c>
      <c r="B2607">
        <v>3106606</v>
      </c>
      <c r="C2607" t="s">
        <v>42</v>
      </c>
      <c r="D2607">
        <v>2023</v>
      </c>
      <c r="E2607">
        <v>6</v>
      </c>
      <c r="F2607">
        <v>24</v>
      </c>
      <c r="G2607" t="s">
        <v>10</v>
      </c>
      <c r="H2607" t="s">
        <v>11</v>
      </c>
      <c r="I2607" s="1" t="s">
        <v>12</v>
      </c>
      <c r="J2607">
        <v>0.29549999999999998</v>
      </c>
    </row>
    <row r="2608" spans="1:10" hidden="1" x14ac:dyDescent="0.35">
      <c r="A2608" t="str">
        <f t="shared" si="40"/>
        <v>Bertópolis20231.2</v>
      </c>
      <c r="B2608">
        <v>3106606</v>
      </c>
      <c r="C2608" t="s">
        <v>42</v>
      </c>
      <c r="D2608">
        <v>2023</v>
      </c>
      <c r="E2608">
        <v>6</v>
      </c>
      <c r="F2608">
        <v>67</v>
      </c>
      <c r="G2608" t="s">
        <v>13</v>
      </c>
      <c r="H2608" t="s">
        <v>11</v>
      </c>
      <c r="I2608" s="1" t="s">
        <v>14</v>
      </c>
      <c r="J2608">
        <v>1</v>
      </c>
    </row>
    <row r="2609" spans="1:10" hidden="1" x14ac:dyDescent="0.35">
      <c r="A2609" t="str">
        <f t="shared" si="40"/>
        <v>Bertópolis20231.3</v>
      </c>
      <c r="B2609">
        <v>3106606</v>
      </c>
      <c r="C2609" t="s">
        <v>42</v>
      </c>
      <c r="D2609">
        <v>2023</v>
      </c>
      <c r="E2609">
        <v>6</v>
      </c>
      <c r="F2609">
        <v>68</v>
      </c>
      <c r="G2609" t="s">
        <v>15</v>
      </c>
      <c r="H2609" t="s">
        <v>11</v>
      </c>
      <c r="I2609" s="1" t="s">
        <v>16</v>
      </c>
    </row>
    <row r="2610" spans="1:10" hidden="1" x14ac:dyDescent="0.35">
      <c r="A2610" t="str">
        <f t="shared" si="40"/>
        <v>Bertópolis20232.1</v>
      </c>
      <c r="B2610">
        <v>3106606</v>
      </c>
      <c r="C2610" t="s">
        <v>42</v>
      </c>
      <c r="D2610">
        <v>2023</v>
      </c>
      <c r="E2610">
        <v>6</v>
      </c>
      <c r="F2610">
        <v>28</v>
      </c>
      <c r="G2610" t="s">
        <v>17</v>
      </c>
      <c r="H2610" t="s">
        <v>18</v>
      </c>
      <c r="I2610" s="1" t="s">
        <v>19</v>
      </c>
      <c r="J2610">
        <v>0.31240000000000001</v>
      </c>
    </row>
    <row r="2611" spans="1:10" hidden="1" x14ac:dyDescent="0.35">
      <c r="A2611" t="str">
        <f t="shared" si="40"/>
        <v>Bertópolis20232.2</v>
      </c>
      <c r="B2611">
        <v>3106606</v>
      </c>
      <c r="C2611" t="s">
        <v>42</v>
      </c>
      <c r="D2611">
        <v>2023</v>
      </c>
      <c r="E2611">
        <v>6</v>
      </c>
      <c r="F2611">
        <v>29</v>
      </c>
      <c r="G2611" t="s">
        <v>20</v>
      </c>
      <c r="H2611" t="s">
        <v>18</v>
      </c>
      <c r="I2611" s="1" t="s">
        <v>21</v>
      </c>
      <c r="J2611">
        <v>0.85460000000000003</v>
      </c>
    </row>
    <row r="2612" spans="1:10" hidden="1" x14ac:dyDescent="0.35">
      <c r="A2612" t="str">
        <f t="shared" si="40"/>
        <v>Bertópolis20232.4</v>
      </c>
      <c r="B2612">
        <v>3106606</v>
      </c>
      <c r="C2612" t="s">
        <v>42</v>
      </c>
      <c r="D2612">
        <v>2023</v>
      </c>
      <c r="E2612">
        <v>6</v>
      </c>
      <c r="F2612">
        <v>31</v>
      </c>
      <c r="G2612" t="s">
        <v>22</v>
      </c>
      <c r="H2612" t="s">
        <v>18</v>
      </c>
      <c r="I2612" s="1" t="s">
        <v>23</v>
      </c>
      <c r="J2612">
        <v>0.16009999999999999</v>
      </c>
    </row>
    <row r="2613" spans="1:10" hidden="1" x14ac:dyDescent="0.35">
      <c r="A2613" t="str">
        <f t="shared" si="40"/>
        <v>Bertópolis20232.5</v>
      </c>
      <c r="B2613">
        <v>3106606</v>
      </c>
      <c r="C2613" t="s">
        <v>42</v>
      </c>
      <c r="D2613">
        <v>2023</v>
      </c>
      <c r="E2613">
        <v>6</v>
      </c>
      <c r="F2613">
        <v>32</v>
      </c>
      <c r="G2613" t="s">
        <v>24</v>
      </c>
      <c r="H2613" t="s">
        <v>18</v>
      </c>
      <c r="I2613" s="1" t="s">
        <v>25</v>
      </c>
      <c r="J2613">
        <v>0.61919999999999997</v>
      </c>
    </row>
    <row r="2614" spans="1:10" hidden="1" x14ac:dyDescent="0.35">
      <c r="A2614" t="str">
        <f t="shared" si="40"/>
        <v>Bertópolis20232.8</v>
      </c>
      <c r="B2614">
        <v>3106606</v>
      </c>
      <c r="C2614" t="s">
        <v>42</v>
      </c>
      <c r="D2614">
        <v>2023</v>
      </c>
      <c r="E2614">
        <v>6</v>
      </c>
      <c r="F2614">
        <v>35</v>
      </c>
      <c r="G2614" t="s">
        <v>26</v>
      </c>
      <c r="H2614" t="s">
        <v>18</v>
      </c>
      <c r="I2614" s="1" t="s">
        <v>27</v>
      </c>
      <c r="J2614">
        <v>0.22359999999999999</v>
      </c>
    </row>
    <row r="2615" spans="1:10" hidden="1" x14ac:dyDescent="0.35">
      <c r="A2615" t="str">
        <f t="shared" si="40"/>
        <v>Bertópolis20234.1</v>
      </c>
      <c r="B2615">
        <v>3106606</v>
      </c>
      <c r="C2615" t="s">
        <v>42</v>
      </c>
      <c r="D2615">
        <v>2023</v>
      </c>
      <c r="E2615">
        <v>6</v>
      </c>
      <c r="F2615">
        <v>44</v>
      </c>
      <c r="G2615" t="s">
        <v>28</v>
      </c>
      <c r="H2615" t="s">
        <v>29</v>
      </c>
      <c r="I2615" s="1" t="s">
        <v>30</v>
      </c>
      <c r="J2615">
        <v>7302.62</v>
      </c>
    </row>
    <row r="2616" spans="1:10" hidden="1" x14ac:dyDescent="0.35">
      <c r="A2616" t="str">
        <f t="shared" si="40"/>
        <v>Bertópolis20234.10</v>
      </c>
      <c r="B2616">
        <v>3106606</v>
      </c>
      <c r="C2616" t="s">
        <v>42</v>
      </c>
      <c r="D2616">
        <v>2023</v>
      </c>
      <c r="E2616">
        <v>6</v>
      </c>
      <c r="F2616">
        <v>58</v>
      </c>
      <c r="G2616" t="s">
        <v>31</v>
      </c>
      <c r="H2616" t="s">
        <v>29</v>
      </c>
      <c r="I2616" s="1" t="s">
        <v>32</v>
      </c>
      <c r="J2616">
        <v>7186.16</v>
      </c>
    </row>
    <row r="2617" spans="1:10" hidden="1" x14ac:dyDescent="0.35">
      <c r="A2617" t="str">
        <f t="shared" si="40"/>
        <v>Bertópolis20234.11</v>
      </c>
      <c r="B2617">
        <v>3106606</v>
      </c>
      <c r="C2617" t="s">
        <v>42</v>
      </c>
      <c r="D2617">
        <v>2023</v>
      </c>
      <c r="E2617">
        <v>6</v>
      </c>
      <c r="F2617">
        <v>59</v>
      </c>
      <c r="G2617" t="s">
        <v>33</v>
      </c>
      <c r="H2617" t="s">
        <v>29</v>
      </c>
      <c r="I2617" s="1" t="s">
        <v>34</v>
      </c>
    </row>
    <row r="2618" spans="1:10" hidden="1" x14ac:dyDescent="0.35">
      <c r="A2618" t="str">
        <f t="shared" si="40"/>
        <v>Bertópolis20234.2</v>
      </c>
      <c r="B2618">
        <v>3106606</v>
      </c>
      <c r="C2618" t="s">
        <v>42</v>
      </c>
      <c r="D2618">
        <v>2023</v>
      </c>
      <c r="E2618">
        <v>6</v>
      </c>
      <c r="F2618">
        <v>45</v>
      </c>
      <c r="G2618" t="s">
        <v>35</v>
      </c>
      <c r="H2618" t="s">
        <v>29</v>
      </c>
      <c r="I2618" s="1" t="s">
        <v>36</v>
      </c>
      <c r="J2618">
        <v>16553.349999999999</v>
      </c>
    </row>
    <row r="2619" spans="1:10" hidden="1" x14ac:dyDescent="0.35">
      <c r="A2619" t="str">
        <f t="shared" si="40"/>
        <v>Bertópolis20234.8</v>
      </c>
      <c r="B2619">
        <v>3106606</v>
      </c>
      <c r="C2619" t="s">
        <v>42</v>
      </c>
      <c r="D2619">
        <v>2023</v>
      </c>
      <c r="E2619">
        <v>6</v>
      </c>
      <c r="F2619">
        <v>56</v>
      </c>
      <c r="G2619" t="s">
        <v>37</v>
      </c>
      <c r="H2619" t="s">
        <v>29</v>
      </c>
      <c r="I2619" s="1" t="s">
        <v>38</v>
      </c>
      <c r="J2619">
        <v>16179.16</v>
      </c>
    </row>
    <row r="2620" spans="1:10" hidden="1" x14ac:dyDescent="0.35">
      <c r="A2620" t="str">
        <f t="shared" si="40"/>
        <v>Bertópolis20234.9</v>
      </c>
      <c r="B2620">
        <v>3106606</v>
      </c>
      <c r="C2620" t="s">
        <v>42</v>
      </c>
      <c r="D2620">
        <v>2023</v>
      </c>
      <c r="E2620">
        <v>6</v>
      </c>
      <c r="F2620">
        <v>57</v>
      </c>
      <c r="G2620" t="s">
        <v>39</v>
      </c>
      <c r="H2620" t="s">
        <v>29</v>
      </c>
      <c r="I2620" s="1" t="s">
        <v>40</v>
      </c>
      <c r="J2620">
        <v>16179.16</v>
      </c>
    </row>
    <row r="2621" spans="1:10" hidden="1" x14ac:dyDescent="0.35">
      <c r="A2621" t="str">
        <f t="shared" si="40"/>
        <v>Carlos Chagas20231.1</v>
      </c>
      <c r="B2621">
        <v>3113701</v>
      </c>
      <c r="C2621" t="s">
        <v>43</v>
      </c>
      <c r="D2621">
        <v>2023</v>
      </c>
      <c r="E2621">
        <v>6</v>
      </c>
      <c r="F2621">
        <v>24</v>
      </c>
      <c r="G2621" t="s">
        <v>10</v>
      </c>
      <c r="H2621" t="s">
        <v>11</v>
      </c>
      <c r="I2621" s="1" t="s">
        <v>12</v>
      </c>
      <c r="J2621">
        <v>0.34489999999999998</v>
      </c>
    </row>
    <row r="2622" spans="1:10" hidden="1" x14ac:dyDescent="0.35">
      <c r="A2622" t="str">
        <f t="shared" si="40"/>
        <v>Carlos Chagas20231.2</v>
      </c>
      <c r="B2622">
        <v>3113701</v>
      </c>
      <c r="C2622" t="s">
        <v>43</v>
      </c>
      <c r="D2622">
        <v>2023</v>
      </c>
      <c r="E2622">
        <v>6</v>
      </c>
      <c r="F2622">
        <v>67</v>
      </c>
      <c r="G2622" t="s">
        <v>13</v>
      </c>
      <c r="H2622" t="s">
        <v>11</v>
      </c>
      <c r="I2622" s="1" t="s">
        <v>14</v>
      </c>
      <c r="J2622">
        <v>0.93779999999999997</v>
      </c>
    </row>
    <row r="2623" spans="1:10" hidden="1" x14ac:dyDescent="0.35">
      <c r="A2623" t="str">
        <f t="shared" si="40"/>
        <v>Carlos Chagas20231.3</v>
      </c>
      <c r="B2623">
        <v>3113701</v>
      </c>
      <c r="C2623" t="s">
        <v>43</v>
      </c>
      <c r="D2623">
        <v>2023</v>
      </c>
      <c r="E2623">
        <v>6</v>
      </c>
      <c r="F2623">
        <v>68</v>
      </c>
      <c r="G2623" t="s">
        <v>15</v>
      </c>
      <c r="H2623" t="s">
        <v>11</v>
      </c>
      <c r="I2623" s="1" t="s">
        <v>16</v>
      </c>
      <c r="J2623">
        <v>6.1699999999999998E-2</v>
      </c>
    </row>
    <row r="2624" spans="1:10" hidden="1" x14ac:dyDescent="0.35">
      <c r="A2624" t="str">
        <f t="shared" si="40"/>
        <v>Carlos Chagas20232.1</v>
      </c>
      <c r="B2624">
        <v>3113701</v>
      </c>
      <c r="C2624" t="s">
        <v>43</v>
      </c>
      <c r="D2624">
        <v>2023</v>
      </c>
      <c r="E2624">
        <v>6</v>
      </c>
      <c r="F2624">
        <v>28</v>
      </c>
      <c r="G2624" t="s">
        <v>17</v>
      </c>
      <c r="H2624" t="s">
        <v>18</v>
      </c>
      <c r="I2624" s="1" t="s">
        <v>19</v>
      </c>
      <c r="J2624">
        <v>0.16889999999999999</v>
      </c>
    </row>
    <row r="2625" spans="1:10" hidden="1" x14ac:dyDescent="0.35">
      <c r="A2625" t="str">
        <f t="shared" si="40"/>
        <v>Carlos Chagas20232.2</v>
      </c>
      <c r="B2625">
        <v>3113701</v>
      </c>
      <c r="C2625" t="s">
        <v>43</v>
      </c>
      <c r="D2625">
        <v>2023</v>
      </c>
      <c r="E2625">
        <v>6</v>
      </c>
      <c r="F2625">
        <v>29</v>
      </c>
      <c r="G2625" t="s">
        <v>20</v>
      </c>
      <c r="H2625" t="s">
        <v>18</v>
      </c>
      <c r="I2625" s="1" t="s">
        <v>21</v>
      </c>
      <c r="J2625">
        <v>0.75770000000000004</v>
      </c>
    </row>
    <row r="2626" spans="1:10" hidden="1" x14ac:dyDescent="0.35">
      <c r="A2626" t="str">
        <f t="shared" si="40"/>
        <v>Carlos Chagas20232.4</v>
      </c>
      <c r="B2626">
        <v>3113701</v>
      </c>
      <c r="C2626" t="s">
        <v>43</v>
      </c>
      <c r="D2626">
        <v>2023</v>
      </c>
      <c r="E2626">
        <v>6</v>
      </c>
      <c r="F2626">
        <v>31</v>
      </c>
      <c r="G2626" t="s">
        <v>22</v>
      </c>
      <c r="H2626" t="s">
        <v>18</v>
      </c>
      <c r="I2626" s="1" t="s">
        <v>23</v>
      </c>
      <c r="J2626">
        <v>9.3100000000000002E-2</v>
      </c>
    </row>
    <row r="2627" spans="1:10" hidden="1" x14ac:dyDescent="0.35">
      <c r="A2627" t="str">
        <f t="shared" si="40"/>
        <v>Carlos Chagas20232.5</v>
      </c>
      <c r="B2627">
        <v>3113701</v>
      </c>
      <c r="C2627" t="s">
        <v>43</v>
      </c>
      <c r="D2627">
        <v>2023</v>
      </c>
      <c r="E2627">
        <v>6</v>
      </c>
      <c r="F2627">
        <v>32</v>
      </c>
      <c r="G2627" t="s">
        <v>24</v>
      </c>
      <c r="H2627" t="s">
        <v>18</v>
      </c>
      <c r="I2627" s="1" t="s">
        <v>25</v>
      </c>
      <c r="J2627">
        <v>0.70609999999999995</v>
      </c>
    </row>
    <row r="2628" spans="1:10" hidden="1" x14ac:dyDescent="0.35">
      <c r="A2628" t="str">
        <f t="shared" ref="A2628:A2691" si="41">C2628&amp;D2628&amp;G2628</f>
        <v>Carlos Chagas20232.8</v>
      </c>
      <c r="B2628">
        <v>3113701</v>
      </c>
      <c r="C2628" t="s">
        <v>43</v>
      </c>
      <c r="D2628">
        <v>2023</v>
      </c>
      <c r="E2628">
        <v>6</v>
      </c>
      <c r="F2628">
        <v>35</v>
      </c>
      <c r="G2628" t="s">
        <v>26</v>
      </c>
      <c r="H2628" t="s">
        <v>18</v>
      </c>
      <c r="I2628" s="1" t="s">
        <v>27</v>
      </c>
      <c r="J2628">
        <v>0.2727</v>
      </c>
    </row>
    <row r="2629" spans="1:10" hidden="1" x14ac:dyDescent="0.35">
      <c r="A2629" t="str">
        <f t="shared" si="41"/>
        <v>Carlos Chagas20234.1</v>
      </c>
      <c r="B2629">
        <v>3113701</v>
      </c>
      <c r="C2629" t="s">
        <v>43</v>
      </c>
      <c r="D2629">
        <v>2023</v>
      </c>
      <c r="E2629">
        <v>6</v>
      </c>
      <c r="F2629">
        <v>44</v>
      </c>
      <c r="G2629" t="s">
        <v>28</v>
      </c>
      <c r="H2629" t="s">
        <v>29</v>
      </c>
      <c r="I2629" s="1" t="s">
        <v>30</v>
      </c>
      <c r="J2629">
        <v>5691.07</v>
      </c>
    </row>
    <row r="2630" spans="1:10" hidden="1" x14ac:dyDescent="0.35">
      <c r="A2630" t="str">
        <f t="shared" si="41"/>
        <v>Carlos Chagas20234.10</v>
      </c>
      <c r="B2630">
        <v>3113701</v>
      </c>
      <c r="C2630" t="s">
        <v>43</v>
      </c>
      <c r="D2630">
        <v>2023</v>
      </c>
      <c r="E2630">
        <v>6</v>
      </c>
      <c r="F2630">
        <v>58</v>
      </c>
      <c r="G2630" t="s">
        <v>31</v>
      </c>
      <c r="H2630" t="s">
        <v>29</v>
      </c>
      <c r="I2630" s="1" t="s">
        <v>32</v>
      </c>
      <c r="J2630">
        <v>5869.75</v>
      </c>
    </row>
    <row r="2631" spans="1:10" hidden="1" x14ac:dyDescent="0.35">
      <c r="A2631" t="str">
        <f t="shared" si="41"/>
        <v>Carlos Chagas20234.11</v>
      </c>
      <c r="B2631">
        <v>3113701</v>
      </c>
      <c r="C2631" t="s">
        <v>43</v>
      </c>
      <c r="D2631">
        <v>2023</v>
      </c>
      <c r="E2631">
        <v>6</v>
      </c>
      <c r="F2631">
        <v>59</v>
      </c>
      <c r="G2631" t="s">
        <v>33</v>
      </c>
      <c r="H2631" t="s">
        <v>29</v>
      </c>
      <c r="I2631" s="1" t="s">
        <v>34</v>
      </c>
      <c r="J2631">
        <v>332.88</v>
      </c>
    </row>
    <row r="2632" spans="1:10" hidden="1" x14ac:dyDescent="0.35">
      <c r="A2632" t="str">
        <f t="shared" si="41"/>
        <v>Carlos Chagas20234.2</v>
      </c>
      <c r="B2632">
        <v>3113701</v>
      </c>
      <c r="C2632" t="s">
        <v>43</v>
      </c>
      <c r="D2632">
        <v>2023</v>
      </c>
      <c r="E2632">
        <v>6</v>
      </c>
      <c r="F2632">
        <v>45</v>
      </c>
      <c r="G2632" t="s">
        <v>35</v>
      </c>
      <c r="H2632" t="s">
        <v>29</v>
      </c>
      <c r="I2632" s="1" t="s">
        <v>36</v>
      </c>
      <c r="J2632">
        <v>14419.6</v>
      </c>
    </row>
    <row r="2633" spans="1:10" hidden="1" x14ac:dyDescent="0.35">
      <c r="A2633" t="str">
        <f t="shared" si="41"/>
        <v>Carlos Chagas20234.8</v>
      </c>
      <c r="B2633">
        <v>3113701</v>
      </c>
      <c r="C2633" t="s">
        <v>43</v>
      </c>
      <c r="D2633">
        <v>2023</v>
      </c>
      <c r="E2633">
        <v>6</v>
      </c>
      <c r="F2633">
        <v>56</v>
      </c>
      <c r="G2633" t="s">
        <v>37</v>
      </c>
      <c r="H2633" t="s">
        <v>29</v>
      </c>
      <c r="I2633" s="1" t="s">
        <v>38</v>
      </c>
      <c r="J2633">
        <v>14688.69</v>
      </c>
    </row>
    <row r="2634" spans="1:10" hidden="1" x14ac:dyDescent="0.35">
      <c r="A2634" t="str">
        <f t="shared" si="41"/>
        <v>Carlos Chagas20234.9</v>
      </c>
      <c r="B2634">
        <v>3113701</v>
      </c>
      <c r="C2634" t="s">
        <v>43</v>
      </c>
      <c r="D2634">
        <v>2023</v>
      </c>
      <c r="E2634">
        <v>6</v>
      </c>
      <c r="F2634">
        <v>57</v>
      </c>
      <c r="G2634" t="s">
        <v>39</v>
      </c>
      <c r="H2634" t="s">
        <v>29</v>
      </c>
      <c r="I2634" s="1" t="s">
        <v>40</v>
      </c>
      <c r="J2634">
        <v>14688.69</v>
      </c>
    </row>
    <row r="2635" spans="1:10" hidden="1" x14ac:dyDescent="0.35">
      <c r="A2635" t="str">
        <f t="shared" si="41"/>
        <v>Catuji20231.1</v>
      </c>
      <c r="B2635">
        <v>3115458</v>
      </c>
      <c r="C2635" t="s">
        <v>44</v>
      </c>
      <c r="D2635">
        <v>2023</v>
      </c>
      <c r="E2635">
        <v>6</v>
      </c>
      <c r="F2635">
        <v>24</v>
      </c>
      <c r="G2635" t="s">
        <v>10</v>
      </c>
      <c r="H2635" t="s">
        <v>11</v>
      </c>
      <c r="I2635" s="1" t="s">
        <v>12</v>
      </c>
      <c r="J2635">
        <v>0.34079999999999999</v>
      </c>
    </row>
    <row r="2636" spans="1:10" hidden="1" x14ac:dyDescent="0.35">
      <c r="A2636" t="str">
        <f t="shared" si="41"/>
        <v>Catuji20231.2</v>
      </c>
      <c r="B2636">
        <v>3115458</v>
      </c>
      <c r="C2636" t="s">
        <v>44</v>
      </c>
      <c r="D2636">
        <v>2023</v>
      </c>
      <c r="E2636">
        <v>6</v>
      </c>
      <c r="F2636">
        <v>67</v>
      </c>
      <c r="G2636" t="s">
        <v>13</v>
      </c>
      <c r="H2636" t="s">
        <v>11</v>
      </c>
      <c r="I2636" s="1" t="s">
        <v>14</v>
      </c>
      <c r="J2636">
        <v>0.96519999999999995</v>
      </c>
    </row>
    <row r="2637" spans="1:10" hidden="1" x14ac:dyDescent="0.35">
      <c r="A2637" t="str">
        <f t="shared" si="41"/>
        <v>Catuji20231.3</v>
      </c>
      <c r="B2637">
        <v>3115458</v>
      </c>
      <c r="C2637" t="s">
        <v>44</v>
      </c>
      <c r="D2637">
        <v>2023</v>
      </c>
      <c r="E2637">
        <v>6</v>
      </c>
      <c r="F2637">
        <v>68</v>
      </c>
      <c r="G2637" t="s">
        <v>15</v>
      </c>
      <c r="H2637" t="s">
        <v>11</v>
      </c>
      <c r="I2637" s="1" t="s">
        <v>16</v>
      </c>
      <c r="J2637">
        <v>3.4799999999999998E-2</v>
      </c>
    </row>
    <row r="2638" spans="1:10" hidden="1" x14ac:dyDescent="0.35">
      <c r="A2638" t="str">
        <f t="shared" si="41"/>
        <v>Catuji20232.1</v>
      </c>
      <c r="B2638">
        <v>3115458</v>
      </c>
      <c r="C2638" t="s">
        <v>44</v>
      </c>
      <c r="D2638">
        <v>2023</v>
      </c>
      <c r="E2638">
        <v>6</v>
      </c>
      <c r="F2638">
        <v>28</v>
      </c>
      <c r="G2638" t="s">
        <v>17</v>
      </c>
      <c r="H2638" t="s">
        <v>18</v>
      </c>
      <c r="I2638" s="1" t="s">
        <v>19</v>
      </c>
      <c r="J2638">
        <v>0.43180000000000002</v>
      </c>
    </row>
    <row r="2639" spans="1:10" hidden="1" x14ac:dyDescent="0.35">
      <c r="A2639" t="str">
        <f t="shared" si="41"/>
        <v>Catuji20232.2</v>
      </c>
      <c r="B2639">
        <v>3115458</v>
      </c>
      <c r="C2639" t="s">
        <v>44</v>
      </c>
      <c r="D2639">
        <v>2023</v>
      </c>
      <c r="E2639">
        <v>6</v>
      </c>
      <c r="F2639">
        <v>29</v>
      </c>
      <c r="G2639" t="s">
        <v>20</v>
      </c>
      <c r="H2639" t="s">
        <v>18</v>
      </c>
      <c r="I2639" s="1" t="s">
        <v>21</v>
      </c>
      <c r="J2639">
        <v>0.56830000000000003</v>
      </c>
    </row>
    <row r="2640" spans="1:10" hidden="1" x14ac:dyDescent="0.35">
      <c r="A2640" t="str">
        <f t="shared" si="41"/>
        <v>Catuji20232.4</v>
      </c>
      <c r="B2640">
        <v>3115458</v>
      </c>
      <c r="C2640" t="s">
        <v>44</v>
      </c>
      <c r="D2640">
        <v>2023</v>
      </c>
      <c r="E2640">
        <v>6</v>
      </c>
      <c r="F2640">
        <v>31</v>
      </c>
      <c r="G2640" t="s">
        <v>22</v>
      </c>
      <c r="H2640" t="s">
        <v>18</v>
      </c>
      <c r="I2640" s="1" t="s">
        <v>23</v>
      </c>
      <c r="J2640">
        <v>0.10580000000000001</v>
      </c>
    </row>
    <row r="2641" spans="1:10" hidden="1" x14ac:dyDescent="0.35">
      <c r="A2641" t="str">
        <f t="shared" si="41"/>
        <v>Catuji20232.5</v>
      </c>
      <c r="B2641">
        <v>3115458</v>
      </c>
      <c r="C2641" t="s">
        <v>44</v>
      </c>
      <c r="D2641">
        <v>2023</v>
      </c>
      <c r="E2641">
        <v>6</v>
      </c>
      <c r="F2641">
        <v>32</v>
      </c>
      <c r="G2641" t="s">
        <v>24</v>
      </c>
      <c r="H2641" t="s">
        <v>18</v>
      </c>
      <c r="I2641" s="1" t="s">
        <v>25</v>
      </c>
      <c r="J2641">
        <v>0.20780000000000001</v>
      </c>
    </row>
    <row r="2642" spans="1:10" hidden="1" x14ac:dyDescent="0.35">
      <c r="A2642" t="str">
        <f t="shared" si="41"/>
        <v>Catuji20232.8</v>
      </c>
      <c r="B2642">
        <v>3115458</v>
      </c>
      <c r="C2642" t="s">
        <v>44</v>
      </c>
      <c r="D2642">
        <v>2023</v>
      </c>
      <c r="E2642">
        <v>6</v>
      </c>
      <c r="F2642">
        <v>35</v>
      </c>
      <c r="G2642" t="s">
        <v>26</v>
      </c>
      <c r="H2642" t="s">
        <v>18</v>
      </c>
      <c r="I2642" s="1" t="s">
        <v>27</v>
      </c>
    </row>
    <row r="2643" spans="1:10" hidden="1" x14ac:dyDescent="0.35">
      <c r="A2643" t="str">
        <f t="shared" si="41"/>
        <v>Catuji20234.1</v>
      </c>
      <c r="B2643">
        <v>3115458</v>
      </c>
      <c r="C2643" t="s">
        <v>44</v>
      </c>
      <c r="D2643">
        <v>2023</v>
      </c>
      <c r="E2643">
        <v>6</v>
      </c>
      <c r="F2643">
        <v>44</v>
      </c>
      <c r="G2643" t="s">
        <v>28</v>
      </c>
      <c r="H2643" t="s">
        <v>29</v>
      </c>
      <c r="I2643" s="1" t="s">
        <v>30</v>
      </c>
      <c r="J2643">
        <v>10404.84</v>
      </c>
    </row>
    <row r="2644" spans="1:10" hidden="1" x14ac:dyDescent="0.35">
      <c r="A2644" t="str">
        <f t="shared" si="41"/>
        <v>Catuji20234.10</v>
      </c>
      <c r="B2644">
        <v>3115458</v>
      </c>
      <c r="C2644" t="s">
        <v>44</v>
      </c>
      <c r="D2644">
        <v>2023</v>
      </c>
      <c r="E2644">
        <v>6</v>
      </c>
      <c r="F2644">
        <v>58</v>
      </c>
      <c r="G2644" t="s">
        <v>31</v>
      </c>
      <c r="H2644" t="s">
        <v>29</v>
      </c>
      <c r="I2644" s="1" t="s">
        <v>32</v>
      </c>
      <c r="J2644">
        <v>6736.1</v>
      </c>
    </row>
    <row r="2645" spans="1:10" hidden="1" x14ac:dyDescent="0.35">
      <c r="A2645" t="str">
        <f t="shared" si="41"/>
        <v>Catuji20234.11</v>
      </c>
      <c r="B2645">
        <v>3115458</v>
      </c>
      <c r="C2645" t="s">
        <v>44</v>
      </c>
      <c r="D2645">
        <v>2023</v>
      </c>
      <c r="E2645">
        <v>6</v>
      </c>
      <c r="F2645">
        <v>59</v>
      </c>
      <c r="G2645" t="s">
        <v>33</v>
      </c>
      <c r="H2645" t="s">
        <v>29</v>
      </c>
      <c r="I2645" s="1" t="s">
        <v>34</v>
      </c>
    </row>
    <row r="2646" spans="1:10" hidden="1" x14ac:dyDescent="0.35">
      <c r="A2646" t="str">
        <f t="shared" si="41"/>
        <v>Catuji20234.2</v>
      </c>
      <c r="B2646">
        <v>3115458</v>
      </c>
      <c r="C2646" t="s">
        <v>44</v>
      </c>
      <c r="D2646">
        <v>2023</v>
      </c>
      <c r="E2646">
        <v>6</v>
      </c>
      <c r="F2646">
        <v>45</v>
      </c>
      <c r="G2646" t="s">
        <v>35</v>
      </c>
      <c r="H2646" t="s">
        <v>29</v>
      </c>
      <c r="I2646" s="1" t="s">
        <v>36</v>
      </c>
      <c r="J2646">
        <v>12839.27</v>
      </c>
    </row>
    <row r="2647" spans="1:10" hidden="1" x14ac:dyDescent="0.35">
      <c r="A2647" t="str">
        <f t="shared" si="41"/>
        <v>Catuji20234.8</v>
      </c>
      <c r="B2647">
        <v>3115458</v>
      </c>
      <c r="C2647" t="s">
        <v>44</v>
      </c>
      <c r="D2647">
        <v>2023</v>
      </c>
      <c r="E2647">
        <v>6</v>
      </c>
      <c r="F2647">
        <v>56</v>
      </c>
      <c r="G2647" t="s">
        <v>37</v>
      </c>
      <c r="H2647" t="s">
        <v>29</v>
      </c>
      <c r="I2647" s="1" t="s">
        <v>38</v>
      </c>
      <c r="J2647">
        <v>37946.19</v>
      </c>
    </row>
    <row r="2648" spans="1:10" hidden="1" x14ac:dyDescent="0.35">
      <c r="A2648" t="str">
        <f t="shared" si="41"/>
        <v>Catuji20234.9</v>
      </c>
      <c r="B2648">
        <v>3115458</v>
      </c>
      <c r="C2648" t="s">
        <v>44</v>
      </c>
      <c r="D2648">
        <v>2023</v>
      </c>
      <c r="E2648">
        <v>6</v>
      </c>
      <c r="F2648">
        <v>57</v>
      </c>
      <c r="G2648" t="s">
        <v>39</v>
      </c>
      <c r="H2648" t="s">
        <v>29</v>
      </c>
      <c r="I2648" s="1" t="s">
        <v>40</v>
      </c>
      <c r="J2648">
        <v>37946.19</v>
      </c>
    </row>
    <row r="2649" spans="1:10" hidden="1" x14ac:dyDescent="0.35">
      <c r="A2649" t="str">
        <f t="shared" si="41"/>
        <v>Crisólita20231.1</v>
      </c>
      <c r="B2649">
        <v>3120151</v>
      </c>
      <c r="C2649" t="s">
        <v>45</v>
      </c>
      <c r="D2649">
        <v>2023</v>
      </c>
      <c r="E2649">
        <v>6</v>
      </c>
      <c r="F2649">
        <v>24</v>
      </c>
      <c r="G2649" t="s">
        <v>10</v>
      </c>
      <c r="H2649" t="s">
        <v>11</v>
      </c>
      <c r="I2649" s="1" t="s">
        <v>12</v>
      </c>
      <c r="J2649">
        <v>0.28460000000000002</v>
      </c>
    </row>
    <row r="2650" spans="1:10" hidden="1" x14ac:dyDescent="0.35">
      <c r="A2650" t="str">
        <f t="shared" si="41"/>
        <v>Crisólita20231.2</v>
      </c>
      <c r="B2650">
        <v>3120151</v>
      </c>
      <c r="C2650" t="s">
        <v>45</v>
      </c>
      <c r="D2650">
        <v>2023</v>
      </c>
      <c r="E2650">
        <v>6</v>
      </c>
      <c r="F2650">
        <v>67</v>
      </c>
      <c r="G2650" t="s">
        <v>13</v>
      </c>
      <c r="H2650" t="s">
        <v>11</v>
      </c>
      <c r="I2650" s="1" t="s">
        <v>14</v>
      </c>
      <c r="J2650">
        <v>0.80259999999999998</v>
      </c>
    </row>
    <row r="2651" spans="1:10" hidden="1" x14ac:dyDescent="0.35">
      <c r="A2651" t="str">
        <f t="shared" si="41"/>
        <v>Crisólita20231.3</v>
      </c>
      <c r="B2651">
        <v>3120151</v>
      </c>
      <c r="C2651" t="s">
        <v>45</v>
      </c>
      <c r="D2651">
        <v>2023</v>
      </c>
      <c r="E2651">
        <v>6</v>
      </c>
      <c r="F2651">
        <v>68</v>
      </c>
      <c r="G2651" t="s">
        <v>15</v>
      </c>
      <c r="H2651" t="s">
        <v>11</v>
      </c>
      <c r="I2651" s="1" t="s">
        <v>16</v>
      </c>
      <c r="J2651">
        <v>0.16370000000000001</v>
      </c>
    </row>
    <row r="2652" spans="1:10" hidden="1" x14ac:dyDescent="0.35">
      <c r="A2652" t="str">
        <f t="shared" si="41"/>
        <v>Crisólita20232.1</v>
      </c>
      <c r="B2652">
        <v>3120151</v>
      </c>
      <c r="C2652" t="s">
        <v>45</v>
      </c>
      <c r="D2652">
        <v>2023</v>
      </c>
      <c r="E2652">
        <v>6</v>
      </c>
      <c r="F2652">
        <v>28</v>
      </c>
      <c r="G2652" t="s">
        <v>17</v>
      </c>
      <c r="H2652" t="s">
        <v>18</v>
      </c>
      <c r="I2652" s="1" t="s">
        <v>19</v>
      </c>
      <c r="J2652">
        <v>6.4100000000000004E-2</v>
      </c>
    </row>
    <row r="2653" spans="1:10" hidden="1" x14ac:dyDescent="0.35">
      <c r="A2653" t="str">
        <f t="shared" si="41"/>
        <v>Crisólita20232.2</v>
      </c>
      <c r="B2653">
        <v>3120151</v>
      </c>
      <c r="C2653" t="s">
        <v>45</v>
      </c>
      <c r="D2653">
        <v>2023</v>
      </c>
      <c r="E2653">
        <v>6</v>
      </c>
      <c r="F2653">
        <v>29</v>
      </c>
      <c r="G2653" t="s">
        <v>20</v>
      </c>
      <c r="H2653" t="s">
        <v>18</v>
      </c>
      <c r="I2653" s="1" t="s">
        <v>21</v>
      </c>
      <c r="J2653">
        <v>0.89870000000000005</v>
      </c>
    </row>
    <row r="2654" spans="1:10" hidden="1" x14ac:dyDescent="0.35">
      <c r="A2654" t="str">
        <f t="shared" si="41"/>
        <v>Crisólita20232.4</v>
      </c>
      <c r="B2654">
        <v>3120151</v>
      </c>
      <c r="C2654" t="s">
        <v>45</v>
      </c>
      <c r="D2654">
        <v>2023</v>
      </c>
      <c r="E2654">
        <v>6</v>
      </c>
      <c r="F2654">
        <v>31</v>
      </c>
      <c r="G2654" t="s">
        <v>22</v>
      </c>
      <c r="H2654" t="s">
        <v>18</v>
      </c>
      <c r="I2654" s="1" t="s">
        <v>23</v>
      </c>
      <c r="J2654">
        <v>7.17E-2</v>
      </c>
    </row>
    <row r="2655" spans="1:10" hidden="1" x14ac:dyDescent="0.35">
      <c r="A2655" t="str">
        <f t="shared" si="41"/>
        <v>Crisólita20232.5</v>
      </c>
      <c r="B2655">
        <v>3120151</v>
      </c>
      <c r="C2655" t="s">
        <v>45</v>
      </c>
      <c r="D2655">
        <v>2023</v>
      </c>
      <c r="E2655">
        <v>6</v>
      </c>
      <c r="F2655">
        <v>32</v>
      </c>
      <c r="G2655" t="s">
        <v>24</v>
      </c>
      <c r="H2655" t="s">
        <v>18</v>
      </c>
      <c r="I2655" s="1" t="s">
        <v>25</v>
      </c>
      <c r="J2655">
        <v>0.47889999999999999</v>
      </c>
    </row>
    <row r="2656" spans="1:10" hidden="1" x14ac:dyDescent="0.35">
      <c r="A2656" t="str">
        <f t="shared" si="41"/>
        <v>Crisólita20232.8</v>
      </c>
      <c r="B2656">
        <v>3120151</v>
      </c>
      <c r="C2656" t="s">
        <v>45</v>
      </c>
      <c r="D2656">
        <v>2023</v>
      </c>
      <c r="E2656">
        <v>6</v>
      </c>
      <c r="F2656">
        <v>35</v>
      </c>
      <c r="G2656" t="s">
        <v>26</v>
      </c>
      <c r="H2656" t="s">
        <v>18</v>
      </c>
      <c r="I2656" s="1" t="s">
        <v>27</v>
      </c>
      <c r="J2656">
        <v>0.318</v>
      </c>
    </row>
    <row r="2657" spans="1:10" hidden="1" x14ac:dyDescent="0.35">
      <c r="A2657" t="str">
        <f t="shared" si="41"/>
        <v>Crisólita20234.1</v>
      </c>
      <c r="B2657">
        <v>3120151</v>
      </c>
      <c r="C2657" t="s">
        <v>45</v>
      </c>
      <c r="D2657">
        <v>2023</v>
      </c>
      <c r="E2657">
        <v>6</v>
      </c>
      <c r="F2657">
        <v>44</v>
      </c>
      <c r="G2657" t="s">
        <v>28</v>
      </c>
      <c r="H2657" t="s">
        <v>29</v>
      </c>
      <c r="I2657" s="1" t="s">
        <v>30</v>
      </c>
      <c r="J2657">
        <v>3449.14</v>
      </c>
    </row>
    <row r="2658" spans="1:10" hidden="1" x14ac:dyDescent="0.35">
      <c r="A2658" t="str">
        <f t="shared" si="41"/>
        <v>Crisólita20234.10</v>
      </c>
      <c r="B2658">
        <v>3120151</v>
      </c>
      <c r="C2658" t="s">
        <v>45</v>
      </c>
      <c r="D2658">
        <v>2023</v>
      </c>
      <c r="E2658">
        <v>6</v>
      </c>
      <c r="F2658">
        <v>58</v>
      </c>
      <c r="G2658" t="s">
        <v>31</v>
      </c>
      <c r="H2658" t="s">
        <v>29</v>
      </c>
      <c r="I2658" s="1" t="s">
        <v>32</v>
      </c>
      <c r="J2658">
        <v>5136.92</v>
      </c>
    </row>
    <row r="2659" spans="1:10" hidden="1" x14ac:dyDescent="0.35">
      <c r="A2659" t="str">
        <f t="shared" si="41"/>
        <v>Crisólita20234.11</v>
      </c>
      <c r="B2659">
        <v>3120151</v>
      </c>
      <c r="C2659" t="s">
        <v>45</v>
      </c>
      <c r="D2659">
        <v>2023</v>
      </c>
      <c r="E2659">
        <v>6</v>
      </c>
      <c r="F2659">
        <v>59</v>
      </c>
      <c r="G2659" t="s">
        <v>33</v>
      </c>
      <c r="H2659" t="s">
        <v>29</v>
      </c>
      <c r="I2659" s="1" t="s">
        <v>34</v>
      </c>
      <c r="J2659">
        <v>979.84</v>
      </c>
    </row>
    <row r="2660" spans="1:10" hidden="1" x14ac:dyDescent="0.35">
      <c r="A2660" t="str">
        <f t="shared" si="41"/>
        <v>Crisólita20234.2</v>
      </c>
      <c r="B2660">
        <v>3120151</v>
      </c>
      <c r="C2660" t="s">
        <v>45</v>
      </c>
      <c r="D2660">
        <v>2023</v>
      </c>
      <c r="E2660">
        <v>6</v>
      </c>
      <c r="F2660">
        <v>45</v>
      </c>
      <c r="G2660" t="s">
        <v>35</v>
      </c>
      <c r="H2660" t="s">
        <v>29</v>
      </c>
      <c r="I2660" s="1" t="s">
        <v>36</v>
      </c>
      <c r="J2660">
        <v>13493.41</v>
      </c>
    </row>
    <row r="2661" spans="1:10" hidden="1" x14ac:dyDescent="0.35">
      <c r="A2661" t="str">
        <f t="shared" si="41"/>
        <v>Crisólita20234.8</v>
      </c>
      <c r="B2661">
        <v>3120151</v>
      </c>
      <c r="C2661" t="s">
        <v>45</v>
      </c>
      <c r="D2661">
        <v>2023</v>
      </c>
      <c r="E2661">
        <v>6</v>
      </c>
      <c r="F2661">
        <v>56</v>
      </c>
      <c r="G2661" t="s">
        <v>37</v>
      </c>
      <c r="H2661" t="s">
        <v>29</v>
      </c>
      <c r="I2661" s="1" t="s">
        <v>38</v>
      </c>
      <c r="J2661">
        <v>17770.8</v>
      </c>
    </row>
    <row r="2662" spans="1:10" hidden="1" x14ac:dyDescent="0.35">
      <c r="A2662" t="str">
        <f t="shared" si="41"/>
        <v>Crisólita20234.9</v>
      </c>
      <c r="B2662">
        <v>3120151</v>
      </c>
      <c r="C2662" t="s">
        <v>45</v>
      </c>
      <c r="D2662">
        <v>2023</v>
      </c>
      <c r="E2662">
        <v>6</v>
      </c>
      <c r="F2662">
        <v>57</v>
      </c>
      <c r="G2662" t="s">
        <v>39</v>
      </c>
      <c r="H2662" t="s">
        <v>29</v>
      </c>
      <c r="I2662" s="1" t="s">
        <v>40</v>
      </c>
      <c r="J2662">
        <v>17770.8</v>
      </c>
    </row>
    <row r="2663" spans="1:10" hidden="1" x14ac:dyDescent="0.35">
      <c r="A2663" t="str">
        <f t="shared" si="41"/>
        <v>Franciscópolis20231.1</v>
      </c>
      <c r="B2663">
        <v>3126752</v>
      </c>
      <c r="C2663" t="s">
        <v>46</v>
      </c>
      <c r="D2663">
        <v>2023</v>
      </c>
      <c r="E2663">
        <v>6</v>
      </c>
      <c r="F2663">
        <v>24</v>
      </c>
      <c r="G2663" t="s">
        <v>10</v>
      </c>
      <c r="H2663" t="s">
        <v>11</v>
      </c>
      <c r="I2663" s="1" t="s">
        <v>12</v>
      </c>
      <c r="J2663">
        <v>0.35260000000000002</v>
      </c>
    </row>
    <row r="2664" spans="1:10" hidden="1" x14ac:dyDescent="0.35">
      <c r="A2664" t="str">
        <f t="shared" si="41"/>
        <v>Franciscópolis20231.2</v>
      </c>
      <c r="B2664">
        <v>3126752</v>
      </c>
      <c r="C2664" t="s">
        <v>46</v>
      </c>
      <c r="D2664">
        <v>2023</v>
      </c>
      <c r="E2664">
        <v>6</v>
      </c>
      <c r="F2664">
        <v>67</v>
      </c>
      <c r="G2664" t="s">
        <v>13</v>
      </c>
      <c r="H2664" t="s">
        <v>11</v>
      </c>
      <c r="I2664" s="1" t="s">
        <v>14</v>
      </c>
      <c r="J2664">
        <v>0.81979999999999997</v>
      </c>
    </row>
    <row r="2665" spans="1:10" hidden="1" x14ac:dyDescent="0.35">
      <c r="A2665" t="str">
        <f t="shared" si="41"/>
        <v>Franciscópolis20231.3</v>
      </c>
      <c r="B2665">
        <v>3126752</v>
      </c>
      <c r="C2665" t="s">
        <v>46</v>
      </c>
      <c r="D2665">
        <v>2023</v>
      </c>
      <c r="E2665">
        <v>6</v>
      </c>
      <c r="F2665">
        <v>68</v>
      </c>
      <c r="G2665" t="s">
        <v>15</v>
      </c>
      <c r="H2665" t="s">
        <v>11</v>
      </c>
      <c r="I2665" s="1" t="s">
        <v>16</v>
      </c>
    </row>
    <row r="2666" spans="1:10" hidden="1" x14ac:dyDescent="0.35">
      <c r="A2666" t="str">
        <f t="shared" si="41"/>
        <v>Franciscópolis20232.1</v>
      </c>
      <c r="B2666">
        <v>3126752</v>
      </c>
      <c r="C2666" t="s">
        <v>46</v>
      </c>
      <c r="D2666">
        <v>2023</v>
      </c>
      <c r="E2666">
        <v>6</v>
      </c>
      <c r="F2666">
        <v>28</v>
      </c>
      <c r="G2666" t="s">
        <v>17</v>
      </c>
      <c r="H2666" t="s">
        <v>18</v>
      </c>
      <c r="I2666" s="1" t="s">
        <v>19</v>
      </c>
      <c r="J2666">
        <v>0.27939999999999998</v>
      </c>
    </row>
    <row r="2667" spans="1:10" hidden="1" x14ac:dyDescent="0.35">
      <c r="A2667" t="str">
        <f t="shared" si="41"/>
        <v>Franciscópolis20232.2</v>
      </c>
      <c r="B2667">
        <v>3126752</v>
      </c>
      <c r="C2667" t="s">
        <v>46</v>
      </c>
      <c r="D2667">
        <v>2023</v>
      </c>
      <c r="E2667">
        <v>6</v>
      </c>
      <c r="F2667">
        <v>29</v>
      </c>
      <c r="G2667" t="s">
        <v>20</v>
      </c>
      <c r="H2667" t="s">
        <v>18</v>
      </c>
      <c r="I2667" s="1" t="s">
        <v>21</v>
      </c>
      <c r="J2667">
        <v>0.5101</v>
      </c>
    </row>
    <row r="2668" spans="1:10" hidden="1" x14ac:dyDescent="0.35">
      <c r="A2668" t="str">
        <f t="shared" si="41"/>
        <v>Franciscópolis20232.4</v>
      </c>
      <c r="B2668">
        <v>3126752</v>
      </c>
      <c r="C2668" t="s">
        <v>46</v>
      </c>
      <c r="D2668">
        <v>2023</v>
      </c>
      <c r="E2668">
        <v>6</v>
      </c>
      <c r="F2668">
        <v>31</v>
      </c>
      <c r="G2668" t="s">
        <v>22</v>
      </c>
      <c r="H2668" t="s">
        <v>18</v>
      </c>
      <c r="I2668" s="1" t="s">
        <v>23</v>
      </c>
      <c r="J2668">
        <v>0.31669999999999998</v>
      </c>
    </row>
    <row r="2669" spans="1:10" hidden="1" x14ac:dyDescent="0.35">
      <c r="A2669" t="str">
        <f t="shared" si="41"/>
        <v>Franciscópolis20232.5</v>
      </c>
      <c r="B2669">
        <v>3126752</v>
      </c>
      <c r="C2669" t="s">
        <v>46</v>
      </c>
      <c r="D2669">
        <v>2023</v>
      </c>
      <c r="E2669">
        <v>6</v>
      </c>
      <c r="F2669">
        <v>32</v>
      </c>
      <c r="G2669" t="s">
        <v>24</v>
      </c>
      <c r="H2669" t="s">
        <v>18</v>
      </c>
      <c r="I2669" s="1" t="s">
        <v>25</v>
      </c>
      <c r="J2669">
        <v>0.438</v>
      </c>
    </row>
    <row r="2670" spans="1:10" hidden="1" x14ac:dyDescent="0.35">
      <c r="A2670" t="str">
        <f t="shared" si="41"/>
        <v>Franciscópolis20232.8</v>
      </c>
      <c r="B2670">
        <v>3126752</v>
      </c>
      <c r="C2670" t="s">
        <v>46</v>
      </c>
      <c r="D2670">
        <v>2023</v>
      </c>
      <c r="E2670">
        <v>6</v>
      </c>
      <c r="F2670">
        <v>35</v>
      </c>
      <c r="G2670" t="s">
        <v>26</v>
      </c>
      <c r="H2670" t="s">
        <v>18</v>
      </c>
      <c r="I2670" s="1" t="s">
        <v>27</v>
      </c>
      <c r="J2670">
        <v>0.25580000000000003</v>
      </c>
    </row>
    <row r="2671" spans="1:10" hidden="1" x14ac:dyDescent="0.35">
      <c r="A2671" t="str">
        <f t="shared" si="41"/>
        <v>Franciscópolis20234.1</v>
      </c>
      <c r="B2671">
        <v>3126752</v>
      </c>
      <c r="C2671" t="s">
        <v>46</v>
      </c>
      <c r="D2671">
        <v>2023</v>
      </c>
      <c r="E2671">
        <v>6</v>
      </c>
      <c r="F2671">
        <v>44</v>
      </c>
      <c r="G2671" t="s">
        <v>28</v>
      </c>
      <c r="H2671" t="s">
        <v>29</v>
      </c>
      <c r="I2671" s="1" t="s">
        <v>30</v>
      </c>
      <c r="J2671">
        <v>15381.05</v>
      </c>
    </row>
    <row r="2672" spans="1:10" hidden="1" x14ac:dyDescent="0.35">
      <c r="A2672" t="str">
        <f t="shared" si="41"/>
        <v>Franciscópolis20234.10</v>
      </c>
      <c r="B2672">
        <v>3126752</v>
      </c>
      <c r="C2672" t="s">
        <v>46</v>
      </c>
      <c r="D2672">
        <v>2023</v>
      </c>
      <c r="E2672">
        <v>6</v>
      </c>
      <c r="F2672">
        <v>58</v>
      </c>
      <c r="G2672" t="s">
        <v>31</v>
      </c>
      <c r="H2672" t="s">
        <v>29</v>
      </c>
      <c r="I2672" s="1" t="s">
        <v>32</v>
      </c>
      <c r="J2672">
        <v>5500.99</v>
      </c>
    </row>
    <row r="2673" spans="1:10" hidden="1" x14ac:dyDescent="0.35">
      <c r="A2673" t="str">
        <f t="shared" si="41"/>
        <v>Franciscópolis20234.11</v>
      </c>
      <c r="B2673">
        <v>3126752</v>
      </c>
      <c r="C2673" t="s">
        <v>46</v>
      </c>
      <c r="D2673">
        <v>2023</v>
      </c>
      <c r="E2673">
        <v>6</v>
      </c>
      <c r="F2673">
        <v>59</v>
      </c>
      <c r="G2673" t="s">
        <v>33</v>
      </c>
      <c r="H2673" t="s">
        <v>29</v>
      </c>
      <c r="I2673" s="1" t="s">
        <v>34</v>
      </c>
    </row>
    <row r="2674" spans="1:10" hidden="1" x14ac:dyDescent="0.35">
      <c r="A2674" t="str">
        <f t="shared" si="41"/>
        <v>Franciscópolis20234.2</v>
      </c>
      <c r="B2674">
        <v>3126752</v>
      </c>
      <c r="C2674" t="s">
        <v>46</v>
      </c>
      <c r="D2674">
        <v>2023</v>
      </c>
      <c r="E2674">
        <v>6</v>
      </c>
      <c r="F2674">
        <v>45</v>
      </c>
      <c r="G2674" t="s">
        <v>35</v>
      </c>
      <c r="H2674" t="s">
        <v>29</v>
      </c>
      <c r="I2674" s="1" t="s">
        <v>36</v>
      </c>
      <c r="J2674">
        <v>15259.84</v>
      </c>
    </row>
    <row r="2675" spans="1:10" hidden="1" x14ac:dyDescent="0.35">
      <c r="A2675" t="str">
        <f t="shared" si="41"/>
        <v>Franciscópolis20234.8</v>
      </c>
      <c r="B2675">
        <v>3126752</v>
      </c>
      <c r="C2675" t="s">
        <v>46</v>
      </c>
      <c r="D2675">
        <v>2023</v>
      </c>
      <c r="E2675">
        <v>6</v>
      </c>
      <c r="F2675">
        <v>56</v>
      </c>
      <c r="G2675" t="s">
        <v>37</v>
      </c>
      <c r="H2675" t="s">
        <v>29</v>
      </c>
      <c r="I2675" s="1" t="s">
        <v>38</v>
      </c>
      <c r="J2675">
        <v>19754.72</v>
      </c>
    </row>
    <row r="2676" spans="1:10" hidden="1" x14ac:dyDescent="0.35">
      <c r="A2676" t="str">
        <f t="shared" si="41"/>
        <v>Franciscópolis20234.9</v>
      </c>
      <c r="B2676">
        <v>3126752</v>
      </c>
      <c r="C2676" t="s">
        <v>46</v>
      </c>
      <c r="D2676">
        <v>2023</v>
      </c>
      <c r="E2676">
        <v>6</v>
      </c>
      <c r="F2676">
        <v>57</v>
      </c>
      <c r="G2676" t="s">
        <v>39</v>
      </c>
      <c r="H2676" t="s">
        <v>29</v>
      </c>
      <c r="I2676" s="1" t="s">
        <v>40</v>
      </c>
      <c r="J2676">
        <v>19754.72</v>
      </c>
    </row>
    <row r="2677" spans="1:10" hidden="1" x14ac:dyDescent="0.35">
      <c r="A2677" t="str">
        <f t="shared" si="41"/>
        <v>Frei Gaspar20231.1</v>
      </c>
      <c r="B2677">
        <v>3126802</v>
      </c>
      <c r="C2677" t="s">
        <v>47</v>
      </c>
      <c r="D2677">
        <v>2023</v>
      </c>
      <c r="E2677">
        <v>6</v>
      </c>
      <c r="F2677">
        <v>24</v>
      </c>
      <c r="G2677" t="s">
        <v>10</v>
      </c>
      <c r="H2677" t="s">
        <v>11</v>
      </c>
      <c r="I2677" s="1" t="s">
        <v>12</v>
      </c>
      <c r="J2677">
        <v>0.3085</v>
      </c>
    </row>
    <row r="2678" spans="1:10" hidden="1" x14ac:dyDescent="0.35">
      <c r="A2678" t="str">
        <f t="shared" si="41"/>
        <v>Frei Gaspar20231.2</v>
      </c>
      <c r="B2678">
        <v>3126802</v>
      </c>
      <c r="C2678" t="s">
        <v>47</v>
      </c>
      <c r="D2678">
        <v>2023</v>
      </c>
      <c r="E2678">
        <v>6</v>
      </c>
      <c r="F2678">
        <v>67</v>
      </c>
      <c r="G2678" t="s">
        <v>13</v>
      </c>
      <c r="H2678" t="s">
        <v>11</v>
      </c>
      <c r="I2678" s="1" t="s">
        <v>14</v>
      </c>
      <c r="J2678">
        <v>0.76529999999999998</v>
      </c>
    </row>
    <row r="2679" spans="1:10" hidden="1" x14ac:dyDescent="0.35">
      <c r="A2679" t="str">
        <f t="shared" si="41"/>
        <v>Frei Gaspar20231.3</v>
      </c>
      <c r="B2679">
        <v>3126802</v>
      </c>
      <c r="C2679" t="s">
        <v>47</v>
      </c>
      <c r="D2679">
        <v>2023</v>
      </c>
      <c r="E2679">
        <v>6</v>
      </c>
      <c r="F2679">
        <v>68</v>
      </c>
      <c r="G2679" t="s">
        <v>15</v>
      </c>
      <c r="H2679" t="s">
        <v>11</v>
      </c>
      <c r="I2679" s="1" t="s">
        <v>16</v>
      </c>
      <c r="J2679">
        <v>0.23469999999999999</v>
      </c>
    </row>
    <row r="2680" spans="1:10" hidden="1" x14ac:dyDescent="0.35">
      <c r="A2680" t="str">
        <f t="shared" si="41"/>
        <v>Frei Gaspar20232.1</v>
      </c>
      <c r="B2680">
        <v>3126802</v>
      </c>
      <c r="C2680" t="s">
        <v>47</v>
      </c>
      <c r="D2680">
        <v>2023</v>
      </c>
      <c r="E2680">
        <v>6</v>
      </c>
      <c r="F2680">
        <v>28</v>
      </c>
      <c r="G2680" t="s">
        <v>17</v>
      </c>
      <c r="H2680" t="s">
        <v>18</v>
      </c>
      <c r="I2680" s="1" t="s">
        <v>19</v>
      </c>
      <c r="J2680">
        <v>8.0299999999999996E-2</v>
      </c>
    </row>
    <row r="2681" spans="1:10" hidden="1" x14ac:dyDescent="0.35">
      <c r="A2681" t="str">
        <f t="shared" si="41"/>
        <v>Frei Gaspar20232.2</v>
      </c>
      <c r="B2681">
        <v>3126802</v>
      </c>
      <c r="C2681" t="s">
        <v>47</v>
      </c>
      <c r="D2681">
        <v>2023</v>
      </c>
      <c r="E2681">
        <v>6</v>
      </c>
      <c r="F2681">
        <v>29</v>
      </c>
      <c r="G2681" t="s">
        <v>20</v>
      </c>
      <c r="H2681" t="s">
        <v>18</v>
      </c>
      <c r="I2681" s="1" t="s">
        <v>21</v>
      </c>
      <c r="J2681">
        <v>0.9587</v>
      </c>
    </row>
    <row r="2682" spans="1:10" hidden="1" x14ac:dyDescent="0.35">
      <c r="A2682" t="str">
        <f t="shared" si="41"/>
        <v>Frei Gaspar20232.4</v>
      </c>
      <c r="B2682">
        <v>3126802</v>
      </c>
      <c r="C2682" t="s">
        <v>47</v>
      </c>
      <c r="D2682">
        <v>2023</v>
      </c>
      <c r="E2682">
        <v>6</v>
      </c>
      <c r="F2682">
        <v>31</v>
      </c>
      <c r="G2682" t="s">
        <v>22</v>
      </c>
      <c r="H2682" t="s">
        <v>18</v>
      </c>
      <c r="I2682" s="1" t="s">
        <v>23</v>
      </c>
      <c r="J2682">
        <v>2.3900000000000001E-2</v>
      </c>
    </row>
    <row r="2683" spans="1:10" hidden="1" x14ac:dyDescent="0.35">
      <c r="A2683" t="str">
        <f t="shared" si="41"/>
        <v>Frei Gaspar20232.5</v>
      </c>
      <c r="B2683">
        <v>3126802</v>
      </c>
      <c r="C2683" t="s">
        <v>47</v>
      </c>
      <c r="D2683">
        <v>2023</v>
      </c>
      <c r="E2683">
        <v>6</v>
      </c>
      <c r="F2683">
        <v>32</v>
      </c>
      <c r="G2683" t="s">
        <v>24</v>
      </c>
      <c r="H2683" t="s">
        <v>18</v>
      </c>
      <c r="I2683" s="1" t="s">
        <v>25</v>
      </c>
      <c r="J2683">
        <v>0.33929999999999999</v>
      </c>
    </row>
    <row r="2684" spans="1:10" hidden="1" x14ac:dyDescent="0.35">
      <c r="A2684" t="str">
        <f t="shared" si="41"/>
        <v>Frei Gaspar20232.8</v>
      </c>
      <c r="B2684">
        <v>3126802</v>
      </c>
      <c r="C2684" t="s">
        <v>47</v>
      </c>
      <c r="D2684">
        <v>2023</v>
      </c>
      <c r="E2684">
        <v>6</v>
      </c>
      <c r="F2684">
        <v>35</v>
      </c>
      <c r="G2684" t="s">
        <v>26</v>
      </c>
      <c r="H2684" t="s">
        <v>18</v>
      </c>
      <c r="I2684" s="1" t="s">
        <v>27</v>
      </c>
    </row>
    <row r="2685" spans="1:10" hidden="1" x14ac:dyDescent="0.35">
      <c r="A2685" t="str">
        <f t="shared" si="41"/>
        <v>Frei Gaspar20234.1</v>
      </c>
      <c r="B2685">
        <v>3126802</v>
      </c>
      <c r="C2685" t="s">
        <v>47</v>
      </c>
      <c r="D2685">
        <v>2023</v>
      </c>
      <c r="E2685">
        <v>6</v>
      </c>
      <c r="F2685">
        <v>44</v>
      </c>
      <c r="G2685" t="s">
        <v>28</v>
      </c>
      <c r="H2685" t="s">
        <v>29</v>
      </c>
      <c r="I2685" s="1" t="s">
        <v>30</v>
      </c>
      <c r="J2685">
        <v>2300.69</v>
      </c>
    </row>
    <row r="2686" spans="1:10" hidden="1" x14ac:dyDescent="0.35">
      <c r="A2686" t="str">
        <f t="shared" si="41"/>
        <v>Frei Gaspar20234.10</v>
      </c>
      <c r="B2686">
        <v>3126802</v>
      </c>
      <c r="C2686" t="s">
        <v>47</v>
      </c>
      <c r="D2686">
        <v>2023</v>
      </c>
      <c r="E2686">
        <v>6</v>
      </c>
      <c r="F2686">
        <v>58</v>
      </c>
      <c r="G2686" t="s">
        <v>31</v>
      </c>
      <c r="H2686" t="s">
        <v>29</v>
      </c>
      <c r="I2686" s="1" t="s">
        <v>32</v>
      </c>
      <c r="J2686">
        <v>5113</v>
      </c>
    </row>
    <row r="2687" spans="1:10" hidden="1" x14ac:dyDescent="0.35">
      <c r="A2687" t="str">
        <f t="shared" si="41"/>
        <v>Frei Gaspar20234.11</v>
      </c>
      <c r="B2687">
        <v>3126802</v>
      </c>
      <c r="C2687" t="s">
        <v>47</v>
      </c>
      <c r="D2687">
        <v>2023</v>
      </c>
      <c r="E2687">
        <v>6</v>
      </c>
      <c r="F2687">
        <v>59</v>
      </c>
      <c r="G2687" t="s">
        <v>33</v>
      </c>
      <c r="H2687" t="s">
        <v>29</v>
      </c>
      <c r="I2687" s="1" t="s">
        <v>34</v>
      </c>
      <c r="J2687">
        <v>971.61</v>
      </c>
    </row>
    <row r="2688" spans="1:10" hidden="1" x14ac:dyDescent="0.35">
      <c r="A2688" t="str">
        <f t="shared" si="41"/>
        <v>Frei Gaspar20234.2</v>
      </c>
      <c r="B2688">
        <v>3126802</v>
      </c>
      <c r="C2688" t="s">
        <v>47</v>
      </c>
      <c r="D2688">
        <v>2023</v>
      </c>
      <c r="E2688">
        <v>6</v>
      </c>
      <c r="F2688">
        <v>45</v>
      </c>
      <c r="G2688" t="s">
        <v>35</v>
      </c>
      <c r="H2688" t="s">
        <v>29</v>
      </c>
      <c r="I2688" s="1" t="s">
        <v>36</v>
      </c>
      <c r="J2688">
        <v>14001.79</v>
      </c>
    </row>
    <row r="2689" spans="1:10" hidden="1" x14ac:dyDescent="0.35">
      <c r="A2689" t="str">
        <f t="shared" si="41"/>
        <v>Frei Gaspar20234.8</v>
      </c>
      <c r="B2689">
        <v>3126802</v>
      </c>
      <c r="C2689" t="s">
        <v>47</v>
      </c>
      <c r="D2689">
        <v>2023</v>
      </c>
      <c r="E2689">
        <v>6</v>
      </c>
      <c r="F2689">
        <v>56</v>
      </c>
      <c r="G2689" t="s">
        <v>37</v>
      </c>
      <c r="H2689" t="s">
        <v>29</v>
      </c>
      <c r="I2689" s="1" t="s">
        <v>38</v>
      </c>
      <c r="J2689">
        <v>28891.200000000001</v>
      </c>
    </row>
    <row r="2690" spans="1:10" hidden="1" x14ac:dyDescent="0.35">
      <c r="A2690" t="str">
        <f t="shared" si="41"/>
        <v>Frei Gaspar20234.9</v>
      </c>
      <c r="B2690">
        <v>3126802</v>
      </c>
      <c r="C2690" t="s">
        <v>47</v>
      </c>
      <c r="D2690">
        <v>2023</v>
      </c>
      <c r="E2690">
        <v>6</v>
      </c>
      <c r="F2690">
        <v>57</v>
      </c>
      <c r="G2690" t="s">
        <v>39</v>
      </c>
      <c r="H2690" t="s">
        <v>29</v>
      </c>
      <c r="I2690" s="1" t="s">
        <v>40</v>
      </c>
      <c r="J2690">
        <v>28891.200000000001</v>
      </c>
    </row>
    <row r="2691" spans="1:10" hidden="1" x14ac:dyDescent="0.35">
      <c r="A2691" t="str">
        <f t="shared" si="41"/>
        <v>Fronteira dos Vales20231.1</v>
      </c>
      <c r="B2691">
        <v>3127057</v>
      </c>
      <c r="C2691" t="s">
        <v>48</v>
      </c>
      <c r="D2691">
        <v>2023</v>
      </c>
      <c r="E2691">
        <v>6</v>
      </c>
      <c r="F2691">
        <v>24</v>
      </c>
      <c r="G2691" t="s">
        <v>10</v>
      </c>
      <c r="H2691" t="s">
        <v>11</v>
      </c>
      <c r="I2691" s="1" t="s">
        <v>12</v>
      </c>
      <c r="J2691">
        <v>0.30509999999999998</v>
      </c>
    </row>
    <row r="2692" spans="1:10" hidden="1" x14ac:dyDescent="0.35">
      <c r="A2692" t="str">
        <f t="shared" ref="A2692:A2755" si="42">C2692&amp;D2692&amp;G2692</f>
        <v>Fronteira dos Vales20231.2</v>
      </c>
      <c r="B2692">
        <v>3127057</v>
      </c>
      <c r="C2692" t="s">
        <v>48</v>
      </c>
      <c r="D2692">
        <v>2023</v>
      </c>
      <c r="E2692">
        <v>6</v>
      </c>
      <c r="F2692">
        <v>67</v>
      </c>
      <c r="G2692" t="s">
        <v>13</v>
      </c>
      <c r="H2692" t="s">
        <v>11</v>
      </c>
      <c r="I2692" s="1" t="s">
        <v>14</v>
      </c>
      <c r="J2692">
        <v>0.91610000000000003</v>
      </c>
    </row>
    <row r="2693" spans="1:10" hidden="1" x14ac:dyDescent="0.35">
      <c r="A2693" t="str">
        <f t="shared" si="42"/>
        <v>Fronteira dos Vales20231.3</v>
      </c>
      <c r="B2693">
        <v>3127057</v>
      </c>
      <c r="C2693" t="s">
        <v>48</v>
      </c>
      <c r="D2693">
        <v>2023</v>
      </c>
      <c r="E2693">
        <v>6</v>
      </c>
      <c r="F2693">
        <v>68</v>
      </c>
      <c r="G2693" t="s">
        <v>15</v>
      </c>
      <c r="H2693" t="s">
        <v>11</v>
      </c>
      <c r="I2693" s="1" t="s">
        <v>16</v>
      </c>
      <c r="J2693">
        <v>8.1900000000000001E-2</v>
      </c>
    </row>
    <row r="2694" spans="1:10" hidden="1" x14ac:dyDescent="0.35">
      <c r="A2694" t="str">
        <f t="shared" si="42"/>
        <v>Fronteira dos Vales20232.1</v>
      </c>
      <c r="B2694">
        <v>3127057</v>
      </c>
      <c r="C2694" t="s">
        <v>48</v>
      </c>
      <c r="D2694">
        <v>2023</v>
      </c>
      <c r="E2694">
        <v>6</v>
      </c>
      <c r="F2694">
        <v>28</v>
      </c>
      <c r="G2694" t="s">
        <v>17</v>
      </c>
      <c r="H2694" t="s">
        <v>18</v>
      </c>
      <c r="I2694" s="1" t="s">
        <v>19</v>
      </c>
      <c r="J2694">
        <v>8.72E-2</v>
      </c>
    </row>
    <row r="2695" spans="1:10" hidden="1" x14ac:dyDescent="0.35">
      <c r="A2695" t="str">
        <f t="shared" si="42"/>
        <v>Fronteira dos Vales20232.2</v>
      </c>
      <c r="B2695">
        <v>3127057</v>
      </c>
      <c r="C2695" t="s">
        <v>48</v>
      </c>
      <c r="D2695">
        <v>2023</v>
      </c>
      <c r="E2695">
        <v>6</v>
      </c>
      <c r="F2695">
        <v>29</v>
      </c>
      <c r="G2695" t="s">
        <v>20</v>
      </c>
      <c r="H2695" t="s">
        <v>18</v>
      </c>
      <c r="I2695" s="1" t="s">
        <v>21</v>
      </c>
      <c r="J2695">
        <v>0.82889999999999997</v>
      </c>
    </row>
    <row r="2696" spans="1:10" hidden="1" x14ac:dyDescent="0.35">
      <c r="A2696" t="str">
        <f t="shared" si="42"/>
        <v>Fronteira dos Vales20232.4</v>
      </c>
      <c r="B2696">
        <v>3127057</v>
      </c>
      <c r="C2696" t="s">
        <v>48</v>
      </c>
      <c r="D2696">
        <v>2023</v>
      </c>
      <c r="E2696">
        <v>6</v>
      </c>
      <c r="F2696">
        <v>31</v>
      </c>
      <c r="G2696" t="s">
        <v>22</v>
      </c>
      <c r="H2696" t="s">
        <v>18</v>
      </c>
      <c r="I2696" s="1" t="s">
        <v>23</v>
      </c>
      <c r="J2696">
        <v>6.7900000000000002E-2</v>
      </c>
    </row>
    <row r="2697" spans="1:10" hidden="1" x14ac:dyDescent="0.35">
      <c r="A2697" t="str">
        <f t="shared" si="42"/>
        <v>Fronteira dos Vales20232.5</v>
      </c>
      <c r="B2697">
        <v>3127057</v>
      </c>
      <c r="C2697" t="s">
        <v>48</v>
      </c>
      <c r="D2697">
        <v>2023</v>
      </c>
      <c r="E2697">
        <v>6</v>
      </c>
      <c r="F2697">
        <v>32</v>
      </c>
      <c r="G2697" t="s">
        <v>24</v>
      </c>
      <c r="H2697" t="s">
        <v>18</v>
      </c>
      <c r="I2697" s="1" t="s">
        <v>25</v>
      </c>
      <c r="J2697">
        <v>0.76180000000000003</v>
      </c>
    </row>
    <row r="2698" spans="1:10" hidden="1" x14ac:dyDescent="0.35">
      <c r="A2698" t="str">
        <f t="shared" si="42"/>
        <v>Fronteira dos Vales20232.8</v>
      </c>
      <c r="B2698">
        <v>3127057</v>
      </c>
      <c r="C2698" t="s">
        <v>48</v>
      </c>
      <c r="D2698">
        <v>2023</v>
      </c>
      <c r="E2698">
        <v>6</v>
      </c>
      <c r="F2698">
        <v>35</v>
      </c>
      <c r="G2698" t="s">
        <v>26</v>
      </c>
      <c r="H2698" t="s">
        <v>18</v>
      </c>
      <c r="I2698" s="1" t="s">
        <v>27</v>
      </c>
      <c r="J2698">
        <v>0.2084</v>
      </c>
    </row>
    <row r="2699" spans="1:10" hidden="1" x14ac:dyDescent="0.35">
      <c r="A2699" t="str">
        <f t="shared" si="42"/>
        <v>Fronteira dos Vales20234.1</v>
      </c>
      <c r="B2699">
        <v>3127057</v>
      </c>
      <c r="C2699" t="s">
        <v>48</v>
      </c>
      <c r="D2699">
        <v>2023</v>
      </c>
      <c r="E2699">
        <v>6</v>
      </c>
      <c r="F2699">
        <v>44</v>
      </c>
      <c r="G2699" t="s">
        <v>28</v>
      </c>
      <c r="H2699" t="s">
        <v>29</v>
      </c>
      <c r="I2699" s="1" t="s">
        <v>30</v>
      </c>
      <c r="J2699">
        <v>4164.16</v>
      </c>
    </row>
    <row r="2700" spans="1:10" hidden="1" x14ac:dyDescent="0.35">
      <c r="A2700" t="str">
        <f t="shared" si="42"/>
        <v>Fronteira dos Vales20234.10</v>
      </c>
      <c r="B2700">
        <v>3127057</v>
      </c>
      <c r="C2700" t="s">
        <v>48</v>
      </c>
      <c r="D2700">
        <v>2023</v>
      </c>
      <c r="E2700">
        <v>6</v>
      </c>
      <c r="F2700">
        <v>58</v>
      </c>
      <c r="G2700" t="s">
        <v>31</v>
      </c>
      <c r="H2700" t="s">
        <v>29</v>
      </c>
      <c r="I2700" s="1" t="s">
        <v>32</v>
      </c>
      <c r="J2700">
        <v>5884.28</v>
      </c>
    </row>
    <row r="2701" spans="1:10" hidden="1" x14ac:dyDescent="0.35">
      <c r="A2701" t="str">
        <f t="shared" si="42"/>
        <v>Fronteira dos Vales20234.11</v>
      </c>
      <c r="B2701">
        <v>3127057</v>
      </c>
      <c r="C2701" t="s">
        <v>48</v>
      </c>
      <c r="D2701">
        <v>2023</v>
      </c>
      <c r="E2701">
        <v>6</v>
      </c>
      <c r="F2701">
        <v>59</v>
      </c>
      <c r="G2701" t="s">
        <v>33</v>
      </c>
      <c r="H2701" t="s">
        <v>29</v>
      </c>
      <c r="I2701" s="1" t="s">
        <v>34</v>
      </c>
    </row>
    <row r="2702" spans="1:10" hidden="1" x14ac:dyDescent="0.35">
      <c r="A2702" t="str">
        <f t="shared" si="42"/>
        <v>Fronteira dos Vales20234.2</v>
      </c>
      <c r="B2702">
        <v>3127057</v>
      </c>
      <c r="C2702" t="s">
        <v>48</v>
      </c>
      <c r="D2702">
        <v>2023</v>
      </c>
      <c r="E2702">
        <v>6</v>
      </c>
      <c r="F2702">
        <v>45</v>
      </c>
      <c r="G2702" t="s">
        <v>35</v>
      </c>
      <c r="H2702" t="s">
        <v>29</v>
      </c>
      <c r="I2702" s="1" t="s">
        <v>36</v>
      </c>
      <c r="J2702">
        <v>17626.88</v>
      </c>
    </row>
    <row r="2703" spans="1:10" hidden="1" x14ac:dyDescent="0.35">
      <c r="A2703" t="str">
        <f t="shared" si="42"/>
        <v>Fronteira dos Vales20234.8</v>
      </c>
      <c r="B2703">
        <v>3127057</v>
      </c>
      <c r="C2703" t="s">
        <v>48</v>
      </c>
      <c r="D2703">
        <v>2023</v>
      </c>
      <c r="E2703">
        <v>6</v>
      </c>
      <c r="F2703">
        <v>56</v>
      </c>
      <c r="G2703" t="s">
        <v>37</v>
      </c>
      <c r="H2703" t="s">
        <v>29</v>
      </c>
      <c r="I2703" s="1" t="s">
        <v>38</v>
      </c>
      <c r="J2703">
        <v>16800.169999999998</v>
      </c>
    </row>
    <row r="2704" spans="1:10" hidden="1" x14ac:dyDescent="0.35">
      <c r="A2704" t="str">
        <f t="shared" si="42"/>
        <v>Fronteira dos Vales20234.9</v>
      </c>
      <c r="B2704">
        <v>3127057</v>
      </c>
      <c r="C2704" t="s">
        <v>48</v>
      </c>
      <c r="D2704">
        <v>2023</v>
      </c>
      <c r="E2704">
        <v>6</v>
      </c>
      <c r="F2704">
        <v>57</v>
      </c>
      <c r="G2704" t="s">
        <v>39</v>
      </c>
      <c r="H2704" t="s">
        <v>29</v>
      </c>
      <c r="I2704" s="1" t="s">
        <v>40</v>
      </c>
      <c r="J2704">
        <v>16800.169999999998</v>
      </c>
    </row>
    <row r="2705" spans="1:10" hidden="1" x14ac:dyDescent="0.35">
      <c r="A2705" t="str">
        <f t="shared" si="42"/>
        <v>Itaipé20231.1</v>
      </c>
      <c r="B2705">
        <v>3132305</v>
      </c>
      <c r="C2705" t="s">
        <v>49</v>
      </c>
      <c r="D2705">
        <v>2023</v>
      </c>
      <c r="E2705">
        <v>6</v>
      </c>
      <c r="F2705">
        <v>24</v>
      </c>
      <c r="G2705" t="s">
        <v>10</v>
      </c>
      <c r="H2705" t="s">
        <v>11</v>
      </c>
      <c r="I2705" s="1" t="s">
        <v>12</v>
      </c>
      <c r="J2705">
        <v>0.28360000000000002</v>
      </c>
    </row>
    <row r="2706" spans="1:10" hidden="1" x14ac:dyDescent="0.35">
      <c r="A2706" t="str">
        <f t="shared" si="42"/>
        <v>Itaipé20231.2</v>
      </c>
      <c r="B2706">
        <v>3132305</v>
      </c>
      <c r="C2706" t="s">
        <v>49</v>
      </c>
      <c r="D2706">
        <v>2023</v>
      </c>
      <c r="E2706">
        <v>6</v>
      </c>
      <c r="F2706">
        <v>67</v>
      </c>
      <c r="G2706" t="s">
        <v>13</v>
      </c>
      <c r="H2706" t="s">
        <v>11</v>
      </c>
      <c r="I2706" s="1" t="s">
        <v>14</v>
      </c>
      <c r="J2706">
        <v>0.85</v>
      </c>
    </row>
    <row r="2707" spans="1:10" hidden="1" x14ac:dyDescent="0.35">
      <c r="A2707" t="str">
        <f t="shared" si="42"/>
        <v>Itaipé20231.3</v>
      </c>
      <c r="B2707">
        <v>3132305</v>
      </c>
      <c r="C2707" t="s">
        <v>49</v>
      </c>
      <c r="D2707">
        <v>2023</v>
      </c>
      <c r="E2707">
        <v>6</v>
      </c>
      <c r="F2707">
        <v>68</v>
      </c>
      <c r="G2707" t="s">
        <v>15</v>
      </c>
      <c r="H2707" t="s">
        <v>11</v>
      </c>
      <c r="I2707" s="1" t="s">
        <v>16</v>
      </c>
      <c r="J2707">
        <v>0.15</v>
      </c>
    </row>
    <row r="2708" spans="1:10" hidden="1" x14ac:dyDescent="0.35">
      <c r="A2708" t="str">
        <f t="shared" si="42"/>
        <v>Itaipé20232.1</v>
      </c>
      <c r="B2708">
        <v>3132305</v>
      </c>
      <c r="C2708" t="s">
        <v>49</v>
      </c>
      <c r="D2708">
        <v>2023</v>
      </c>
      <c r="E2708">
        <v>6</v>
      </c>
      <c r="F2708">
        <v>28</v>
      </c>
      <c r="G2708" t="s">
        <v>17</v>
      </c>
      <c r="H2708" t="s">
        <v>18</v>
      </c>
      <c r="I2708" s="1" t="s">
        <v>19</v>
      </c>
      <c r="J2708">
        <v>0.1079</v>
      </c>
    </row>
    <row r="2709" spans="1:10" hidden="1" x14ac:dyDescent="0.35">
      <c r="A2709" t="str">
        <f t="shared" si="42"/>
        <v>Itaipé20232.2</v>
      </c>
      <c r="B2709">
        <v>3132305</v>
      </c>
      <c r="C2709" t="s">
        <v>49</v>
      </c>
      <c r="D2709">
        <v>2023</v>
      </c>
      <c r="E2709">
        <v>6</v>
      </c>
      <c r="F2709">
        <v>29</v>
      </c>
      <c r="G2709" t="s">
        <v>20</v>
      </c>
      <c r="H2709" t="s">
        <v>18</v>
      </c>
      <c r="I2709" s="1" t="s">
        <v>21</v>
      </c>
      <c r="J2709">
        <v>0.90739999999999998</v>
      </c>
    </row>
    <row r="2710" spans="1:10" hidden="1" x14ac:dyDescent="0.35">
      <c r="A2710" t="str">
        <f t="shared" si="42"/>
        <v>Itaipé20232.4</v>
      </c>
      <c r="B2710">
        <v>3132305</v>
      </c>
      <c r="C2710" t="s">
        <v>49</v>
      </c>
      <c r="D2710">
        <v>2023</v>
      </c>
      <c r="E2710">
        <v>6</v>
      </c>
      <c r="F2710">
        <v>31</v>
      </c>
      <c r="G2710" t="s">
        <v>22</v>
      </c>
      <c r="H2710" t="s">
        <v>18</v>
      </c>
      <c r="I2710" s="1" t="s">
        <v>23</v>
      </c>
      <c r="J2710">
        <v>2.8199999999999999E-2</v>
      </c>
    </row>
    <row r="2711" spans="1:10" hidden="1" x14ac:dyDescent="0.35">
      <c r="A2711" t="str">
        <f t="shared" si="42"/>
        <v>Itaipé20232.5</v>
      </c>
      <c r="B2711">
        <v>3132305</v>
      </c>
      <c r="C2711" t="s">
        <v>49</v>
      </c>
      <c r="D2711">
        <v>2023</v>
      </c>
      <c r="E2711">
        <v>6</v>
      </c>
      <c r="F2711">
        <v>32</v>
      </c>
      <c r="G2711" t="s">
        <v>24</v>
      </c>
      <c r="H2711" t="s">
        <v>18</v>
      </c>
      <c r="I2711" s="1" t="s">
        <v>25</v>
      </c>
      <c r="J2711">
        <v>0.34079999999999999</v>
      </c>
    </row>
    <row r="2712" spans="1:10" hidden="1" x14ac:dyDescent="0.35">
      <c r="A2712" t="str">
        <f t="shared" si="42"/>
        <v>Itaipé20232.8</v>
      </c>
      <c r="B2712">
        <v>3132305</v>
      </c>
      <c r="C2712" t="s">
        <v>49</v>
      </c>
      <c r="D2712">
        <v>2023</v>
      </c>
      <c r="E2712">
        <v>6</v>
      </c>
      <c r="F2712">
        <v>35</v>
      </c>
      <c r="G2712" t="s">
        <v>26</v>
      </c>
      <c r="H2712" t="s">
        <v>18</v>
      </c>
      <c r="I2712" s="1" t="s">
        <v>27</v>
      </c>
    </row>
    <row r="2713" spans="1:10" hidden="1" x14ac:dyDescent="0.35">
      <c r="A2713" t="str">
        <f t="shared" si="42"/>
        <v>Itaipé20234.1</v>
      </c>
      <c r="B2713">
        <v>3132305</v>
      </c>
      <c r="C2713" t="s">
        <v>49</v>
      </c>
      <c r="D2713">
        <v>2023</v>
      </c>
      <c r="E2713">
        <v>6</v>
      </c>
      <c r="F2713">
        <v>44</v>
      </c>
      <c r="G2713" t="s">
        <v>28</v>
      </c>
      <c r="H2713" t="s">
        <v>29</v>
      </c>
      <c r="I2713" s="1" t="s">
        <v>30</v>
      </c>
      <c r="J2713">
        <v>2156.2199999999998</v>
      </c>
    </row>
    <row r="2714" spans="1:10" hidden="1" x14ac:dyDescent="0.35">
      <c r="A2714" t="str">
        <f t="shared" si="42"/>
        <v>Itaipé20234.10</v>
      </c>
      <c r="B2714">
        <v>3132305</v>
      </c>
      <c r="C2714" t="s">
        <v>49</v>
      </c>
      <c r="D2714">
        <v>2023</v>
      </c>
      <c r="E2714">
        <v>6</v>
      </c>
      <c r="F2714">
        <v>58</v>
      </c>
      <c r="G2714" t="s">
        <v>31</v>
      </c>
      <c r="H2714" t="s">
        <v>29</v>
      </c>
      <c r="I2714" s="1" t="s">
        <v>32</v>
      </c>
      <c r="J2714">
        <v>5558.26</v>
      </c>
    </row>
    <row r="2715" spans="1:10" hidden="1" x14ac:dyDescent="0.35">
      <c r="A2715" t="str">
        <f t="shared" si="42"/>
        <v>Itaipé20234.11</v>
      </c>
      <c r="B2715">
        <v>3132305</v>
      </c>
      <c r="C2715" t="s">
        <v>49</v>
      </c>
      <c r="D2715">
        <v>2023</v>
      </c>
      <c r="E2715">
        <v>6</v>
      </c>
      <c r="F2715">
        <v>59</v>
      </c>
      <c r="G2715" t="s">
        <v>33</v>
      </c>
      <c r="H2715" t="s">
        <v>29</v>
      </c>
      <c r="I2715" s="1" t="s">
        <v>34</v>
      </c>
      <c r="J2715">
        <v>810.03</v>
      </c>
    </row>
    <row r="2716" spans="1:10" hidden="1" x14ac:dyDescent="0.35">
      <c r="A2716" t="str">
        <f t="shared" si="42"/>
        <v>Itaipé20234.2</v>
      </c>
      <c r="B2716">
        <v>3132305</v>
      </c>
      <c r="C2716" t="s">
        <v>49</v>
      </c>
      <c r="D2716">
        <v>2023</v>
      </c>
      <c r="E2716">
        <v>6</v>
      </c>
      <c r="F2716">
        <v>45</v>
      </c>
      <c r="G2716" t="s">
        <v>35</v>
      </c>
      <c r="H2716" t="s">
        <v>29</v>
      </c>
      <c r="I2716" s="1" t="s">
        <v>36</v>
      </c>
      <c r="J2716">
        <v>12686.85</v>
      </c>
    </row>
    <row r="2717" spans="1:10" hidden="1" x14ac:dyDescent="0.35">
      <c r="A2717" t="str">
        <f t="shared" si="42"/>
        <v>Itaipé20234.8</v>
      </c>
      <c r="B2717">
        <v>3132305</v>
      </c>
      <c r="C2717" t="s">
        <v>49</v>
      </c>
      <c r="D2717">
        <v>2023</v>
      </c>
      <c r="E2717">
        <v>6</v>
      </c>
      <c r="F2717">
        <v>56</v>
      </c>
      <c r="G2717" t="s">
        <v>37</v>
      </c>
      <c r="H2717" t="s">
        <v>29</v>
      </c>
      <c r="I2717" s="1" t="s">
        <v>38</v>
      </c>
      <c r="J2717">
        <v>25050.46</v>
      </c>
    </row>
    <row r="2718" spans="1:10" hidden="1" x14ac:dyDescent="0.35">
      <c r="A2718" t="str">
        <f t="shared" si="42"/>
        <v>Itaipé20234.9</v>
      </c>
      <c r="B2718">
        <v>3132305</v>
      </c>
      <c r="C2718" t="s">
        <v>49</v>
      </c>
      <c r="D2718">
        <v>2023</v>
      </c>
      <c r="E2718">
        <v>6</v>
      </c>
      <c r="F2718">
        <v>57</v>
      </c>
      <c r="G2718" t="s">
        <v>39</v>
      </c>
      <c r="H2718" t="s">
        <v>29</v>
      </c>
      <c r="I2718" s="1" t="s">
        <v>40</v>
      </c>
      <c r="J2718">
        <v>25050.46</v>
      </c>
    </row>
    <row r="2719" spans="1:10" hidden="1" x14ac:dyDescent="0.35">
      <c r="A2719" t="str">
        <f t="shared" si="42"/>
        <v>Ladainha20231.1</v>
      </c>
      <c r="B2719">
        <v>3137007</v>
      </c>
      <c r="C2719" t="s">
        <v>50</v>
      </c>
      <c r="D2719">
        <v>2023</v>
      </c>
      <c r="E2719">
        <v>6</v>
      </c>
      <c r="F2719">
        <v>24</v>
      </c>
      <c r="G2719" t="s">
        <v>10</v>
      </c>
      <c r="H2719" t="s">
        <v>11</v>
      </c>
      <c r="I2719" s="1" t="s">
        <v>12</v>
      </c>
      <c r="J2719">
        <v>0.2641</v>
      </c>
    </row>
    <row r="2720" spans="1:10" hidden="1" x14ac:dyDescent="0.35">
      <c r="A2720" t="str">
        <f t="shared" si="42"/>
        <v>Ladainha20231.2</v>
      </c>
      <c r="B2720">
        <v>3137007</v>
      </c>
      <c r="C2720" t="s">
        <v>50</v>
      </c>
      <c r="D2720">
        <v>2023</v>
      </c>
      <c r="E2720">
        <v>6</v>
      </c>
      <c r="F2720">
        <v>67</v>
      </c>
      <c r="G2720" t="s">
        <v>13</v>
      </c>
      <c r="H2720" t="s">
        <v>11</v>
      </c>
      <c r="I2720" s="1" t="s">
        <v>14</v>
      </c>
      <c r="J2720">
        <v>0.99829999999999997</v>
      </c>
    </row>
    <row r="2721" spans="1:10" hidden="1" x14ac:dyDescent="0.35">
      <c r="A2721" t="str">
        <f t="shared" si="42"/>
        <v>Ladainha20231.3</v>
      </c>
      <c r="B2721">
        <v>3137007</v>
      </c>
      <c r="C2721" t="s">
        <v>50</v>
      </c>
      <c r="D2721">
        <v>2023</v>
      </c>
      <c r="E2721">
        <v>6</v>
      </c>
      <c r="F2721">
        <v>68</v>
      </c>
      <c r="G2721" t="s">
        <v>15</v>
      </c>
      <c r="H2721" t="s">
        <v>11</v>
      </c>
      <c r="I2721" s="1" t="s">
        <v>16</v>
      </c>
    </row>
    <row r="2722" spans="1:10" hidden="1" x14ac:dyDescent="0.35">
      <c r="A2722" t="str">
        <f t="shared" si="42"/>
        <v>Ladainha20232.1</v>
      </c>
      <c r="B2722">
        <v>3137007</v>
      </c>
      <c r="C2722" t="s">
        <v>50</v>
      </c>
      <c r="D2722">
        <v>2023</v>
      </c>
      <c r="E2722">
        <v>6</v>
      </c>
      <c r="F2722">
        <v>28</v>
      </c>
      <c r="G2722" t="s">
        <v>17</v>
      </c>
      <c r="H2722" t="s">
        <v>18</v>
      </c>
      <c r="I2722" s="1" t="s">
        <v>19</v>
      </c>
      <c r="J2722">
        <v>0.17249999999999999</v>
      </c>
    </row>
    <row r="2723" spans="1:10" hidden="1" x14ac:dyDescent="0.35">
      <c r="A2723" t="str">
        <f t="shared" si="42"/>
        <v>Ladainha20232.2</v>
      </c>
      <c r="B2723">
        <v>3137007</v>
      </c>
      <c r="C2723" t="s">
        <v>50</v>
      </c>
      <c r="D2723">
        <v>2023</v>
      </c>
      <c r="E2723">
        <v>6</v>
      </c>
      <c r="F2723">
        <v>29</v>
      </c>
      <c r="G2723" t="s">
        <v>20</v>
      </c>
      <c r="H2723" t="s">
        <v>18</v>
      </c>
      <c r="I2723" s="1" t="s">
        <v>21</v>
      </c>
      <c r="J2723">
        <v>0.82579999999999998</v>
      </c>
    </row>
    <row r="2724" spans="1:10" hidden="1" x14ac:dyDescent="0.35">
      <c r="A2724" t="str">
        <f t="shared" si="42"/>
        <v>Ladainha20232.4</v>
      </c>
      <c r="B2724">
        <v>3137007</v>
      </c>
      <c r="C2724" t="s">
        <v>50</v>
      </c>
      <c r="D2724">
        <v>2023</v>
      </c>
      <c r="E2724">
        <v>6</v>
      </c>
      <c r="F2724">
        <v>31</v>
      </c>
      <c r="G2724" t="s">
        <v>22</v>
      </c>
      <c r="H2724" t="s">
        <v>18</v>
      </c>
      <c r="I2724" s="1" t="s">
        <v>23</v>
      </c>
      <c r="J2724">
        <v>6.3500000000000001E-2</v>
      </c>
    </row>
    <row r="2725" spans="1:10" hidden="1" x14ac:dyDescent="0.35">
      <c r="A2725" t="str">
        <f t="shared" si="42"/>
        <v>Ladainha20232.5</v>
      </c>
      <c r="B2725">
        <v>3137007</v>
      </c>
      <c r="C2725" t="s">
        <v>50</v>
      </c>
      <c r="D2725">
        <v>2023</v>
      </c>
      <c r="E2725">
        <v>6</v>
      </c>
      <c r="F2725">
        <v>32</v>
      </c>
      <c r="G2725" t="s">
        <v>24</v>
      </c>
      <c r="H2725" t="s">
        <v>18</v>
      </c>
      <c r="I2725" s="1" t="s">
        <v>25</v>
      </c>
      <c r="J2725">
        <v>0.37709999999999999</v>
      </c>
    </row>
    <row r="2726" spans="1:10" hidden="1" x14ac:dyDescent="0.35">
      <c r="A2726" t="str">
        <f t="shared" si="42"/>
        <v>Ladainha20232.8</v>
      </c>
      <c r="B2726">
        <v>3137007</v>
      </c>
      <c r="C2726" t="s">
        <v>50</v>
      </c>
      <c r="D2726">
        <v>2023</v>
      </c>
      <c r="E2726">
        <v>6</v>
      </c>
      <c r="F2726">
        <v>35</v>
      </c>
      <c r="G2726" t="s">
        <v>26</v>
      </c>
      <c r="H2726" t="s">
        <v>18</v>
      </c>
      <c r="I2726" s="1" t="s">
        <v>27</v>
      </c>
      <c r="J2726">
        <v>0.33479999999999999</v>
      </c>
    </row>
    <row r="2727" spans="1:10" hidden="1" x14ac:dyDescent="0.35">
      <c r="A2727" t="str">
        <f t="shared" si="42"/>
        <v>Ladainha20234.1</v>
      </c>
      <c r="B2727">
        <v>3137007</v>
      </c>
      <c r="C2727" t="s">
        <v>50</v>
      </c>
      <c r="D2727">
        <v>2023</v>
      </c>
      <c r="E2727">
        <v>6</v>
      </c>
      <c r="F2727">
        <v>44</v>
      </c>
      <c r="G2727" t="s">
        <v>28</v>
      </c>
      <c r="H2727" t="s">
        <v>29</v>
      </c>
      <c r="I2727" s="1" t="s">
        <v>30</v>
      </c>
      <c r="J2727">
        <v>3378.33</v>
      </c>
    </row>
    <row r="2728" spans="1:10" hidden="1" x14ac:dyDescent="0.35">
      <c r="A2728" t="str">
        <f t="shared" si="42"/>
        <v>Ladainha20234.10</v>
      </c>
      <c r="B2728">
        <v>3137007</v>
      </c>
      <c r="C2728" t="s">
        <v>50</v>
      </c>
      <c r="D2728">
        <v>2023</v>
      </c>
      <c r="E2728">
        <v>6</v>
      </c>
      <c r="F2728">
        <v>58</v>
      </c>
      <c r="G2728" t="s">
        <v>31</v>
      </c>
      <c r="H2728" t="s">
        <v>29</v>
      </c>
      <c r="I2728" s="1" t="s">
        <v>32</v>
      </c>
      <c r="J2728">
        <v>6936.5</v>
      </c>
    </row>
    <row r="2729" spans="1:10" hidden="1" x14ac:dyDescent="0.35">
      <c r="A2729" t="str">
        <f t="shared" si="42"/>
        <v>Ladainha20234.11</v>
      </c>
      <c r="B2729">
        <v>3137007</v>
      </c>
      <c r="C2729" t="s">
        <v>50</v>
      </c>
      <c r="D2729">
        <v>2023</v>
      </c>
      <c r="E2729">
        <v>6</v>
      </c>
      <c r="F2729">
        <v>59</v>
      </c>
      <c r="G2729" t="s">
        <v>33</v>
      </c>
      <c r="H2729" t="s">
        <v>29</v>
      </c>
      <c r="I2729" s="1" t="s">
        <v>34</v>
      </c>
    </row>
    <row r="2730" spans="1:10" hidden="1" x14ac:dyDescent="0.35">
      <c r="A2730" t="str">
        <f t="shared" si="42"/>
        <v>Ladainha20234.2</v>
      </c>
      <c r="B2730">
        <v>3137007</v>
      </c>
      <c r="C2730" t="s">
        <v>50</v>
      </c>
      <c r="D2730">
        <v>2023</v>
      </c>
      <c r="E2730">
        <v>6</v>
      </c>
      <c r="F2730">
        <v>45</v>
      </c>
      <c r="G2730" t="s">
        <v>35</v>
      </c>
      <c r="H2730" t="s">
        <v>29</v>
      </c>
      <c r="I2730" s="1" t="s">
        <v>36</v>
      </c>
      <c r="J2730">
        <v>16100.32</v>
      </c>
    </row>
    <row r="2731" spans="1:10" hidden="1" x14ac:dyDescent="0.35">
      <c r="A2731" t="str">
        <f t="shared" si="42"/>
        <v>Ladainha20234.8</v>
      </c>
      <c r="B2731">
        <v>3137007</v>
      </c>
      <c r="C2731" t="s">
        <v>50</v>
      </c>
      <c r="D2731">
        <v>2023</v>
      </c>
      <c r="E2731">
        <v>6</v>
      </c>
      <c r="F2731">
        <v>56</v>
      </c>
      <c r="G2731" t="s">
        <v>37</v>
      </c>
      <c r="H2731" t="s">
        <v>29</v>
      </c>
      <c r="I2731" s="1" t="s">
        <v>38</v>
      </c>
      <c r="J2731">
        <v>23690.76</v>
      </c>
    </row>
    <row r="2732" spans="1:10" hidden="1" x14ac:dyDescent="0.35">
      <c r="A2732" t="str">
        <f t="shared" si="42"/>
        <v>Ladainha20234.9</v>
      </c>
      <c r="B2732">
        <v>3137007</v>
      </c>
      <c r="C2732" t="s">
        <v>50</v>
      </c>
      <c r="D2732">
        <v>2023</v>
      </c>
      <c r="E2732">
        <v>6</v>
      </c>
      <c r="F2732">
        <v>57</v>
      </c>
      <c r="G2732" t="s">
        <v>39</v>
      </c>
      <c r="H2732" t="s">
        <v>29</v>
      </c>
      <c r="I2732" s="1" t="s">
        <v>40</v>
      </c>
      <c r="J2732">
        <v>23690.76</v>
      </c>
    </row>
    <row r="2733" spans="1:10" hidden="1" x14ac:dyDescent="0.35">
      <c r="A2733" t="str">
        <f t="shared" si="42"/>
        <v>Machacalis20231.1</v>
      </c>
      <c r="B2733">
        <v>3138906</v>
      </c>
      <c r="C2733" t="s">
        <v>51</v>
      </c>
      <c r="D2733">
        <v>2023</v>
      </c>
      <c r="E2733">
        <v>6</v>
      </c>
      <c r="F2733">
        <v>24</v>
      </c>
      <c r="G2733" t="s">
        <v>10</v>
      </c>
      <c r="H2733" t="s">
        <v>11</v>
      </c>
      <c r="I2733" s="1" t="s">
        <v>12</v>
      </c>
      <c r="J2733">
        <v>0.2823</v>
      </c>
    </row>
    <row r="2734" spans="1:10" hidden="1" x14ac:dyDescent="0.35">
      <c r="A2734" t="str">
        <f t="shared" si="42"/>
        <v>Machacalis20231.2</v>
      </c>
      <c r="B2734">
        <v>3138906</v>
      </c>
      <c r="C2734" t="s">
        <v>51</v>
      </c>
      <c r="D2734">
        <v>2023</v>
      </c>
      <c r="E2734">
        <v>6</v>
      </c>
      <c r="F2734">
        <v>67</v>
      </c>
      <c r="G2734" t="s">
        <v>13</v>
      </c>
      <c r="H2734" t="s">
        <v>11</v>
      </c>
      <c r="I2734" s="1" t="s">
        <v>14</v>
      </c>
      <c r="J2734">
        <v>0.92349999999999999</v>
      </c>
    </row>
    <row r="2735" spans="1:10" hidden="1" x14ac:dyDescent="0.35">
      <c r="A2735" t="str">
        <f t="shared" si="42"/>
        <v>Machacalis20231.3</v>
      </c>
      <c r="B2735">
        <v>3138906</v>
      </c>
      <c r="C2735" t="s">
        <v>51</v>
      </c>
      <c r="D2735">
        <v>2023</v>
      </c>
      <c r="E2735">
        <v>6</v>
      </c>
      <c r="F2735">
        <v>68</v>
      </c>
      <c r="G2735" t="s">
        <v>15</v>
      </c>
      <c r="H2735" t="s">
        <v>11</v>
      </c>
      <c r="I2735" s="1" t="s">
        <v>16</v>
      </c>
      <c r="J2735">
        <v>5.7099999999999998E-2</v>
      </c>
    </row>
    <row r="2736" spans="1:10" hidden="1" x14ac:dyDescent="0.35">
      <c r="A2736" t="str">
        <f t="shared" si="42"/>
        <v>Machacalis20232.1</v>
      </c>
      <c r="B2736">
        <v>3138906</v>
      </c>
      <c r="C2736" t="s">
        <v>51</v>
      </c>
      <c r="D2736">
        <v>2023</v>
      </c>
      <c r="E2736">
        <v>6</v>
      </c>
      <c r="F2736">
        <v>28</v>
      </c>
      <c r="G2736" t="s">
        <v>17</v>
      </c>
      <c r="H2736" t="s">
        <v>18</v>
      </c>
      <c r="I2736" s="1" t="s">
        <v>19</v>
      </c>
      <c r="J2736">
        <v>0.32819999999999999</v>
      </c>
    </row>
    <row r="2737" spans="1:10" hidden="1" x14ac:dyDescent="0.35">
      <c r="A2737" t="str">
        <f t="shared" si="42"/>
        <v>Machacalis20232.2</v>
      </c>
      <c r="B2737">
        <v>3138906</v>
      </c>
      <c r="C2737" t="s">
        <v>51</v>
      </c>
      <c r="D2737">
        <v>2023</v>
      </c>
      <c r="E2737">
        <v>6</v>
      </c>
      <c r="F2737">
        <v>29</v>
      </c>
      <c r="G2737" t="s">
        <v>20</v>
      </c>
      <c r="H2737" t="s">
        <v>18</v>
      </c>
      <c r="I2737" s="1" t="s">
        <v>21</v>
      </c>
      <c r="J2737">
        <v>0.60770000000000002</v>
      </c>
    </row>
    <row r="2738" spans="1:10" hidden="1" x14ac:dyDescent="0.35">
      <c r="A2738" t="str">
        <f t="shared" si="42"/>
        <v>Machacalis20232.4</v>
      </c>
      <c r="B2738">
        <v>3138906</v>
      </c>
      <c r="C2738" t="s">
        <v>51</v>
      </c>
      <c r="D2738">
        <v>2023</v>
      </c>
      <c r="E2738">
        <v>6</v>
      </c>
      <c r="F2738">
        <v>31</v>
      </c>
      <c r="G2738" t="s">
        <v>22</v>
      </c>
      <c r="H2738" t="s">
        <v>18</v>
      </c>
      <c r="I2738" s="1" t="s">
        <v>23</v>
      </c>
      <c r="J2738">
        <v>0.1565</v>
      </c>
    </row>
    <row r="2739" spans="1:10" hidden="1" x14ac:dyDescent="0.35">
      <c r="A2739" t="str">
        <f t="shared" si="42"/>
        <v>Machacalis20232.5</v>
      </c>
      <c r="B2739">
        <v>3138906</v>
      </c>
      <c r="C2739" t="s">
        <v>51</v>
      </c>
      <c r="D2739">
        <v>2023</v>
      </c>
      <c r="E2739">
        <v>6</v>
      </c>
      <c r="F2739">
        <v>32</v>
      </c>
      <c r="G2739" t="s">
        <v>24</v>
      </c>
      <c r="H2739" t="s">
        <v>18</v>
      </c>
      <c r="I2739" s="1" t="s">
        <v>25</v>
      </c>
      <c r="J2739">
        <v>0.49070000000000003</v>
      </c>
    </row>
    <row r="2740" spans="1:10" hidden="1" x14ac:dyDescent="0.35">
      <c r="A2740" t="str">
        <f t="shared" si="42"/>
        <v>Machacalis20232.8</v>
      </c>
      <c r="B2740">
        <v>3138906</v>
      </c>
      <c r="C2740" t="s">
        <v>51</v>
      </c>
      <c r="D2740">
        <v>2023</v>
      </c>
      <c r="E2740">
        <v>6</v>
      </c>
      <c r="F2740">
        <v>35</v>
      </c>
      <c r="G2740" t="s">
        <v>26</v>
      </c>
      <c r="H2740" t="s">
        <v>18</v>
      </c>
      <c r="I2740" s="1" t="s">
        <v>27</v>
      </c>
      <c r="J2740">
        <v>0.24030000000000001</v>
      </c>
    </row>
    <row r="2741" spans="1:10" hidden="1" x14ac:dyDescent="0.35">
      <c r="A2741" t="str">
        <f t="shared" si="42"/>
        <v>Machacalis20234.1</v>
      </c>
      <c r="B2741">
        <v>3138906</v>
      </c>
      <c r="C2741" t="s">
        <v>51</v>
      </c>
      <c r="D2741">
        <v>2023</v>
      </c>
      <c r="E2741">
        <v>6</v>
      </c>
      <c r="F2741">
        <v>44</v>
      </c>
      <c r="G2741" t="s">
        <v>28</v>
      </c>
      <c r="H2741" t="s">
        <v>29</v>
      </c>
      <c r="I2741" s="1" t="s">
        <v>30</v>
      </c>
      <c r="J2741">
        <v>6625.2</v>
      </c>
    </row>
    <row r="2742" spans="1:10" hidden="1" x14ac:dyDescent="0.35">
      <c r="A2742" t="str">
        <f t="shared" si="42"/>
        <v>Machacalis20234.10</v>
      </c>
      <c r="B2742">
        <v>3138906</v>
      </c>
      <c r="C2742" t="s">
        <v>51</v>
      </c>
      <c r="D2742">
        <v>2023</v>
      </c>
      <c r="E2742">
        <v>6</v>
      </c>
      <c r="F2742">
        <v>58</v>
      </c>
      <c r="G2742" t="s">
        <v>31</v>
      </c>
      <c r="H2742" t="s">
        <v>29</v>
      </c>
      <c r="I2742" s="1" t="s">
        <v>32</v>
      </c>
      <c r="J2742">
        <v>5829.65</v>
      </c>
    </row>
    <row r="2743" spans="1:10" hidden="1" x14ac:dyDescent="0.35">
      <c r="A2743" t="str">
        <f t="shared" si="42"/>
        <v>Machacalis20234.11</v>
      </c>
      <c r="B2743">
        <v>3138906</v>
      </c>
      <c r="C2743" t="s">
        <v>51</v>
      </c>
      <c r="D2743">
        <v>2023</v>
      </c>
      <c r="E2743">
        <v>6</v>
      </c>
      <c r="F2743">
        <v>59</v>
      </c>
      <c r="G2743" t="s">
        <v>33</v>
      </c>
      <c r="H2743" t="s">
        <v>29</v>
      </c>
      <c r="I2743" s="1" t="s">
        <v>34</v>
      </c>
    </row>
    <row r="2744" spans="1:10" hidden="1" x14ac:dyDescent="0.35">
      <c r="A2744" t="str">
        <f t="shared" si="42"/>
        <v>Machacalis20234.2</v>
      </c>
      <c r="B2744">
        <v>3138906</v>
      </c>
      <c r="C2744" t="s">
        <v>51</v>
      </c>
      <c r="D2744">
        <v>2023</v>
      </c>
      <c r="E2744">
        <v>6</v>
      </c>
      <c r="F2744">
        <v>45</v>
      </c>
      <c r="G2744" t="s">
        <v>35</v>
      </c>
      <c r="H2744" t="s">
        <v>29</v>
      </c>
      <c r="I2744" s="1" t="s">
        <v>36</v>
      </c>
      <c r="J2744">
        <v>12583.3</v>
      </c>
    </row>
    <row r="2745" spans="1:10" hidden="1" x14ac:dyDescent="0.35">
      <c r="A2745" t="str">
        <f t="shared" si="42"/>
        <v>Machacalis20234.8</v>
      </c>
      <c r="B2745">
        <v>3138906</v>
      </c>
      <c r="C2745" t="s">
        <v>51</v>
      </c>
      <c r="D2745">
        <v>2023</v>
      </c>
      <c r="E2745">
        <v>6</v>
      </c>
      <c r="F2745">
        <v>56</v>
      </c>
      <c r="G2745" t="s">
        <v>37</v>
      </c>
      <c r="H2745" t="s">
        <v>29</v>
      </c>
      <c r="I2745" s="1" t="s">
        <v>38</v>
      </c>
      <c r="J2745">
        <v>15967.85</v>
      </c>
    </row>
    <row r="2746" spans="1:10" hidden="1" x14ac:dyDescent="0.35">
      <c r="A2746" t="str">
        <f t="shared" si="42"/>
        <v>Machacalis20234.9</v>
      </c>
      <c r="B2746">
        <v>3138906</v>
      </c>
      <c r="C2746" t="s">
        <v>51</v>
      </c>
      <c r="D2746">
        <v>2023</v>
      </c>
      <c r="E2746">
        <v>6</v>
      </c>
      <c r="F2746">
        <v>57</v>
      </c>
      <c r="G2746" t="s">
        <v>39</v>
      </c>
      <c r="H2746" t="s">
        <v>29</v>
      </c>
      <c r="I2746" s="1" t="s">
        <v>40</v>
      </c>
      <c r="J2746">
        <v>15967.85</v>
      </c>
    </row>
    <row r="2747" spans="1:10" hidden="1" x14ac:dyDescent="0.35">
      <c r="A2747" t="str">
        <f t="shared" si="42"/>
        <v>Malacacheta20231.1</v>
      </c>
      <c r="B2747">
        <v>3139201</v>
      </c>
      <c r="C2747" t="s">
        <v>52</v>
      </c>
      <c r="D2747">
        <v>2023</v>
      </c>
      <c r="E2747">
        <v>6</v>
      </c>
      <c r="F2747">
        <v>24</v>
      </c>
      <c r="G2747" t="s">
        <v>10</v>
      </c>
      <c r="H2747" t="s">
        <v>11</v>
      </c>
      <c r="I2747" s="1" t="s">
        <v>12</v>
      </c>
      <c r="J2747">
        <v>0.31969999999999998</v>
      </c>
    </row>
    <row r="2748" spans="1:10" hidden="1" x14ac:dyDescent="0.35">
      <c r="A2748" t="str">
        <f t="shared" si="42"/>
        <v>Malacacheta20231.2</v>
      </c>
      <c r="B2748">
        <v>3139201</v>
      </c>
      <c r="C2748" t="s">
        <v>52</v>
      </c>
      <c r="D2748">
        <v>2023</v>
      </c>
      <c r="E2748">
        <v>6</v>
      </c>
      <c r="F2748">
        <v>67</v>
      </c>
      <c r="G2748" t="s">
        <v>13</v>
      </c>
      <c r="H2748" t="s">
        <v>11</v>
      </c>
      <c r="I2748" s="1" t="s">
        <v>14</v>
      </c>
      <c r="J2748">
        <v>0.90749999999999997</v>
      </c>
    </row>
    <row r="2749" spans="1:10" hidden="1" x14ac:dyDescent="0.35">
      <c r="A2749" t="str">
        <f t="shared" si="42"/>
        <v>Malacacheta20231.3</v>
      </c>
      <c r="B2749">
        <v>3139201</v>
      </c>
      <c r="C2749" t="s">
        <v>52</v>
      </c>
      <c r="D2749">
        <v>2023</v>
      </c>
      <c r="E2749">
        <v>6</v>
      </c>
      <c r="F2749">
        <v>68</v>
      </c>
      <c r="G2749" t="s">
        <v>15</v>
      </c>
      <c r="H2749" t="s">
        <v>11</v>
      </c>
      <c r="I2749" s="1" t="s">
        <v>16</v>
      </c>
      <c r="J2749">
        <v>4.7500000000000001E-2</v>
      </c>
    </row>
    <row r="2750" spans="1:10" hidden="1" x14ac:dyDescent="0.35">
      <c r="A2750" t="str">
        <f t="shared" si="42"/>
        <v>Malacacheta20232.1</v>
      </c>
      <c r="B2750">
        <v>3139201</v>
      </c>
      <c r="C2750" t="s">
        <v>52</v>
      </c>
      <c r="D2750">
        <v>2023</v>
      </c>
      <c r="E2750">
        <v>6</v>
      </c>
      <c r="F2750">
        <v>28</v>
      </c>
      <c r="G2750" t="s">
        <v>17</v>
      </c>
      <c r="H2750" t="s">
        <v>18</v>
      </c>
      <c r="I2750" s="1" t="s">
        <v>19</v>
      </c>
      <c r="J2750">
        <v>0.5444</v>
      </c>
    </row>
    <row r="2751" spans="1:10" hidden="1" x14ac:dyDescent="0.35">
      <c r="A2751" t="str">
        <f t="shared" si="42"/>
        <v>Malacacheta20232.2</v>
      </c>
      <c r="B2751">
        <v>3139201</v>
      </c>
      <c r="C2751" t="s">
        <v>52</v>
      </c>
      <c r="D2751">
        <v>2023</v>
      </c>
      <c r="E2751">
        <v>6</v>
      </c>
      <c r="F2751">
        <v>29</v>
      </c>
      <c r="G2751" t="s">
        <v>20</v>
      </c>
      <c r="H2751" t="s">
        <v>18</v>
      </c>
      <c r="I2751" s="1" t="s">
        <v>21</v>
      </c>
      <c r="J2751">
        <v>0.28710000000000002</v>
      </c>
    </row>
    <row r="2752" spans="1:10" hidden="1" x14ac:dyDescent="0.35">
      <c r="A2752" t="str">
        <f t="shared" si="42"/>
        <v>Malacacheta20232.4</v>
      </c>
      <c r="B2752">
        <v>3139201</v>
      </c>
      <c r="C2752" t="s">
        <v>52</v>
      </c>
      <c r="D2752">
        <v>2023</v>
      </c>
      <c r="E2752">
        <v>6</v>
      </c>
      <c r="F2752">
        <v>31</v>
      </c>
      <c r="G2752" t="s">
        <v>22</v>
      </c>
      <c r="H2752" t="s">
        <v>18</v>
      </c>
      <c r="I2752" s="1" t="s">
        <v>23</v>
      </c>
      <c r="J2752">
        <v>0.28699999999999998</v>
      </c>
    </row>
    <row r="2753" spans="1:10" hidden="1" x14ac:dyDescent="0.35">
      <c r="A2753" t="str">
        <f t="shared" si="42"/>
        <v>Malacacheta20232.5</v>
      </c>
      <c r="B2753">
        <v>3139201</v>
      </c>
      <c r="C2753" t="s">
        <v>52</v>
      </c>
      <c r="D2753">
        <v>2023</v>
      </c>
      <c r="E2753">
        <v>6</v>
      </c>
      <c r="F2753">
        <v>32</v>
      </c>
      <c r="G2753" t="s">
        <v>24</v>
      </c>
      <c r="H2753" t="s">
        <v>18</v>
      </c>
      <c r="I2753" s="1" t="s">
        <v>25</v>
      </c>
      <c r="J2753">
        <v>0.48820000000000002</v>
      </c>
    </row>
    <row r="2754" spans="1:10" hidden="1" x14ac:dyDescent="0.35">
      <c r="A2754" t="str">
        <f t="shared" si="42"/>
        <v>Malacacheta20232.8</v>
      </c>
      <c r="B2754">
        <v>3139201</v>
      </c>
      <c r="C2754" t="s">
        <v>52</v>
      </c>
      <c r="D2754">
        <v>2023</v>
      </c>
      <c r="E2754">
        <v>6</v>
      </c>
      <c r="F2754">
        <v>35</v>
      </c>
      <c r="G2754" t="s">
        <v>26</v>
      </c>
      <c r="H2754" t="s">
        <v>18</v>
      </c>
      <c r="I2754" s="1" t="s">
        <v>27</v>
      </c>
      <c r="J2754">
        <v>0.2165</v>
      </c>
    </row>
    <row r="2755" spans="1:10" hidden="1" x14ac:dyDescent="0.35">
      <c r="A2755" t="str">
        <f t="shared" si="42"/>
        <v>Malacacheta20234.1</v>
      </c>
      <c r="B2755">
        <v>3139201</v>
      </c>
      <c r="C2755" t="s">
        <v>52</v>
      </c>
      <c r="D2755">
        <v>2023</v>
      </c>
      <c r="E2755">
        <v>6</v>
      </c>
      <c r="F2755">
        <v>44</v>
      </c>
      <c r="G2755" t="s">
        <v>28</v>
      </c>
      <c r="H2755" t="s">
        <v>29</v>
      </c>
      <c r="I2755" s="1" t="s">
        <v>30</v>
      </c>
      <c r="J2755">
        <v>7893.97</v>
      </c>
    </row>
    <row r="2756" spans="1:10" hidden="1" x14ac:dyDescent="0.35">
      <c r="A2756" t="str">
        <f t="shared" ref="A2756:A2819" si="43">C2756&amp;D2756&amp;G2756</f>
        <v>Malacacheta20234.10</v>
      </c>
      <c r="B2756">
        <v>3139201</v>
      </c>
      <c r="C2756" t="s">
        <v>52</v>
      </c>
      <c r="D2756">
        <v>2023</v>
      </c>
      <c r="E2756">
        <v>6</v>
      </c>
      <c r="F2756">
        <v>58</v>
      </c>
      <c r="G2756" t="s">
        <v>31</v>
      </c>
      <c r="H2756" t="s">
        <v>29</v>
      </c>
      <c r="I2756" s="1" t="s">
        <v>32</v>
      </c>
      <c r="J2756">
        <v>4787.82</v>
      </c>
    </row>
    <row r="2757" spans="1:10" hidden="1" x14ac:dyDescent="0.35">
      <c r="A2757" t="str">
        <f t="shared" si="43"/>
        <v>Malacacheta20234.11</v>
      </c>
      <c r="B2757">
        <v>3139201</v>
      </c>
      <c r="C2757" t="s">
        <v>52</v>
      </c>
      <c r="D2757">
        <v>2023</v>
      </c>
      <c r="E2757">
        <v>6</v>
      </c>
      <c r="F2757">
        <v>59</v>
      </c>
      <c r="G2757" t="s">
        <v>33</v>
      </c>
      <c r="H2757" t="s">
        <v>29</v>
      </c>
      <c r="I2757" s="1" t="s">
        <v>34</v>
      </c>
    </row>
    <row r="2758" spans="1:10" hidden="1" x14ac:dyDescent="0.35">
      <c r="A2758" t="str">
        <f t="shared" si="43"/>
        <v>Malacacheta20234.2</v>
      </c>
      <c r="B2758">
        <v>3139201</v>
      </c>
      <c r="C2758" t="s">
        <v>52</v>
      </c>
      <c r="D2758">
        <v>2023</v>
      </c>
      <c r="E2758">
        <v>6</v>
      </c>
      <c r="F2758">
        <v>45</v>
      </c>
      <c r="G2758" t="s">
        <v>35</v>
      </c>
      <c r="H2758" t="s">
        <v>29</v>
      </c>
      <c r="I2758" s="1" t="s">
        <v>36</v>
      </c>
      <c r="J2758">
        <v>15692.89</v>
      </c>
    </row>
    <row r="2759" spans="1:10" hidden="1" x14ac:dyDescent="0.35">
      <c r="A2759" t="str">
        <f t="shared" si="43"/>
        <v>Malacacheta20234.8</v>
      </c>
      <c r="B2759">
        <v>3139201</v>
      </c>
      <c r="C2759" t="s">
        <v>52</v>
      </c>
      <c r="D2759">
        <v>2023</v>
      </c>
      <c r="E2759">
        <v>6</v>
      </c>
      <c r="F2759">
        <v>56</v>
      </c>
      <c r="G2759" t="s">
        <v>37</v>
      </c>
      <c r="H2759" t="s">
        <v>29</v>
      </c>
      <c r="I2759" s="1" t="s">
        <v>38</v>
      </c>
      <c r="J2759">
        <v>13976.02</v>
      </c>
    </row>
    <row r="2760" spans="1:10" hidden="1" x14ac:dyDescent="0.35">
      <c r="A2760" t="str">
        <f t="shared" si="43"/>
        <v>Malacacheta20234.9</v>
      </c>
      <c r="B2760">
        <v>3139201</v>
      </c>
      <c r="C2760" t="s">
        <v>52</v>
      </c>
      <c r="D2760">
        <v>2023</v>
      </c>
      <c r="E2760">
        <v>6</v>
      </c>
      <c r="F2760">
        <v>57</v>
      </c>
      <c r="G2760" t="s">
        <v>39</v>
      </c>
      <c r="H2760" t="s">
        <v>29</v>
      </c>
      <c r="I2760" s="1" t="s">
        <v>40</v>
      </c>
      <c r="J2760">
        <v>13976.02</v>
      </c>
    </row>
    <row r="2761" spans="1:10" hidden="1" x14ac:dyDescent="0.35">
      <c r="A2761" t="str">
        <f t="shared" si="43"/>
        <v>Nanuque20231.1</v>
      </c>
      <c r="B2761">
        <v>3144300</v>
      </c>
      <c r="C2761" t="s">
        <v>53</v>
      </c>
      <c r="D2761">
        <v>2023</v>
      </c>
      <c r="E2761">
        <v>6</v>
      </c>
      <c r="F2761">
        <v>24</v>
      </c>
      <c r="G2761" t="s">
        <v>10</v>
      </c>
      <c r="H2761" t="s">
        <v>11</v>
      </c>
      <c r="I2761" s="1" t="s">
        <v>12</v>
      </c>
      <c r="J2761">
        <v>0.29549999999999998</v>
      </c>
    </row>
    <row r="2762" spans="1:10" hidden="1" x14ac:dyDescent="0.35">
      <c r="A2762" t="str">
        <f t="shared" si="43"/>
        <v>Nanuque20231.2</v>
      </c>
      <c r="B2762">
        <v>3144300</v>
      </c>
      <c r="C2762" t="s">
        <v>53</v>
      </c>
      <c r="D2762">
        <v>2023</v>
      </c>
      <c r="E2762">
        <v>6</v>
      </c>
      <c r="F2762">
        <v>67</v>
      </c>
      <c r="G2762" t="s">
        <v>13</v>
      </c>
      <c r="H2762" t="s">
        <v>11</v>
      </c>
      <c r="I2762" s="1" t="s">
        <v>14</v>
      </c>
      <c r="J2762">
        <v>0.72260000000000002</v>
      </c>
    </row>
    <row r="2763" spans="1:10" hidden="1" x14ac:dyDescent="0.35">
      <c r="A2763" t="str">
        <f t="shared" si="43"/>
        <v>Nanuque20231.3</v>
      </c>
      <c r="B2763">
        <v>3144300</v>
      </c>
      <c r="C2763" t="s">
        <v>53</v>
      </c>
      <c r="D2763">
        <v>2023</v>
      </c>
      <c r="E2763">
        <v>6</v>
      </c>
      <c r="F2763">
        <v>68</v>
      </c>
      <c r="G2763" t="s">
        <v>15</v>
      </c>
      <c r="H2763" t="s">
        <v>11</v>
      </c>
      <c r="I2763" s="1" t="s">
        <v>16</v>
      </c>
      <c r="J2763">
        <v>0.15240000000000001</v>
      </c>
    </row>
    <row r="2764" spans="1:10" hidden="1" x14ac:dyDescent="0.35">
      <c r="A2764" t="str">
        <f t="shared" si="43"/>
        <v>Nanuque20232.1</v>
      </c>
      <c r="B2764">
        <v>3144300</v>
      </c>
      <c r="C2764" t="s">
        <v>53</v>
      </c>
      <c r="D2764">
        <v>2023</v>
      </c>
      <c r="E2764">
        <v>6</v>
      </c>
      <c r="F2764">
        <v>28</v>
      </c>
      <c r="G2764" t="s">
        <v>17</v>
      </c>
      <c r="H2764" t="s">
        <v>18</v>
      </c>
      <c r="I2764" s="1" t="s">
        <v>19</v>
      </c>
      <c r="J2764">
        <v>0.1648</v>
      </c>
    </row>
    <row r="2765" spans="1:10" hidden="1" x14ac:dyDescent="0.35">
      <c r="A2765" t="str">
        <f t="shared" si="43"/>
        <v>Nanuque20232.2</v>
      </c>
      <c r="B2765">
        <v>3144300</v>
      </c>
      <c r="C2765" t="s">
        <v>53</v>
      </c>
      <c r="D2765">
        <v>2023</v>
      </c>
      <c r="E2765">
        <v>6</v>
      </c>
      <c r="F2765">
        <v>29</v>
      </c>
      <c r="G2765" t="s">
        <v>20</v>
      </c>
      <c r="H2765" t="s">
        <v>18</v>
      </c>
      <c r="I2765" s="1" t="s">
        <v>21</v>
      </c>
      <c r="J2765">
        <v>0.68140000000000001</v>
      </c>
    </row>
    <row r="2766" spans="1:10" hidden="1" x14ac:dyDescent="0.35">
      <c r="A2766" t="str">
        <f t="shared" si="43"/>
        <v>Nanuque20232.4</v>
      </c>
      <c r="B2766">
        <v>3144300</v>
      </c>
      <c r="C2766" t="s">
        <v>53</v>
      </c>
      <c r="D2766">
        <v>2023</v>
      </c>
      <c r="E2766">
        <v>6</v>
      </c>
      <c r="F2766">
        <v>31</v>
      </c>
      <c r="G2766" t="s">
        <v>22</v>
      </c>
      <c r="H2766" t="s">
        <v>18</v>
      </c>
      <c r="I2766" s="1" t="s">
        <v>23</v>
      </c>
      <c r="J2766">
        <v>0.22689999999999999</v>
      </c>
    </row>
    <row r="2767" spans="1:10" hidden="1" x14ac:dyDescent="0.35">
      <c r="A2767" t="str">
        <f t="shared" si="43"/>
        <v>Nanuque20232.5</v>
      </c>
      <c r="B2767">
        <v>3144300</v>
      </c>
      <c r="C2767" t="s">
        <v>53</v>
      </c>
      <c r="D2767">
        <v>2023</v>
      </c>
      <c r="E2767">
        <v>6</v>
      </c>
      <c r="F2767">
        <v>32</v>
      </c>
      <c r="G2767" t="s">
        <v>24</v>
      </c>
      <c r="H2767" t="s">
        <v>18</v>
      </c>
      <c r="I2767" s="1" t="s">
        <v>25</v>
      </c>
      <c r="J2767">
        <v>0.62929999999999997</v>
      </c>
    </row>
    <row r="2768" spans="1:10" hidden="1" x14ac:dyDescent="0.35">
      <c r="A2768" t="str">
        <f t="shared" si="43"/>
        <v>Nanuque20232.8</v>
      </c>
      <c r="B2768">
        <v>3144300</v>
      </c>
      <c r="C2768" t="s">
        <v>53</v>
      </c>
      <c r="D2768">
        <v>2023</v>
      </c>
      <c r="E2768">
        <v>6</v>
      </c>
      <c r="F2768">
        <v>35</v>
      </c>
      <c r="G2768" t="s">
        <v>26</v>
      </c>
      <c r="H2768" t="s">
        <v>18</v>
      </c>
      <c r="I2768" s="1" t="s">
        <v>27</v>
      </c>
      <c r="J2768">
        <v>0.17649999999999999</v>
      </c>
    </row>
    <row r="2769" spans="1:10" hidden="1" x14ac:dyDescent="0.35">
      <c r="A2769" t="str">
        <f t="shared" si="43"/>
        <v>Nanuque20234.1</v>
      </c>
      <c r="B2769">
        <v>3144300</v>
      </c>
      <c r="C2769" t="s">
        <v>53</v>
      </c>
      <c r="D2769">
        <v>2023</v>
      </c>
      <c r="E2769">
        <v>6</v>
      </c>
      <c r="F2769">
        <v>44</v>
      </c>
      <c r="G2769" t="s">
        <v>28</v>
      </c>
      <c r="H2769" t="s">
        <v>29</v>
      </c>
      <c r="I2769" s="1" t="s">
        <v>30</v>
      </c>
      <c r="J2769">
        <v>6899.04</v>
      </c>
    </row>
    <row r="2770" spans="1:10" hidden="1" x14ac:dyDescent="0.35">
      <c r="A2770" t="str">
        <f t="shared" si="43"/>
        <v>Nanuque20234.10</v>
      </c>
      <c r="B2770">
        <v>3144300</v>
      </c>
      <c r="C2770" t="s">
        <v>53</v>
      </c>
      <c r="D2770">
        <v>2023</v>
      </c>
      <c r="E2770">
        <v>6</v>
      </c>
      <c r="F2770">
        <v>58</v>
      </c>
      <c r="G2770" t="s">
        <v>31</v>
      </c>
      <c r="H2770" t="s">
        <v>29</v>
      </c>
      <c r="I2770" s="1" t="s">
        <v>32</v>
      </c>
      <c r="J2770">
        <v>5629.71</v>
      </c>
    </row>
    <row r="2771" spans="1:10" hidden="1" x14ac:dyDescent="0.35">
      <c r="A2771" t="str">
        <f t="shared" si="43"/>
        <v>Nanuque20234.11</v>
      </c>
      <c r="B2771">
        <v>3144300</v>
      </c>
      <c r="C2771" t="s">
        <v>53</v>
      </c>
      <c r="D2771">
        <v>2023</v>
      </c>
      <c r="E2771">
        <v>6</v>
      </c>
      <c r="F2771">
        <v>59</v>
      </c>
      <c r="G2771" t="s">
        <v>33</v>
      </c>
      <c r="H2771" t="s">
        <v>29</v>
      </c>
      <c r="I2771" s="1" t="s">
        <v>34</v>
      </c>
      <c r="J2771">
        <v>90.52</v>
      </c>
    </row>
    <row r="2772" spans="1:10" hidden="1" x14ac:dyDescent="0.35">
      <c r="A2772" t="str">
        <f t="shared" si="43"/>
        <v>Nanuque20234.2</v>
      </c>
      <c r="B2772">
        <v>3144300</v>
      </c>
      <c r="C2772" t="s">
        <v>53</v>
      </c>
      <c r="D2772">
        <v>2023</v>
      </c>
      <c r="E2772">
        <v>6</v>
      </c>
      <c r="F2772">
        <v>45</v>
      </c>
      <c r="G2772" t="s">
        <v>35</v>
      </c>
      <c r="H2772" t="s">
        <v>29</v>
      </c>
      <c r="I2772" s="1" t="s">
        <v>36</v>
      </c>
      <c r="J2772">
        <v>18087.14</v>
      </c>
    </row>
    <row r="2773" spans="1:10" hidden="1" x14ac:dyDescent="0.35">
      <c r="A2773" t="str">
        <f t="shared" si="43"/>
        <v>Nanuque20234.8</v>
      </c>
      <c r="B2773">
        <v>3144300</v>
      </c>
      <c r="C2773" t="s">
        <v>53</v>
      </c>
      <c r="D2773">
        <v>2023</v>
      </c>
      <c r="E2773">
        <v>6</v>
      </c>
      <c r="F2773">
        <v>56</v>
      </c>
      <c r="G2773" t="s">
        <v>37</v>
      </c>
      <c r="H2773" t="s">
        <v>29</v>
      </c>
      <c r="I2773" s="1" t="s">
        <v>38</v>
      </c>
      <c r="J2773">
        <v>13677.52</v>
      </c>
    </row>
    <row r="2774" spans="1:10" hidden="1" x14ac:dyDescent="0.35">
      <c r="A2774" t="str">
        <f t="shared" si="43"/>
        <v>Nanuque20234.9</v>
      </c>
      <c r="B2774">
        <v>3144300</v>
      </c>
      <c r="C2774" t="s">
        <v>53</v>
      </c>
      <c r="D2774">
        <v>2023</v>
      </c>
      <c r="E2774">
        <v>6</v>
      </c>
      <c r="F2774">
        <v>57</v>
      </c>
      <c r="G2774" t="s">
        <v>39</v>
      </c>
      <c r="H2774" t="s">
        <v>29</v>
      </c>
      <c r="I2774" s="1" t="s">
        <v>40</v>
      </c>
      <c r="J2774">
        <v>13677.52</v>
      </c>
    </row>
    <row r="2775" spans="1:10" hidden="1" x14ac:dyDescent="0.35">
      <c r="A2775" t="str">
        <f t="shared" si="43"/>
        <v>Novo Oriente de Minas20231.1</v>
      </c>
      <c r="B2775">
        <v>3145356</v>
      </c>
      <c r="C2775" t="s">
        <v>54</v>
      </c>
      <c r="D2775">
        <v>2023</v>
      </c>
      <c r="E2775">
        <v>6</v>
      </c>
      <c r="F2775">
        <v>24</v>
      </c>
      <c r="G2775" t="s">
        <v>10</v>
      </c>
      <c r="H2775" t="s">
        <v>11</v>
      </c>
      <c r="I2775" s="1" t="s">
        <v>12</v>
      </c>
      <c r="J2775">
        <v>0.35920000000000002</v>
      </c>
    </row>
    <row r="2776" spans="1:10" hidden="1" x14ac:dyDescent="0.35">
      <c r="A2776" t="str">
        <f t="shared" si="43"/>
        <v>Novo Oriente de Minas20231.2</v>
      </c>
      <c r="B2776">
        <v>3145356</v>
      </c>
      <c r="C2776" t="s">
        <v>54</v>
      </c>
      <c r="D2776">
        <v>2023</v>
      </c>
      <c r="E2776">
        <v>6</v>
      </c>
      <c r="F2776">
        <v>67</v>
      </c>
      <c r="G2776" t="s">
        <v>13</v>
      </c>
      <c r="H2776" t="s">
        <v>11</v>
      </c>
      <c r="I2776" s="1" t="s">
        <v>14</v>
      </c>
      <c r="J2776">
        <v>0.92020000000000002</v>
      </c>
    </row>
    <row r="2777" spans="1:10" hidden="1" x14ac:dyDescent="0.35">
      <c r="A2777" t="str">
        <f t="shared" si="43"/>
        <v>Novo Oriente de Minas20231.3</v>
      </c>
      <c r="B2777">
        <v>3145356</v>
      </c>
      <c r="C2777" t="s">
        <v>54</v>
      </c>
      <c r="D2777">
        <v>2023</v>
      </c>
      <c r="E2777">
        <v>6</v>
      </c>
      <c r="F2777">
        <v>68</v>
      </c>
      <c r="G2777" t="s">
        <v>15</v>
      </c>
      <c r="H2777" t="s">
        <v>11</v>
      </c>
      <c r="I2777" s="1" t="s">
        <v>16</v>
      </c>
      <c r="J2777">
        <v>1.9099999999999999E-2</v>
      </c>
    </row>
    <row r="2778" spans="1:10" hidden="1" x14ac:dyDescent="0.35">
      <c r="A2778" t="str">
        <f t="shared" si="43"/>
        <v>Novo Oriente de Minas20232.1</v>
      </c>
      <c r="B2778">
        <v>3145356</v>
      </c>
      <c r="C2778" t="s">
        <v>54</v>
      </c>
      <c r="D2778">
        <v>2023</v>
      </c>
      <c r="E2778">
        <v>6</v>
      </c>
      <c r="F2778">
        <v>28</v>
      </c>
      <c r="G2778" t="s">
        <v>17</v>
      </c>
      <c r="H2778" t="s">
        <v>18</v>
      </c>
      <c r="I2778" s="1" t="s">
        <v>19</v>
      </c>
      <c r="J2778">
        <v>9.0300000000000005E-2</v>
      </c>
    </row>
    <row r="2779" spans="1:10" hidden="1" x14ac:dyDescent="0.35">
      <c r="A2779" t="str">
        <f t="shared" si="43"/>
        <v>Novo Oriente de Minas20232.2</v>
      </c>
      <c r="B2779">
        <v>3145356</v>
      </c>
      <c r="C2779" t="s">
        <v>54</v>
      </c>
      <c r="D2779">
        <v>2023</v>
      </c>
      <c r="E2779">
        <v>6</v>
      </c>
      <c r="F2779">
        <v>29</v>
      </c>
      <c r="G2779" t="s">
        <v>20</v>
      </c>
      <c r="H2779" t="s">
        <v>18</v>
      </c>
      <c r="I2779" s="1" t="s">
        <v>21</v>
      </c>
      <c r="J2779">
        <v>0.84909999999999997</v>
      </c>
    </row>
    <row r="2780" spans="1:10" hidden="1" x14ac:dyDescent="0.35">
      <c r="A2780" t="str">
        <f t="shared" si="43"/>
        <v>Novo Oriente de Minas20232.4</v>
      </c>
      <c r="B2780">
        <v>3145356</v>
      </c>
      <c r="C2780" t="s">
        <v>54</v>
      </c>
      <c r="D2780">
        <v>2023</v>
      </c>
      <c r="E2780">
        <v>6</v>
      </c>
      <c r="F2780">
        <v>31</v>
      </c>
      <c r="G2780" t="s">
        <v>22</v>
      </c>
      <c r="H2780" t="s">
        <v>18</v>
      </c>
      <c r="I2780" s="1" t="s">
        <v>23</v>
      </c>
      <c r="J2780">
        <v>7.9399999999999998E-2</v>
      </c>
    </row>
    <row r="2781" spans="1:10" hidden="1" x14ac:dyDescent="0.35">
      <c r="A2781" t="str">
        <f t="shared" si="43"/>
        <v>Novo Oriente de Minas20232.5</v>
      </c>
      <c r="B2781">
        <v>3145356</v>
      </c>
      <c r="C2781" t="s">
        <v>54</v>
      </c>
      <c r="D2781">
        <v>2023</v>
      </c>
      <c r="E2781">
        <v>6</v>
      </c>
      <c r="F2781">
        <v>32</v>
      </c>
      <c r="G2781" t="s">
        <v>24</v>
      </c>
      <c r="H2781" t="s">
        <v>18</v>
      </c>
      <c r="I2781" s="1" t="s">
        <v>25</v>
      </c>
      <c r="J2781">
        <v>0.68089999999999995</v>
      </c>
    </row>
    <row r="2782" spans="1:10" hidden="1" x14ac:dyDescent="0.35">
      <c r="A2782" t="str">
        <f t="shared" si="43"/>
        <v>Novo Oriente de Minas20232.8</v>
      </c>
      <c r="B2782">
        <v>3145356</v>
      </c>
      <c r="C2782" t="s">
        <v>54</v>
      </c>
      <c r="D2782">
        <v>2023</v>
      </c>
      <c r="E2782">
        <v>6</v>
      </c>
      <c r="F2782">
        <v>35</v>
      </c>
      <c r="G2782" t="s">
        <v>26</v>
      </c>
      <c r="H2782" t="s">
        <v>18</v>
      </c>
      <c r="I2782" s="1" t="s">
        <v>27</v>
      </c>
      <c r="J2782">
        <v>0.31740000000000002</v>
      </c>
    </row>
    <row r="2783" spans="1:10" hidden="1" x14ac:dyDescent="0.35">
      <c r="A2783" t="str">
        <f t="shared" si="43"/>
        <v>Novo Oriente de Minas20234.1</v>
      </c>
      <c r="B2783">
        <v>3145356</v>
      </c>
      <c r="C2783" t="s">
        <v>54</v>
      </c>
      <c r="D2783">
        <v>2023</v>
      </c>
      <c r="E2783">
        <v>6</v>
      </c>
      <c r="F2783">
        <v>44</v>
      </c>
      <c r="G2783" t="s">
        <v>28</v>
      </c>
      <c r="H2783" t="s">
        <v>29</v>
      </c>
      <c r="I2783" s="1" t="s">
        <v>30</v>
      </c>
      <c r="J2783">
        <v>3358.37</v>
      </c>
    </row>
    <row r="2784" spans="1:10" hidden="1" x14ac:dyDescent="0.35">
      <c r="A2784" t="str">
        <f t="shared" si="43"/>
        <v>Novo Oriente de Minas20234.10</v>
      </c>
      <c r="B2784">
        <v>3145356</v>
      </c>
      <c r="C2784" t="s">
        <v>54</v>
      </c>
      <c r="D2784">
        <v>2023</v>
      </c>
      <c r="E2784">
        <v>6</v>
      </c>
      <c r="F2784">
        <v>58</v>
      </c>
      <c r="G2784" t="s">
        <v>31</v>
      </c>
      <c r="H2784" t="s">
        <v>29</v>
      </c>
      <c r="I2784" s="1" t="s">
        <v>32</v>
      </c>
      <c r="J2784">
        <v>7035.32</v>
      </c>
    </row>
    <row r="2785" spans="1:10" hidden="1" x14ac:dyDescent="0.35">
      <c r="A2785" t="str">
        <f t="shared" si="43"/>
        <v>Novo Oriente de Minas20234.11</v>
      </c>
      <c r="B2785">
        <v>3145356</v>
      </c>
      <c r="C2785" t="s">
        <v>54</v>
      </c>
      <c r="D2785">
        <v>2023</v>
      </c>
      <c r="E2785">
        <v>6</v>
      </c>
      <c r="F2785">
        <v>59</v>
      </c>
      <c r="G2785" t="s">
        <v>33</v>
      </c>
      <c r="H2785" t="s">
        <v>29</v>
      </c>
      <c r="I2785" s="1" t="s">
        <v>34</v>
      </c>
    </row>
    <row r="2786" spans="1:10" hidden="1" x14ac:dyDescent="0.35">
      <c r="A2786" t="str">
        <f t="shared" si="43"/>
        <v>Novo Oriente de Minas20234.2</v>
      </c>
      <c r="B2786">
        <v>3145356</v>
      </c>
      <c r="C2786" t="s">
        <v>54</v>
      </c>
      <c r="D2786">
        <v>2023</v>
      </c>
      <c r="E2786">
        <v>6</v>
      </c>
      <c r="F2786">
        <v>45</v>
      </c>
      <c r="G2786" t="s">
        <v>35</v>
      </c>
      <c r="H2786" t="s">
        <v>29</v>
      </c>
      <c r="I2786" s="1" t="s">
        <v>36</v>
      </c>
      <c r="J2786">
        <v>18282.73</v>
      </c>
    </row>
    <row r="2787" spans="1:10" hidden="1" x14ac:dyDescent="0.35">
      <c r="A2787" t="str">
        <f t="shared" si="43"/>
        <v>Novo Oriente de Minas20234.8</v>
      </c>
      <c r="B2787">
        <v>3145356</v>
      </c>
      <c r="C2787" t="s">
        <v>54</v>
      </c>
      <c r="D2787">
        <v>2023</v>
      </c>
      <c r="E2787">
        <v>6</v>
      </c>
      <c r="F2787">
        <v>56</v>
      </c>
      <c r="G2787" t="s">
        <v>37</v>
      </c>
      <c r="H2787" t="s">
        <v>29</v>
      </c>
      <c r="I2787" s="1" t="s">
        <v>38</v>
      </c>
      <c r="J2787">
        <v>16015.91</v>
      </c>
    </row>
    <row r="2788" spans="1:10" hidden="1" x14ac:dyDescent="0.35">
      <c r="A2788" t="str">
        <f t="shared" si="43"/>
        <v>Novo Oriente de Minas20234.9</v>
      </c>
      <c r="B2788">
        <v>3145356</v>
      </c>
      <c r="C2788" t="s">
        <v>54</v>
      </c>
      <c r="D2788">
        <v>2023</v>
      </c>
      <c r="E2788">
        <v>6</v>
      </c>
      <c r="F2788">
        <v>57</v>
      </c>
      <c r="G2788" t="s">
        <v>39</v>
      </c>
      <c r="H2788" t="s">
        <v>29</v>
      </c>
      <c r="I2788" s="1" t="s">
        <v>40</v>
      </c>
      <c r="J2788">
        <v>16015.91</v>
      </c>
    </row>
    <row r="2789" spans="1:10" hidden="1" x14ac:dyDescent="0.35">
      <c r="A2789" t="str">
        <f t="shared" si="43"/>
        <v>Ouro Verde de Minas20231.1</v>
      </c>
      <c r="B2789">
        <v>3146206</v>
      </c>
      <c r="C2789" t="s">
        <v>55</v>
      </c>
      <c r="D2789">
        <v>2023</v>
      </c>
      <c r="E2789">
        <v>6</v>
      </c>
      <c r="F2789">
        <v>24</v>
      </c>
      <c r="G2789" t="s">
        <v>10</v>
      </c>
      <c r="H2789" t="s">
        <v>11</v>
      </c>
      <c r="I2789" s="1" t="s">
        <v>12</v>
      </c>
      <c r="J2789">
        <v>0.27910000000000001</v>
      </c>
    </row>
    <row r="2790" spans="1:10" hidden="1" x14ac:dyDescent="0.35">
      <c r="A2790" t="str">
        <f t="shared" si="43"/>
        <v>Ouro Verde de Minas20231.2</v>
      </c>
      <c r="B2790">
        <v>3146206</v>
      </c>
      <c r="C2790" t="s">
        <v>55</v>
      </c>
      <c r="D2790">
        <v>2023</v>
      </c>
      <c r="E2790">
        <v>6</v>
      </c>
      <c r="F2790">
        <v>67</v>
      </c>
      <c r="G2790" t="s">
        <v>13</v>
      </c>
      <c r="H2790" t="s">
        <v>11</v>
      </c>
      <c r="I2790" s="1" t="s">
        <v>14</v>
      </c>
      <c r="J2790">
        <v>0.94410000000000005</v>
      </c>
    </row>
    <row r="2791" spans="1:10" hidden="1" x14ac:dyDescent="0.35">
      <c r="A2791" t="str">
        <f t="shared" si="43"/>
        <v>Ouro Verde de Minas20231.3</v>
      </c>
      <c r="B2791">
        <v>3146206</v>
      </c>
      <c r="C2791" t="s">
        <v>55</v>
      </c>
      <c r="D2791">
        <v>2023</v>
      </c>
      <c r="E2791">
        <v>6</v>
      </c>
      <c r="F2791">
        <v>68</v>
      </c>
      <c r="G2791" t="s">
        <v>15</v>
      </c>
      <c r="H2791" t="s">
        <v>11</v>
      </c>
      <c r="I2791" s="1" t="s">
        <v>16</v>
      </c>
      <c r="J2791">
        <v>1.24E-2</v>
      </c>
    </row>
    <row r="2792" spans="1:10" hidden="1" x14ac:dyDescent="0.35">
      <c r="A2792" t="str">
        <f t="shared" si="43"/>
        <v>Ouro Verde de Minas20232.1</v>
      </c>
      <c r="B2792">
        <v>3146206</v>
      </c>
      <c r="C2792" t="s">
        <v>55</v>
      </c>
      <c r="D2792">
        <v>2023</v>
      </c>
      <c r="E2792">
        <v>6</v>
      </c>
      <c r="F2792">
        <v>28</v>
      </c>
      <c r="G2792" t="s">
        <v>17</v>
      </c>
      <c r="H2792" t="s">
        <v>18</v>
      </c>
      <c r="I2792" s="1" t="s">
        <v>19</v>
      </c>
      <c r="J2792">
        <v>8.0299999999999996E-2</v>
      </c>
    </row>
    <row r="2793" spans="1:10" hidden="1" x14ac:dyDescent="0.35">
      <c r="A2793" t="str">
        <f t="shared" si="43"/>
        <v>Ouro Verde de Minas20232.2</v>
      </c>
      <c r="B2793">
        <v>3146206</v>
      </c>
      <c r="C2793" t="s">
        <v>55</v>
      </c>
      <c r="D2793">
        <v>2023</v>
      </c>
      <c r="E2793">
        <v>6</v>
      </c>
      <c r="F2793">
        <v>29</v>
      </c>
      <c r="G2793" t="s">
        <v>20</v>
      </c>
      <c r="H2793" t="s">
        <v>18</v>
      </c>
      <c r="I2793" s="1" t="s">
        <v>21</v>
      </c>
      <c r="J2793">
        <v>0.87619999999999998</v>
      </c>
    </row>
    <row r="2794" spans="1:10" hidden="1" x14ac:dyDescent="0.35">
      <c r="A2794" t="str">
        <f t="shared" si="43"/>
        <v>Ouro Verde de Minas20232.4</v>
      </c>
      <c r="B2794">
        <v>3146206</v>
      </c>
      <c r="C2794" t="s">
        <v>55</v>
      </c>
      <c r="D2794">
        <v>2023</v>
      </c>
      <c r="E2794">
        <v>6</v>
      </c>
      <c r="F2794">
        <v>31</v>
      </c>
      <c r="G2794" t="s">
        <v>22</v>
      </c>
      <c r="H2794" t="s">
        <v>18</v>
      </c>
      <c r="I2794" s="1" t="s">
        <v>23</v>
      </c>
      <c r="J2794">
        <v>5.7599999999999998E-2</v>
      </c>
    </row>
    <row r="2795" spans="1:10" hidden="1" x14ac:dyDescent="0.35">
      <c r="A2795" t="str">
        <f t="shared" si="43"/>
        <v>Ouro Verde de Minas20232.5</v>
      </c>
      <c r="B2795">
        <v>3146206</v>
      </c>
      <c r="C2795" t="s">
        <v>55</v>
      </c>
      <c r="D2795">
        <v>2023</v>
      </c>
      <c r="E2795">
        <v>6</v>
      </c>
      <c r="F2795">
        <v>32</v>
      </c>
      <c r="G2795" t="s">
        <v>24</v>
      </c>
      <c r="H2795" t="s">
        <v>18</v>
      </c>
      <c r="I2795" s="1" t="s">
        <v>25</v>
      </c>
      <c r="J2795">
        <v>0.60860000000000003</v>
      </c>
    </row>
    <row r="2796" spans="1:10" hidden="1" x14ac:dyDescent="0.35">
      <c r="A2796" t="str">
        <f t="shared" si="43"/>
        <v>Ouro Verde de Minas20232.8</v>
      </c>
      <c r="B2796">
        <v>3146206</v>
      </c>
      <c r="C2796" t="s">
        <v>55</v>
      </c>
      <c r="D2796">
        <v>2023</v>
      </c>
      <c r="E2796">
        <v>6</v>
      </c>
      <c r="F2796">
        <v>35</v>
      </c>
      <c r="G2796" t="s">
        <v>26</v>
      </c>
      <c r="H2796" t="s">
        <v>18</v>
      </c>
      <c r="I2796" s="1" t="s">
        <v>27</v>
      </c>
      <c r="J2796">
        <v>0.32890000000000003</v>
      </c>
    </row>
    <row r="2797" spans="1:10" hidden="1" x14ac:dyDescent="0.35">
      <c r="A2797" t="str">
        <f t="shared" si="43"/>
        <v>Ouro Verde de Minas20234.1</v>
      </c>
      <c r="B2797">
        <v>3146206</v>
      </c>
      <c r="C2797" t="s">
        <v>55</v>
      </c>
      <c r="D2797">
        <v>2023</v>
      </c>
      <c r="E2797">
        <v>6</v>
      </c>
      <c r="F2797">
        <v>44</v>
      </c>
      <c r="G2797" t="s">
        <v>28</v>
      </c>
      <c r="H2797" t="s">
        <v>29</v>
      </c>
      <c r="I2797" s="1" t="s">
        <v>30</v>
      </c>
      <c r="J2797">
        <v>2473.23</v>
      </c>
    </row>
    <row r="2798" spans="1:10" hidden="1" x14ac:dyDescent="0.35">
      <c r="A2798" t="str">
        <f t="shared" si="43"/>
        <v>Ouro Verde de Minas20234.10</v>
      </c>
      <c r="B2798">
        <v>3146206</v>
      </c>
      <c r="C2798" t="s">
        <v>55</v>
      </c>
      <c r="D2798">
        <v>2023</v>
      </c>
      <c r="E2798">
        <v>6</v>
      </c>
      <c r="F2798">
        <v>58</v>
      </c>
      <c r="G2798" t="s">
        <v>31</v>
      </c>
      <c r="H2798" t="s">
        <v>29</v>
      </c>
      <c r="I2798" s="1" t="s">
        <v>32</v>
      </c>
      <c r="J2798">
        <v>7622.41</v>
      </c>
    </row>
    <row r="2799" spans="1:10" hidden="1" x14ac:dyDescent="0.35">
      <c r="A2799" t="str">
        <f t="shared" si="43"/>
        <v>Ouro Verde de Minas20234.11</v>
      </c>
      <c r="B2799">
        <v>3146206</v>
      </c>
      <c r="C2799" t="s">
        <v>55</v>
      </c>
      <c r="D2799">
        <v>2023</v>
      </c>
      <c r="E2799">
        <v>6</v>
      </c>
      <c r="F2799">
        <v>59</v>
      </c>
      <c r="G2799" t="s">
        <v>33</v>
      </c>
      <c r="H2799" t="s">
        <v>29</v>
      </c>
      <c r="I2799" s="1" t="s">
        <v>34</v>
      </c>
    </row>
    <row r="2800" spans="1:10" hidden="1" x14ac:dyDescent="0.35">
      <c r="A2800" t="str">
        <f t="shared" si="43"/>
        <v>Ouro Verde de Minas20234.2</v>
      </c>
      <c r="B2800">
        <v>3146206</v>
      </c>
      <c r="C2800" t="s">
        <v>55</v>
      </c>
      <c r="D2800">
        <v>2023</v>
      </c>
      <c r="E2800">
        <v>6</v>
      </c>
      <c r="F2800">
        <v>45</v>
      </c>
      <c r="G2800" t="s">
        <v>35</v>
      </c>
      <c r="H2800" t="s">
        <v>29</v>
      </c>
      <c r="I2800" s="1" t="s">
        <v>36</v>
      </c>
      <c r="J2800">
        <v>15355.82</v>
      </c>
    </row>
    <row r="2801" spans="1:10" hidden="1" x14ac:dyDescent="0.35">
      <c r="A2801" t="str">
        <f t="shared" si="43"/>
        <v>Ouro Verde de Minas20234.8</v>
      </c>
      <c r="B2801">
        <v>3146206</v>
      </c>
      <c r="C2801" t="s">
        <v>55</v>
      </c>
      <c r="D2801">
        <v>2023</v>
      </c>
      <c r="E2801">
        <v>6</v>
      </c>
      <c r="F2801">
        <v>56</v>
      </c>
      <c r="G2801" t="s">
        <v>37</v>
      </c>
      <c r="H2801" t="s">
        <v>29</v>
      </c>
      <c r="I2801" s="1" t="s">
        <v>38</v>
      </c>
      <c r="J2801">
        <v>15892.91</v>
      </c>
    </row>
    <row r="2802" spans="1:10" hidden="1" x14ac:dyDescent="0.35">
      <c r="A2802" t="str">
        <f t="shared" si="43"/>
        <v>Ouro Verde de Minas20234.9</v>
      </c>
      <c r="B2802">
        <v>3146206</v>
      </c>
      <c r="C2802" t="s">
        <v>55</v>
      </c>
      <c r="D2802">
        <v>2023</v>
      </c>
      <c r="E2802">
        <v>6</v>
      </c>
      <c r="F2802">
        <v>57</v>
      </c>
      <c r="G2802" t="s">
        <v>39</v>
      </c>
      <c r="H2802" t="s">
        <v>29</v>
      </c>
      <c r="I2802" s="1" t="s">
        <v>40</v>
      </c>
      <c r="J2802">
        <v>15892.91</v>
      </c>
    </row>
    <row r="2803" spans="1:10" hidden="1" x14ac:dyDescent="0.35">
      <c r="A2803" t="str">
        <f t="shared" si="43"/>
        <v>Pavão20231.1</v>
      </c>
      <c r="B2803">
        <v>3148509</v>
      </c>
      <c r="C2803" t="s">
        <v>56</v>
      </c>
      <c r="D2803">
        <v>2023</v>
      </c>
      <c r="E2803">
        <v>6</v>
      </c>
      <c r="F2803">
        <v>24</v>
      </c>
      <c r="G2803" t="s">
        <v>10</v>
      </c>
      <c r="H2803" t="s">
        <v>11</v>
      </c>
      <c r="I2803" s="1" t="s">
        <v>12</v>
      </c>
      <c r="J2803">
        <v>0.26419999999999999</v>
      </c>
    </row>
    <row r="2804" spans="1:10" hidden="1" x14ac:dyDescent="0.35">
      <c r="A2804" t="str">
        <f t="shared" si="43"/>
        <v>Pavão20231.2</v>
      </c>
      <c r="B2804">
        <v>3148509</v>
      </c>
      <c r="C2804" t="s">
        <v>56</v>
      </c>
      <c r="D2804">
        <v>2023</v>
      </c>
      <c r="E2804">
        <v>6</v>
      </c>
      <c r="F2804">
        <v>67</v>
      </c>
      <c r="G2804" t="s">
        <v>13</v>
      </c>
      <c r="H2804" t="s">
        <v>11</v>
      </c>
      <c r="I2804" s="1" t="s">
        <v>14</v>
      </c>
      <c r="J2804">
        <v>0.96450000000000002</v>
      </c>
    </row>
    <row r="2805" spans="1:10" hidden="1" x14ac:dyDescent="0.35">
      <c r="A2805" t="str">
        <f t="shared" si="43"/>
        <v>Pavão20231.3</v>
      </c>
      <c r="B2805">
        <v>3148509</v>
      </c>
      <c r="C2805" t="s">
        <v>56</v>
      </c>
      <c r="D2805">
        <v>2023</v>
      </c>
      <c r="E2805">
        <v>6</v>
      </c>
      <c r="F2805">
        <v>68</v>
      </c>
      <c r="G2805" t="s">
        <v>15</v>
      </c>
      <c r="H2805" t="s">
        <v>11</v>
      </c>
      <c r="I2805" s="1" t="s">
        <v>16</v>
      </c>
    </row>
    <row r="2806" spans="1:10" hidden="1" x14ac:dyDescent="0.35">
      <c r="A2806" t="str">
        <f t="shared" si="43"/>
        <v>Pavão20232.1</v>
      </c>
      <c r="B2806">
        <v>3148509</v>
      </c>
      <c r="C2806" t="s">
        <v>56</v>
      </c>
      <c r="D2806">
        <v>2023</v>
      </c>
      <c r="E2806">
        <v>6</v>
      </c>
      <c r="F2806">
        <v>28</v>
      </c>
      <c r="G2806" t="s">
        <v>17</v>
      </c>
      <c r="H2806" t="s">
        <v>18</v>
      </c>
      <c r="I2806" s="1" t="s">
        <v>19</v>
      </c>
      <c r="J2806">
        <v>7.7200000000000005E-2</v>
      </c>
    </row>
    <row r="2807" spans="1:10" hidden="1" x14ac:dyDescent="0.35">
      <c r="A2807" t="str">
        <f t="shared" si="43"/>
        <v>Pavão20232.2</v>
      </c>
      <c r="B2807">
        <v>3148509</v>
      </c>
      <c r="C2807" t="s">
        <v>56</v>
      </c>
      <c r="D2807">
        <v>2023</v>
      </c>
      <c r="E2807">
        <v>6</v>
      </c>
      <c r="F2807">
        <v>29</v>
      </c>
      <c r="G2807" t="s">
        <v>20</v>
      </c>
      <c r="H2807" t="s">
        <v>18</v>
      </c>
      <c r="I2807" s="1" t="s">
        <v>21</v>
      </c>
      <c r="J2807">
        <v>0.74070000000000003</v>
      </c>
    </row>
    <row r="2808" spans="1:10" hidden="1" x14ac:dyDescent="0.35">
      <c r="A2808" t="str">
        <f t="shared" si="43"/>
        <v>Pavão20232.4</v>
      </c>
      <c r="B2808">
        <v>3148509</v>
      </c>
      <c r="C2808" t="s">
        <v>56</v>
      </c>
      <c r="D2808">
        <v>2023</v>
      </c>
      <c r="E2808">
        <v>6</v>
      </c>
      <c r="F2808">
        <v>31</v>
      </c>
      <c r="G2808" t="s">
        <v>22</v>
      </c>
      <c r="H2808" t="s">
        <v>18</v>
      </c>
      <c r="I2808" s="1" t="s">
        <v>23</v>
      </c>
      <c r="J2808">
        <v>0.12989999999999999</v>
      </c>
    </row>
    <row r="2809" spans="1:10" hidden="1" x14ac:dyDescent="0.35">
      <c r="A2809" t="str">
        <f t="shared" si="43"/>
        <v>Pavão20232.5</v>
      </c>
      <c r="B2809">
        <v>3148509</v>
      </c>
      <c r="C2809" t="s">
        <v>56</v>
      </c>
      <c r="D2809">
        <v>2023</v>
      </c>
      <c r="E2809">
        <v>6</v>
      </c>
      <c r="F2809">
        <v>32</v>
      </c>
      <c r="G2809" t="s">
        <v>24</v>
      </c>
      <c r="H2809" t="s">
        <v>18</v>
      </c>
      <c r="I2809" s="1" t="s">
        <v>25</v>
      </c>
      <c r="J2809">
        <v>0.50480000000000003</v>
      </c>
    </row>
    <row r="2810" spans="1:10" hidden="1" x14ac:dyDescent="0.35">
      <c r="A2810" t="str">
        <f t="shared" si="43"/>
        <v>Pavão20232.8</v>
      </c>
      <c r="B2810">
        <v>3148509</v>
      </c>
      <c r="C2810" t="s">
        <v>56</v>
      </c>
      <c r="D2810">
        <v>2023</v>
      </c>
      <c r="E2810">
        <v>6</v>
      </c>
      <c r="F2810">
        <v>35</v>
      </c>
      <c r="G2810" t="s">
        <v>26</v>
      </c>
      <c r="H2810" t="s">
        <v>18</v>
      </c>
      <c r="I2810" s="1" t="s">
        <v>27</v>
      </c>
      <c r="J2810">
        <v>0.20610000000000001</v>
      </c>
    </row>
    <row r="2811" spans="1:10" hidden="1" x14ac:dyDescent="0.35">
      <c r="A2811" t="str">
        <f t="shared" si="43"/>
        <v>Pavão20234.1</v>
      </c>
      <c r="B2811">
        <v>3148509</v>
      </c>
      <c r="C2811" t="s">
        <v>56</v>
      </c>
      <c r="D2811">
        <v>2023</v>
      </c>
      <c r="E2811">
        <v>6</v>
      </c>
      <c r="F2811">
        <v>44</v>
      </c>
      <c r="G2811" t="s">
        <v>28</v>
      </c>
      <c r="H2811" t="s">
        <v>29</v>
      </c>
      <c r="I2811" s="1" t="s">
        <v>30</v>
      </c>
      <c r="J2811">
        <v>6044.7</v>
      </c>
    </row>
    <row r="2812" spans="1:10" hidden="1" x14ac:dyDescent="0.35">
      <c r="A2812" t="str">
        <f t="shared" si="43"/>
        <v>Pavão20234.10</v>
      </c>
      <c r="B2812">
        <v>3148509</v>
      </c>
      <c r="C2812" t="s">
        <v>56</v>
      </c>
      <c r="D2812">
        <v>2023</v>
      </c>
      <c r="E2812">
        <v>6</v>
      </c>
      <c r="F2812">
        <v>58</v>
      </c>
      <c r="G2812" t="s">
        <v>31</v>
      </c>
      <c r="H2812" t="s">
        <v>29</v>
      </c>
      <c r="I2812" s="1" t="s">
        <v>32</v>
      </c>
      <c r="J2812">
        <v>6354.63</v>
      </c>
    </row>
    <row r="2813" spans="1:10" hidden="1" x14ac:dyDescent="0.35">
      <c r="A2813" t="str">
        <f t="shared" si="43"/>
        <v>Pavão20234.11</v>
      </c>
      <c r="B2813">
        <v>3148509</v>
      </c>
      <c r="C2813" t="s">
        <v>56</v>
      </c>
      <c r="D2813">
        <v>2023</v>
      </c>
      <c r="E2813">
        <v>6</v>
      </c>
      <c r="F2813">
        <v>59</v>
      </c>
      <c r="G2813" t="s">
        <v>33</v>
      </c>
      <c r="H2813" t="s">
        <v>29</v>
      </c>
      <c r="I2813" s="1" t="s">
        <v>34</v>
      </c>
    </row>
    <row r="2814" spans="1:10" hidden="1" x14ac:dyDescent="0.35">
      <c r="A2814" t="str">
        <f t="shared" si="43"/>
        <v>Pavão20234.2</v>
      </c>
      <c r="B2814">
        <v>3148509</v>
      </c>
      <c r="C2814" t="s">
        <v>56</v>
      </c>
      <c r="D2814">
        <v>2023</v>
      </c>
      <c r="E2814">
        <v>6</v>
      </c>
      <c r="F2814">
        <v>45</v>
      </c>
      <c r="G2814" t="s">
        <v>35</v>
      </c>
      <c r="H2814" t="s">
        <v>29</v>
      </c>
      <c r="I2814" s="1" t="s">
        <v>36</v>
      </c>
      <c r="J2814">
        <v>14526.73</v>
      </c>
    </row>
    <row r="2815" spans="1:10" hidden="1" x14ac:dyDescent="0.35">
      <c r="A2815" t="str">
        <f t="shared" si="43"/>
        <v>Pavão20234.8</v>
      </c>
      <c r="B2815">
        <v>3148509</v>
      </c>
      <c r="C2815" t="s">
        <v>56</v>
      </c>
      <c r="D2815">
        <v>2023</v>
      </c>
      <c r="E2815">
        <v>6</v>
      </c>
      <c r="F2815">
        <v>56</v>
      </c>
      <c r="G2815" t="s">
        <v>37</v>
      </c>
      <c r="H2815" t="s">
        <v>29</v>
      </c>
      <c r="I2815" s="1" t="s">
        <v>38</v>
      </c>
      <c r="J2815">
        <v>17616.77</v>
      </c>
    </row>
    <row r="2816" spans="1:10" hidden="1" x14ac:dyDescent="0.35">
      <c r="A2816" t="str">
        <f t="shared" si="43"/>
        <v>Pavão20234.9</v>
      </c>
      <c r="B2816">
        <v>3148509</v>
      </c>
      <c r="C2816" t="s">
        <v>56</v>
      </c>
      <c r="D2816">
        <v>2023</v>
      </c>
      <c r="E2816">
        <v>6</v>
      </c>
      <c r="F2816">
        <v>57</v>
      </c>
      <c r="G2816" t="s">
        <v>39</v>
      </c>
      <c r="H2816" t="s">
        <v>29</v>
      </c>
      <c r="I2816" s="1" t="s">
        <v>40</v>
      </c>
      <c r="J2816">
        <v>17616.77</v>
      </c>
    </row>
    <row r="2817" spans="1:10" hidden="1" x14ac:dyDescent="0.35">
      <c r="A2817" t="str">
        <f t="shared" si="43"/>
        <v>Poté20231.1</v>
      </c>
      <c r="B2817">
        <v>3152402</v>
      </c>
      <c r="C2817" t="s">
        <v>57</v>
      </c>
      <c r="D2817">
        <v>2023</v>
      </c>
      <c r="E2817">
        <v>6</v>
      </c>
      <c r="F2817">
        <v>24</v>
      </c>
      <c r="G2817" t="s">
        <v>10</v>
      </c>
      <c r="H2817" t="s">
        <v>11</v>
      </c>
      <c r="I2817" s="1" t="s">
        <v>12</v>
      </c>
      <c r="J2817">
        <v>0.28510000000000002</v>
      </c>
    </row>
    <row r="2818" spans="1:10" hidden="1" x14ac:dyDescent="0.35">
      <c r="A2818" t="str">
        <f t="shared" si="43"/>
        <v>Poté20231.2</v>
      </c>
      <c r="B2818">
        <v>3152402</v>
      </c>
      <c r="C2818" t="s">
        <v>57</v>
      </c>
      <c r="D2818">
        <v>2023</v>
      </c>
      <c r="E2818">
        <v>6</v>
      </c>
      <c r="F2818">
        <v>67</v>
      </c>
      <c r="G2818" t="s">
        <v>13</v>
      </c>
      <c r="H2818" t="s">
        <v>11</v>
      </c>
      <c r="I2818" s="1" t="s">
        <v>14</v>
      </c>
      <c r="J2818">
        <v>0.99550000000000005</v>
      </c>
    </row>
    <row r="2819" spans="1:10" hidden="1" x14ac:dyDescent="0.35">
      <c r="A2819" t="str">
        <f t="shared" si="43"/>
        <v>Poté20231.3</v>
      </c>
      <c r="B2819">
        <v>3152402</v>
      </c>
      <c r="C2819" t="s">
        <v>57</v>
      </c>
      <c r="D2819">
        <v>2023</v>
      </c>
      <c r="E2819">
        <v>6</v>
      </c>
      <c r="F2819">
        <v>68</v>
      </c>
      <c r="G2819" t="s">
        <v>15</v>
      </c>
      <c r="H2819" t="s">
        <v>11</v>
      </c>
      <c r="I2819" s="1" t="s">
        <v>16</v>
      </c>
      <c r="J2819">
        <v>4.4999999999999997E-3</v>
      </c>
    </row>
    <row r="2820" spans="1:10" hidden="1" x14ac:dyDescent="0.35">
      <c r="A2820" t="str">
        <f t="shared" ref="A2820:A2883" si="44">C2820&amp;D2820&amp;G2820</f>
        <v>Poté20232.1</v>
      </c>
      <c r="B2820">
        <v>3152402</v>
      </c>
      <c r="C2820" t="s">
        <v>57</v>
      </c>
      <c r="D2820">
        <v>2023</v>
      </c>
      <c r="E2820">
        <v>6</v>
      </c>
      <c r="F2820">
        <v>28</v>
      </c>
      <c r="G2820" t="s">
        <v>17</v>
      </c>
      <c r="H2820" t="s">
        <v>18</v>
      </c>
      <c r="I2820" s="1" t="s">
        <v>19</v>
      </c>
      <c r="J2820">
        <v>0.1391</v>
      </c>
    </row>
    <row r="2821" spans="1:10" hidden="1" x14ac:dyDescent="0.35">
      <c r="A2821" t="str">
        <f t="shared" si="44"/>
        <v>Poté20232.2</v>
      </c>
      <c r="B2821">
        <v>3152402</v>
      </c>
      <c r="C2821" t="s">
        <v>57</v>
      </c>
      <c r="D2821">
        <v>2023</v>
      </c>
      <c r="E2821">
        <v>6</v>
      </c>
      <c r="F2821">
        <v>29</v>
      </c>
      <c r="G2821" t="s">
        <v>20</v>
      </c>
      <c r="H2821" t="s">
        <v>18</v>
      </c>
      <c r="I2821" s="1" t="s">
        <v>21</v>
      </c>
      <c r="J2821">
        <v>0.82630000000000003</v>
      </c>
    </row>
    <row r="2822" spans="1:10" hidden="1" x14ac:dyDescent="0.35">
      <c r="A2822" t="str">
        <f t="shared" si="44"/>
        <v>Poté20232.4</v>
      </c>
      <c r="B2822">
        <v>3152402</v>
      </c>
      <c r="C2822" t="s">
        <v>57</v>
      </c>
      <c r="D2822">
        <v>2023</v>
      </c>
      <c r="E2822">
        <v>6</v>
      </c>
      <c r="F2822">
        <v>31</v>
      </c>
      <c r="G2822" t="s">
        <v>22</v>
      </c>
      <c r="H2822" t="s">
        <v>18</v>
      </c>
      <c r="I2822" s="1" t="s">
        <v>23</v>
      </c>
      <c r="J2822">
        <v>7.2099999999999997E-2</v>
      </c>
    </row>
    <row r="2823" spans="1:10" hidden="1" x14ac:dyDescent="0.35">
      <c r="A2823" t="str">
        <f t="shared" si="44"/>
        <v>Poté20232.5</v>
      </c>
      <c r="B2823">
        <v>3152402</v>
      </c>
      <c r="C2823" t="s">
        <v>57</v>
      </c>
      <c r="D2823">
        <v>2023</v>
      </c>
      <c r="E2823">
        <v>6</v>
      </c>
      <c r="F2823">
        <v>32</v>
      </c>
      <c r="G2823" t="s">
        <v>24</v>
      </c>
      <c r="H2823" t="s">
        <v>18</v>
      </c>
      <c r="I2823" s="1" t="s">
        <v>25</v>
      </c>
      <c r="J2823">
        <v>0.28489999999999999</v>
      </c>
    </row>
    <row r="2824" spans="1:10" hidden="1" x14ac:dyDescent="0.35">
      <c r="A2824" t="str">
        <f t="shared" si="44"/>
        <v>Poté20232.8</v>
      </c>
      <c r="B2824">
        <v>3152402</v>
      </c>
      <c r="C2824" t="s">
        <v>57</v>
      </c>
      <c r="D2824">
        <v>2023</v>
      </c>
      <c r="E2824">
        <v>6</v>
      </c>
      <c r="F2824">
        <v>35</v>
      </c>
      <c r="G2824" t="s">
        <v>26</v>
      </c>
      <c r="H2824" t="s">
        <v>18</v>
      </c>
      <c r="I2824" s="1" t="s">
        <v>27</v>
      </c>
    </row>
    <row r="2825" spans="1:10" hidden="1" x14ac:dyDescent="0.35">
      <c r="A2825" t="str">
        <f t="shared" si="44"/>
        <v>Poté20234.1</v>
      </c>
      <c r="B2825">
        <v>3152402</v>
      </c>
      <c r="C2825" t="s">
        <v>57</v>
      </c>
      <c r="D2825">
        <v>2023</v>
      </c>
      <c r="E2825">
        <v>6</v>
      </c>
      <c r="F2825">
        <v>44</v>
      </c>
      <c r="G2825" t="s">
        <v>28</v>
      </c>
      <c r="H2825" t="s">
        <v>29</v>
      </c>
      <c r="I2825" s="1" t="s">
        <v>30</v>
      </c>
      <c r="J2825">
        <v>5652.4</v>
      </c>
    </row>
    <row r="2826" spans="1:10" hidden="1" x14ac:dyDescent="0.35">
      <c r="A2826" t="str">
        <f t="shared" si="44"/>
        <v>Poté20234.10</v>
      </c>
      <c r="B2826">
        <v>3152402</v>
      </c>
      <c r="C2826" t="s">
        <v>57</v>
      </c>
      <c r="D2826">
        <v>2023</v>
      </c>
      <c r="E2826">
        <v>6</v>
      </c>
      <c r="F2826">
        <v>58</v>
      </c>
      <c r="G2826" t="s">
        <v>31</v>
      </c>
      <c r="H2826" t="s">
        <v>29</v>
      </c>
      <c r="I2826" s="1" t="s">
        <v>32</v>
      </c>
      <c r="J2826">
        <v>6522.65</v>
      </c>
    </row>
    <row r="2827" spans="1:10" hidden="1" x14ac:dyDescent="0.35">
      <c r="A2827" t="str">
        <f t="shared" si="44"/>
        <v>Poté20234.11</v>
      </c>
      <c r="B2827">
        <v>3152402</v>
      </c>
      <c r="C2827" t="s">
        <v>57</v>
      </c>
      <c r="D2827">
        <v>2023</v>
      </c>
      <c r="E2827">
        <v>6</v>
      </c>
      <c r="F2827">
        <v>59</v>
      </c>
      <c r="G2827" t="s">
        <v>33</v>
      </c>
      <c r="H2827" t="s">
        <v>29</v>
      </c>
      <c r="I2827" s="1" t="s">
        <v>34</v>
      </c>
      <c r="J2827">
        <v>95.93</v>
      </c>
    </row>
    <row r="2828" spans="1:10" hidden="1" x14ac:dyDescent="0.35">
      <c r="A2828" t="str">
        <f t="shared" si="44"/>
        <v>Poté20234.2</v>
      </c>
      <c r="B2828">
        <v>3152402</v>
      </c>
      <c r="C2828" t="s">
        <v>57</v>
      </c>
      <c r="D2828">
        <v>2023</v>
      </c>
      <c r="E2828">
        <v>6</v>
      </c>
      <c r="F2828">
        <v>45</v>
      </c>
      <c r="G2828" t="s">
        <v>35</v>
      </c>
      <c r="H2828" t="s">
        <v>29</v>
      </c>
      <c r="I2828" s="1" t="s">
        <v>36</v>
      </c>
      <c r="J2828">
        <v>11970.99</v>
      </c>
    </row>
    <row r="2829" spans="1:10" hidden="1" x14ac:dyDescent="0.35">
      <c r="A2829" t="str">
        <f t="shared" si="44"/>
        <v>Poté20234.8</v>
      </c>
      <c r="B2829">
        <v>3152402</v>
      </c>
      <c r="C2829" t="s">
        <v>57</v>
      </c>
      <c r="D2829">
        <v>2023</v>
      </c>
      <c r="E2829">
        <v>6</v>
      </c>
      <c r="F2829">
        <v>56</v>
      </c>
      <c r="G2829" t="s">
        <v>37</v>
      </c>
      <c r="H2829" t="s">
        <v>29</v>
      </c>
      <c r="I2829" s="1" t="s">
        <v>38</v>
      </c>
      <c r="J2829">
        <v>26769.91</v>
      </c>
    </row>
    <row r="2830" spans="1:10" hidden="1" x14ac:dyDescent="0.35">
      <c r="A2830" t="str">
        <f t="shared" si="44"/>
        <v>Poté20234.9</v>
      </c>
      <c r="B2830">
        <v>3152402</v>
      </c>
      <c r="C2830" t="s">
        <v>57</v>
      </c>
      <c r="D2830">
        <v>2023</v>
      </c>
      <c r="E2830">
        <v>6</v>
      </c>
      <c r="F2830">
        <v>57</v>
      </c>
      <c r="G2830" t="s">
        <v>39</v>
      </c>
      <c r="H2830" t="s">
        <v>29</v>
      </c>
      <c r="I2830" s="1" t="s">
        <v>40</v>
      </c>
      <c r="J2830">
        <v>26769.91</v>
      </c>
    </row>
    <row r="2831" spans="1:10" hidden="1" x14ac:dyDescent="0.35">
      <c r="A2831" t="str">
        <f t="shared" si="44"/>
        <v>Santa Helena de Minas20231.1</v>
      </c>
      <c r="B2831">
        <v>3157658</v>
      </c>
      <c r="C2831" t="s">
        <v>58</v>
      </c>
      <c r="D2831">
        <v>2023</v>
      </c>
      <c r="E2831">
        <v>6</v>
      </c>
      <c r="F2831">
        <v>24</v>
      </c>
      <c r="G2831" t="s">
        <v>10</v>
      </c>
      <c r="H2831" t="s">
        <v>11</v>
      </c>
      <c r="I2831" s="1" t="s">
        <v>12</v>
      </c>
      <c r="J2831">
        <v>0.28349999999999997</v>
      </c>
    </row>
    <row r="2832" spans="1:10" hidden="1" x14ac:dyDescent="0.35">
      <c r="A2832" t="str">
        <f t="shared" si="44"/>
        <v>Santa Helena de Minas20231.2</v>
      </c>
      <c r="B2832">
        <v>3157658</v>
      </c>
      <c r="C2832" t="s">
        <v>58</v>
      </c>
      <c r="D2832">
        <v>2023</v>
      </c>
      <c r="E2832">
        <v>6</v>
      </c>
      <c r="F2832">
        <v>67</v>
      </c>
      <c r="G2832" t="s">
        <v>13</v>
      </c>
      <c r="H2832" t="s">
        <v>11</v>
      </c>
      <c r="I2832" s="1" t="s">
        <v>14</v>
      </c>
      <c r="J2832">
        <v>1</v>
      </c>
    </row>
    <row r="2833" spans="1:10" hidden="1" x14ac:dyDescent="0.35">
      <c r="A2833" t="str">
        <f t="shared" si="44"/>
        <v>Santa Helena de Minas20231.3</v>
      </c>
      <c r="B2833">
        <v>3157658</v>
      </c>
      <c r="C2833" t="s">
        <v>58</v>
      </c>
      <c r="D2833">
        <v>2023</v>
      </c>
      <c r="E2833">
        <v>6</v>
      </c>
      <c r="F2833">
        <v>68</v>
      </c>
      <c r="G2833" t="s">
        <v>15</v>
      </c>
      <c r="H2833" t="s">
        <v>11</v>
      </c>
      <c r="I2833" s="1" t="s">
        <v>16</v>
      </c>
    </row>
    <row r="2834" spans="1:10" hidden="1" x14ac:dyDescent="0.35">
      <c r="A2834" t="str">
        <f t="shared" si="44"/>
        <v>Santa Helena de Minas20232.1</v>
      </c>
      <c r="B2834">
        <v>3157658</v>
      </c>
      <c r="C2834" t="s">
        <v>58</v>
      </c>
      <c r="D2834">
        <v>2023</v>
      </c>
      <c r="E2834">
        <v>6</v>
      </c>
      <c r="F2834">
        <v>28</v>
      </c>
      <c r="G2834" t="s">
        <v>17</v>
      </c>
      <c r="H2834" t="s">
        <v>18</v>
      </c>
      <c r="I2834" s="1" t="s">
        <v>19</v>
      </c>
    </row>
    <row r="2835" spans="1:10" hidden="1" x14ac:dyDescent="0.35">
      <c r="A2835" t="str">
        <f t="shared" si="44"/>
        <v>Santa Helena de Minas20232.2</v>
      </c>
      <c r="B2835">
        <v>3157658</v>
      </c>
      <c r="C2835" t="s">
        <v>58</v>
      </c>
      <c r="D2835">
        <v>2023</v>
      </c>
      <c r="E2835">
        <v>6</v>
      </c>
      <c r="F2835">
        <v>29</v>
      </c>
      <c r="G2835" t="s">
        <v>20</v>
      </c>
      <c r="H2835" t="s">
        <v>18</v>
      </c>
      <c r="I2835" s="1" t="s">
        <v>21</v>
      </c>
      <c r="J2835">
        <v>1.07</v>
      </c>
    </row>
    <row r="2836" spans="1:10" hidden="1" x14ac:dyDescent="0.35">
      <c r="A2836" t="str">
        <f t="shared" si="44"/>
        <v>Santa Helena de Minas20232.4</v>
      </c>
      <c r="B2836">
        <v>3157658</v>
      </c>
      <c r="C2836" t="s">
        <v>58</v>
      </c>
      <c r="D2836">
        <v>2023</v>
      </c>
      <c r="E2836">
        <v>6</v>
      </c>
      <c r="F2836">
        <v>31</v>
      </c>
      <c r="G2836" t="s">
        <v>22</v>
      </c>
      <c r="H2836" t="s">
        <v>18</v>
      </c>
      <c r="I2836" s="1" t="s">
        <v>23</v>
      </c>
      <c r="J2836">
        <v>2.1600000000000001E-2</v>
      </c>
    </row>
    <row r="2837" spans="1:10" hidden="1" x14ac:dyDescent="0.35">
      <c r="A2837" t="str">
        <f t="shared" si="44"/>
        <v>Santa Helena de Minas20232.5</v>
      </c>
      <c r="B2837">
        <v>3157658</v>
      </c>
      <c r="C2837" t="s">
        <v>58</v>
      </c>
      <c r="D2837">
        <v>2023</v>
      </c>
      <c r="E2837">
        <v>6</v>
      </c>
      <c r="F2837">
        <v>32</v>
      </c>
      <c r="G2837" t="s">
        <v>24</v>
      </c>
      <c r="H2837" t="s">
        <v>18</v>
      </c>
      <c r="I2837" s="1" t="s">
        <v>25</v>
      </c>
      <c r="J2837">
        <v>0.2984</v>
      </c>
    </row>
    <row r="2838" spans="1:10" hidden="1" x14ac:dyDescent="0.35">
      <c r="A2838" t="str">
        <f t="shared" si="44"/>
        <v>Santa Helena de Minas20232.8</v>
      </c>
      <c r="B2838">
        <v>3157658</v>
      </c>
      <c r="C2838" t="s">
        <v>58</v>
      </c>
      <c r="D2838">
        <v>2023</v>
      </c>
      <c r="E2838">
        <v>6</v>
      </c>
      <c r="F2838">
        <v>35</v>
      </c>
      <c r="G2838" t="s">
        <v>26</v>
      </c>
      <c r="H2838" t="s">
        <v>18</v>
      </c>
      <c r="I2838" s="1" t="s">
        <v>27</v>
      </c>
    </row>
    <row r="2839" spans="1:10" hidden="1" x14ac:dyDescent="0.35">
      <c r="A2839" t="str">
        <f t="shared" si="44"/>
        <v>Santa Helena de Minas20234.1</v>
      </c>
      <c r="B2839">
        <v>3157658</v>
      </c>
      <c r="C2839" t="s">
        <v>58</v>
      </c>
      <c r="D2839">
        <v>2023</v>
      </c>
      <c r="E2839">
        <v>6</v>
      </c>
      <c r="F2839">
        <v>44</v>
      </c>
      <c r="G2839" t="s">
        <v>28</v>
      </c>
      <c r="H2839" t="s">
        <v>29</v>
      </c>
      <c r="I2839" s="1" t="s">
        <v>30</v>
      </c>
      <c r="J2839">
        <v>2943.63</v>
      </c>
    </row>
    <row r="2840" spans="1:10" hidden="1" x14ac:dyDescent="0.35">
      <c r="A2840" t="str">
        <f t="shared" si="44"/>
        <v>Santa Helena de Minas20234.10</v>
      </c>
      <c r="B2840">
        <v>3157658</v>
      </c>
      <c r="C2840" t="s">
        <v>58</v>
      </c>
      <c r="D2840">
        <v>2023</v>
      </c>
      <c r="E2840">
        <v>6</v>
      </c>
      <c r="F2840">
        <v>58</v>
      </c>
      <c r="G2840" t="s">
        <v>31</v>
      </c>
      <c r="H2840" t="s">
        <v>29</v>
      </c>
      <c r="I2840" s="1" t="s">
        <v>32</v>
      </c>
      <c r="J2840">
        <v>6937.17</v>
      </c>
    </row>
    <row r="2841" spans="1:10" hidden="1" x14ac:dyDescent="0.35">
      <c r="A2841" t="str">
        <f t="shared" si="44"/>
        <v>Santa Helena de Minas20234.11</v>
      </c>
      <c r="B2841">
        <v>3157658</v>
      </c>
      <c r="C2841" t="s">
        <v>58</v>
      </c>
      <c r="D2841">
        <v>2023</v>
      </c>
      <c r="E2841">
        <v>6</v>
      </c>
      <c r="F2841">
        <v>59</v>
      </c>
      <c r="G2841" t="s">
        <v>33</v>
      </c>
      <c r="H2841" t="s">
        <v>29</v>
      </c>
      <c r="I2841" s="1" t="s">
        <v>34</v>
      </c>
    </row>
    <row r="2842" spans="1:10" hidden="1" x14ac:dyDescent="0.35">
      <c r="A2842" t="str">
        <f t="shared" si="44"/>
        <v>Santa Helena de Minas20234.2</v>
      </c>
      <c r="B2842">
        <v>3157658</v>
      </c>
      <c r="C2842" t="s">
        <v>58</v>
      </c>
      <c r="D2842">
        <v>2023</v>
      </c>
      <c r="E2842">
        <v>6</v>
      </c>
      <c r="F2842">
        <v>45</v>
      </c>
      <c r="G2842" t="s">
        <v>35</v>
      </c>
      <c r="H2842" t="s">
        <v>29</v>
      </c>
      <c r="I2842" s="1" t="s">
        <v>36</v>
      </c>
      <c r="J2842">
        <v>17582.14</v>
      </c>
    </row>
    <row r="2843" spans="1:10" hidden="1" x14ac:dyDescent="0.35">
      <c r="A2843" t="str">
        <f t="shared" si="44"/>
        <v>Santa Helena de Minas20234.8</v>
      </c>
      <c r="B2843">
        <v>3157658</v>
      </c>
      <c r="C2843" t="s">
        <v>58</v>
      </c>
      <c r="D2843">
        <v>2023</v>
      </c>
      <c r="E2843">
        <v>6</v>
      </c>
      <c r="F2843">
        <v>56</v>
      </c>
      <c r="G2843" t="s">
        <v>37</v>
      </c>
      <c r="H2843" t="s">
        <v>29</v>
      </c>
      <c r="I2843" s="1" t="s">
        <v>38</v>
      </c>
      <c r="J2843">
        <v>41127.5</v>
      </c>
    </row>
    <row r="2844" spans="1:10" hidden="1" x14ac:dyDescent="0.35">
      <c r="A2844" t="str">
        <f t="shared" si="44"/>
        <v>Santa Helena de Minas20234.9</v>
      </c>
      <c r="B2844">
        <v>3157658</v>
      </c>
      <c r="C2844" t="s">
        <v>58</v>
      </c>
      <c r="D2844">
        <v>2023</v>
      </c>
      <c r="E2844">
        <v>6</v>
      </c>
      <c r="F2844">
        <v>57</v>
      </c>
      <c r="G2844" t="s">
        <v>39</v>
      </c>
      <c r="H2844" t="s">
        <v>29</v>
      </c>
      <c r="I2844" s="1" t="s">
        <v>40</v>
      </c>
      <c r="J2844">
        <v>41127.5</v>
      </c>
    </row>
    <row r="2845" spans="1:10" hidden="1" x14ac:dyDescent="0.35">
      <c r="A2845" t="str">
        <f t="shared" si="44"/>
        <v>Serra dos Aimorés20231.1</v>
      </c>
      <c r="B2845">
        <v>3166709</v>
      </c>
      <c r="C2845" t="s">
        <v>59</v>
      </c>
      <c r="D2845">
        <v>2023</v>
      </c>
      <c r="E2845">
        <v>6</v>
      </c>
      <c r="F2845">
        <v>24</v>
      </c>
      <c r="G2845" t="s">
        <v>10</v>
      </c>
      <c r="H2845" t="s">
        <v>11</v>
      </c>
      <c r="I2845" s="1" t="s">
        <v>12</v>
      </c>
      <c r="J2845">
        <v>0.30990000000000001</v>
      </c>
    </row>
    <row r="2846" spans="1:10" hidden="1" x14ac:dyDescent="0.35">
      <c r="A2846" t="str">
        <f t="shared" si="44"/>
        <v>Serra dos Aimorés20231.2</v>
      </c>
      <c r="B2846">
        <v>3166709</v>
      </c>
      <c r="C2846" t="s">
        <v>59</v>
      </c>
      <c r="D2846">
        <v>2023</v>
      </c>
      <c r="E2846">
        <v>6</v>
      </c>
      <c r="F2846">
        <v>67</v>
      </c>
      <c r="G2846" t="s">
        <v>13</v>
      </c>
      <c r="H2846" t="s">
        <v>11</v>
      </c>
      <c r="I2846" s="1" t="s">
        <v>14</v>
      </c>
      <c r="J2846">
        <v>0.59360000000000002</v>
      </c>
    </row>
    <row r="2847" spans="1:10" hidden="1" x14ac:dyDescent="0.35">
      <c r="A2847" t="str">
        <f t="shared" si="44"/>
        <v>Serra dos Aimorés20231.3</v>
      </c>
      <c r="B2847">
        <v>3166709</v>
      </c>
      <c r="C2847" t="s">
        <v>59</v>
      </c>
      <c r="D2847">
        <v>2023</v>
      </c>
      <c r="E2847">
        <v>6</v>
      </c>
      <c r="F2847">
        <v>68</v>
      </c>
      <c r="G2847" t="s">
        <v>15</v>
      </c>
      <c r="H2847" t="s">
        <v>11</v>
      </c>
      <c r="I2847" s="1" t="s">
        <v>16</v>
      </c>
      <c r="J2847">
        <v>0.40639999999999998</v>
      </c>
    </row>
    <row r="2848" spans="1:10" hidden="1" x14ac:dyDescent="0.35">
      <c r="A2848" t="str">
        <f t="shared" si="44"/>
        <v>Serra dos Aimorés20232.1</v>
      </c>
      <c r="B2848">
        <v>3166709</v>
      </c>
      <c r="C2848" t="s">
        <v>59</v>
      </c>
      <c r="D2848">
        <v>2023</v>
      </c>
      <c r="E2848">
        <v>6</v>
      </c>
      <c r="F2848">
        <v>28</v>
      </c>
      <c r="G2848" t="s">
        <v>17</v>
      </c>
      <c r="H2848" t="s">
        <v>18</v>
      </c>
      <c r="I2848" s="1" t="s">
        <v>19</v>
      </c>
      <c r="J2848">
        <v>0.51529999999999998</v>
      </c>
    </row>
    <row r="2849" spans="1:10" hidden="1" x14ac:dyDescent="0.35">
      <c r="A2849" t="str">
        <f t="shared" si="44"/>
        <v>Serra dos Aimorés20232.2</v>
      </c>
      <c r="B2849">
        <v>3166709</v>
      </c>
      <c r="C2849" t="s">
        <v>59</v>
      </c>
      <c r="D2849">
        <v>2023</v>
      </c>
      <c r="E2849">
        <v>6</v>
      </c>
      <c r="F2849">
        <v>29</v>
      </c>
      <c r="G2849" t="s">
        <v>20</v>
      </c>
      <c r="H2849" t="s">
        <v>18</v>
      </c>
      <c r="I2849" s="1" t="s">
        <v>21</v>
      </c>
      <c r="J2849">
        <v>0.41949999999999998</v>
      </c>
    </row>
    <row r="2850" spans="1:10" hidden="1" x14ac:dyDescent="0.35">
      <c r="A2850" t="str">
        <f t="shared" si="44"/>
        <v>Serra dos Aimorés20232.4</v>
      </c>
      <c r="B2850">
        <v>3166709</v>
      </c>
      <c r="C2850" t="s">
        <v>59</v>
      </c>
      <c r="D2850">
        <v>2023</v>
      </c>
      <c r="E2850">
        <v>6</v>
      </c>
      <c r="F2850">
        <v>31</v>
      </c>
      <c r="G2850" t="s">
        <v>22</v>
      </c>
      <c r="H2850" t="s">
        <v>18</v>
      </c>
      <c r="I2850" s="1" t="s">
        <v>23</v>
      </c>
      <c r="J2850">
        <v>0.14940000000000001</v>
      </c>
    </row>
    <row r="2851" spans="1:10" hidden="1" x14ac:dyDescent="0.35">
      <c r="A2851" t="str">
        <f t="shared" si="44"/>
        <v>Serra dos Aimorés20232.5</v>
      </c>
      <c r="B2851">
        <v>3166709</v>
      </c>
      <c r="C2851" t="s">
        <v>59</v>
      </c>
      <c r="D2851">
        <v>2023</v>
      </c>
      <c r="E2851">
        <v>6</v>
      </c>
      <c r="F2851">
        <v>32</v>
      </c>
      <c r="G2851" t="s">
        <v>24</v>
      </c>
      <c r="H2851" t="s">
        <v>18</v>
      </c>
      <c r="I2851" s="1" t="s">
        <v>25</v>
      </c>
      <c r="J2851">
        <v>0.28210000000000002</v>
      </c>
    </row>
    <row r="2852" spans="1:10" hidden="1" x14ac:dyDescent="0.35">
      <c r="A2852" t="str">
        <f t="shared" si="44"/>
        <v>Serra dos Aimorés20232.8</v>
      </c>
      <c r="B2852">
        <v>3166709</v>
      </c>
      <c r="C2852" t="s">
        <v>59</v>
      </c>
      <c r="D2852">
        <v>2023</v>
      </c>
      <c r="E2852">
        <v>6</v>
      </c>
      <c r="F2852">
        <v>35</v>
      </c>
      <c r="G2852" t="s">
        <v>26</v>
      </c>
      <c r="H2852" t="s">
        <v>18</v>
      </c>
      <c r="I2852" s="1" t="s">
        <v>27</v>
      </c>
    </row>
    <row r="2853" spans="1:10" hidden="1" x14ac:dyDescent="0.35">
      <c r="A2853" t="str">
        <f t="shared" si="44"/>
        <v>Serra dos Aimorés20234.1</v>
      </c>
      <c r="B2853">
        <v>3166709</v>
      </c>
      <c r="C2853" t="s">
        <v>59</v>
      </c>
      <c r="D2853">
        <v>2023</v>
      </c>
      <c r="E2853">
        <v>6</v>
      </c>
      <c r="F2853">
        <v>44</v>
      </c>
      <c r="G2853" t="s">
        <v>28</v>
      </c>
      <c r="H2853" t="s">
        <v>29</v>
      </c>
      <c r="I2853" s="1" t="s">
        <v>30</v>
      </c>
      <c r="J2853">
        <v>7997.18</v>
      </c>
    </row>
    <row r="2854" spans="1:10" hidden="1" x14ac:dyDescent="0.35">
      <c r="A2854" t="str">
        <f t="shared" si="44"/>
        <v>Serra dos Aimorés20234.10</v>
      </c>
      <c r="B2854">
        <v>3166709</v>
      </c>
      <c r="C2854" t="s">
        <v>59</v>
      </c>
      <c r="D2854">
        <v>2023</v>
      </c>
      <c r="E2854">
        <v>6</v>
      </c>
      <c r="F2854">
        <v>58</v>
      </c>
      <c r="G2854" t="s">
        <v>31</v>
      </c>
      <c r="H2854" t="s">
        <v>29</v>
      </c>
      <c r="I2854" s="1" t="s">
        <v>32</v>
      </c>
      <c r="J2854">
        <v>4076.48</v>
      </c>
    </row>
    <row r="2855" spans="1:10" hidden="1" x14ac:dyDescent="0.35">
      <c r="A2855" t="str">
        <f t="shared" si="44"/>
        <v>Serra dos Aimorés20234.11</v>
      </c>
      <c r="B2855">
        <v>3166709</v>
      </c>
      <c r="C2855" t="s">
        <v>59</v>
      </c>
      <c r="D2855">
        <v>2023</v>
      </c>
      <c r="E2855">
        <v>6</v>
      </c>
      <c r="F2855">
        <v>59</v>
      </c>
      <c r="G2855" t="s">
        <v>33</v>
      </c>
      <c r="H2855" t="s">
        <v>29</v>
      </c>
      <c r="I2855" s="1" t="s">
        <v>34</v>
      </c>
      <c r="J2855">
        <v>2680.14</v>
      </c>
    </row>
    <row r="2856" spans="1:10" hidden="1" x14ac:dyDescent="0.35">
      <c r="A2856" t="str">
        <f t="shared" si="44"/>
        <v>Serra dos Aimorés20234.2</v>
      </c>
      <c r="B2856">
        <v>3166709</v>
      </c>
      <c r="C2856" t="s">
        <v>59</v>
      </c>
      <c r="D2856">
        <v>2023</v>
      </c>
      <c r="E2856">
        <v>6</v>
      </c>
      <c r="F2856">
        <v>45</v>
      </c>
      <c r="G2856" t="s">
        <v>35</v>
      </c>
      <c r="H2856" t="s">
        <v>29</v>
      </c>
      <c r="I2856" s="1" t="s">
        <v>36</v>
      </c>
      <c r="J2856">
        <v>13603.67</v>
      </c>
    </row>
    <row r="2857" spans="1:10" hidden="1" x14ac:dyDescent="0.35">
      <c r="A2857" t="str">
        <f t="shared" si="44"/>
        <v>Serra dos Aimorés20234.8</v>
      </c>
      <c r="B2857">
        <v>3166709</v>
      </c>
      <c r="C2857" t="s">
        <v>59</v>
      </c>
      <c r="D2857">
        <v>2023</v>
      </c>
      <c r="E2857">
        <v>6</v>
      </c>
      <c r="F2857">
        <v>56</v>
      </c>
      <c r="G2857" t="s">
        <v>37</v>
      </c>
      <c r="H2857" t="s">
        <v>29</v>
      </c>
      <c r="I2857" s="1" t="s">
        <v>38</v>
      </c>
      <c r="J2857">
        <v>23997.33</v>
      </c>
    </row>
    <row r="2858" spans="1:10" hidden="1" x14ac:dyDescent="0.35">
      <c r="A2858" t="str">
        <f t="shared" si="44"/>
        <v>Serra dos Aimorés20234.9</v>
      </c>
      <c r="B2858">
        <v>3166709</v>
      </c>
      <c r="C2858" t="s">
        <v>59</v>
      </c>
      <c r="D2858">
        <v>2023</v>
      </c>
      <c r="E2858">
        <v>6</v>
      </c>
      <c r="F2858">
        <v>57</v>
      </c>
      <c r="G2858" t="s">
        <v>39</v>
      </c>
      <c r="H2858" t="s">
        <v>29</v>
      </c>
      <c r="I2858" s="1" t="s">
        <v>40</v>
      </c>
      <c r="J2858">
        <v>23997.33</v>
      </c>
    </row>
    <row r="2859" spans="1:10" hidden="1" x14ac:dyDescent="0.35">
      <c r="A2859" t="str">
        <f t="shared" si="44"/>
        <v>Setubinha20231.1</v>
      </c>
      <c r="B2859">
        <v>3165552</v>
      </c>
      <c r="C2859" t="s">
        <v>60</v>
      </c>
      <c r="D2859">
        <v>2023</v>
      </c>
      <c r="E2859">
        <v>6</v>
      </c>
      <c r="F2859">
        <v>24</v>
      </c>
      <c r="G2859" t="s">
        <v>10</v>
      </c>
      <c r="H2859" t="s">
        <v>11</v>
      </c>
      <c r="I2859" s="1" t="s">
        <v>12</v>
      </c>
      <c r="J2859">
        <v>0.29630000000000001</v>
      </c>
    </row>
    <row r="2860" spans="1:10" hidden="1" x14ac:dyDescent="0.35">
      <c r="A2860" t="str">
        <f t="shared" si="44"/>
        <v>Setubinha20231.2</v>
      </c>
      <c r="B2860">
        <v>3165552</v>
      </c>
      <c r="C2860" t="s">
        <v>60</v>
      </c>
      <c r="D2860">
        <v>2023</v>
      </c>
      <c r="E2860">
        <v>6</v>
      </c>
      <c r="F2860">
        <v>67</v>
      </c>
      <c r="G2860" t="s">
        <v>13</v>
      </c>
      <c r="H2860" t="s">
        <v>11</v>
      </c>
      <c r="I2860" s="1" t="s">
        <v>14</v>
      </c>
      <c r="J2860">
        <v>0.99219999999999997</v>
      </c>
    </row>
    <row r="2861" spans="1:10" hidden="1" x14ac:dyDescent="0.35">
      <c r="A2861" t="str">
        <f t="shared" si="44"/>
        <v>Setubinha20231.3</v>
      </c>
      <c r="B2861">
        <v>3165552</v>
      </c>
      <c r="C2861" t="s">
        <v>60</v>
      </c>
      <c r="D2861">
        <v>2023</v>
      </c>
      <c r="E2861">
        <v>6</v>
      </c>
      <c r="F2861">
        <v>68</v>
      </c>
      <c r="G2861" t="s">
        <v>15</v>
      </c>
      <c r="H2861" t="s">
        <v>11</v>
      </c>
      <c r="I2861" s="1" t="s">
        <v>16</v>
      </c>
      <c r="J2861">
        <v>7.7999999999999996E-3</v>
      </c>
    </row>
    <row r="2862" spans="1:10" hidden="1" x14ac:dyDescent="0.35">
      <c r="A2862" t="str">
        <f t="shared" si="44"/>
        <v>Setubinha20232.1</v>
      </c>
      <c r="B2862">
        <v>3165552</v>
      </c>
      <c r="C2862" t="s">
        <v>60</v>
      </c>
      <c r="D2862">
        <v>2023</v>
      </c>
      <c r="E2862">
        <v>6</v>
      </c>
      <c r="F2862">
        <v>28</v>
      </c>
      <c r="G2862" t="s">
        <v>17</v>
      </c>
      <c r="H2862" t="s">
        <v>18</v>
      </c>
      <c r="I2862" s="1" t="s">
        <v>19</v>
      </c>
      <c r="J2862">
        <v>0.72689999999999999</v>
      </c>
    </row>
    <row r="2863" spans="1:10" hidden="1" x14ac:dyDescent="0.35">
      <c r="A2863" t="str">
        <f t="shared" si="44"/>
        <v>Setubinha20232.2</v>
      </c>
      <c r="B2863">
        <v>3165552</v>
      </c>
      <c r="C2863" t="s">
        <v>60</v>
      </c>
      <c r="D2863">
        <v>2023</v>
      </c>
      <c r="E2863">
        <v>6</v>
      </c>
      <c r="F2863">
        <v>29</v>
      </c>
      <c r="G2863" t="s">
        <v>20</v>
      </c>
      <c r="H2863" t="s">
        <v>18</v>
      </c>
      <c r="I2863" s="1" t="s">
        <v>21</v>
      </c>
      <c r="J2863">
        <v>0.29220000000000002</v>
      </c>
    </row>
    <row r="2864" spans="1:10" hidden="1" x14ac:dyDescent="0.35">
      <c r="A2864" t="str">
        <f t="shared" si="44"/>
        <v>Setubinha20232.4</v>
      </c>
      <c r="B2864">
        <v>3165552</v>
      </c>
      <c r="C2864" t="s">
        <v>60</v>
      </c>
      <c r="D2864">
        <v>2023</v>
      </c>
      <c r="E2864">
        <v>6</v>
      </c>
      <c r="F2864">
        <v>31</v>
      </c>
      <c r="G2864" t="s">
        <v>22</v>
      </c>
      <c r="H2864" t="s">
        <v>18</v>
      </c>
      <c r="I2864" s="1" t="s">
        <v>23</v>
      </c>
      <c r="J2864">
        <v>0.11990000000000001</v>
      </c>
    </row>
    <row r="2865" spans="1:10" hidden="1" x14ac:dyDescent="0.35">
      <c r="A2865" t="str">
        <f t="shared" si="44"/>
        <v>Setubinha20232.5</v>
      </c>
      <c r="B2865">
        <v>3165552</v>
      </c>
      <c r="C2865" t="s">
        <v>60</v>
      </c>
      <c r="D2865">
        <v>2023</v>
      </c>
      <c r="E2865">
        <v>6</v>
      </c>
      <c r="F2865">
        <v>32</v>
      </c>
      <c r="G2865" t="s">
        <v>24</v>
      </c>
      <c r="H2865" t="s">
        <v>18</v>
      </c>
      <c r="I2865" s="1" t="s">
        <v>25</v>
      </c>
      <c r="J2865">
        <v>0.1447</v>
      </c>
    </row>
    <row r="2866" spans="1:10" hidden="1" x14ac:dyDescent="0.35">
      <c r="A2866" t="str">
        <f t="shared" si="44"/>
        <v>Setubinha20232.8</v>
      </c>
      <c r="B2866">
        <v>3165552</v>
      </c>
      <c r="C2866" t="s">
        <v>60</v>
      </c>
      <c r="D2866">
        <v>2023</v>
      </c>
      <c r="E2866">
        <v>6</v>
      </c>
      <c r="F2866">
        <v>35</v>
      </c>
      <c r="G2866" t="s">
        <v>26</v>
      </c>
      <c r="H2866" t="s">
        <v>18</v>
      </c>
      <c r="I2866" s="1" t="s">
        <v>27</v>
      </c>
    </row>
    <row r="2867" spans="1:10" hidden="1" x14ac:dyDescent="0.35">
      <c r="A2867" t="str">
        <f t="shared" si="44"/>
        <v>Setubinha20234.1</v>
      </c>
      <c r="B2867">
        <v>3165552</v>
      </c>
      <c r="C2867" t="s">
        <v>60</v>
      </c>
      <c r="D2867">
        <v>2023</v>
      </c>
      <c r="E2867">
        <v>6</v>
      </c>
      <c r="F2867">
        <v>44</v>
      </c>
      <c r="G2867" t="s">
        <v>28</v>
      </c>
      <c r="H2867" t="s">
        <v>29</v>
      </c>
      <c r="I2867" s="1" t="s">
        <v>30</v>
      </c>
      <c r="J2867">
        <v>9732.31</v>
      </c>
    </row>
    <row r="2868" spans="1:10" hidden="1" x14ac:dyDescent="0.35">
      <c r="A2868" t="str">
        <f t="shared" si="44"/>
        <v>Setubinha20234.10</v>
      </c>
      <c r="B2868">
        <v>3165552</v>
      </c>
      <c r="C2868" t="s">
        <v>60</v>
      </c>
      <c r="D2868">
        <v>2023</v>
      </c>
      <c r="E2868">
        <v>6</v>
      </c>
      <c r="F2868">
        <v>58</v>
      </c>
      <c r="G2868" t="s">
        <v>31</v>
      </c>
      <c r="H2868" t="s">
        <v>29</v>
      </c>
      <c r="I2868" s="1" t="s">
        <v>32</v>
      </c>
      <c r="J2868">
        <v>6868.21</v>
      </c>
    </row>
    <row r="2869" spans="1:10" hidden="1" x14ac:dyDescent="0.35">
      <c r="A2869" t="str">
        <f t="shared" si="44"/>
        <v>Setubinha20234.11</v>
      </c>
      <c r="B2869">
        <v>3165552</v>
      </c>
      <c r="C2869" t="s">
        <v>60</v>
      </c>
      <c r="D2869">
        <v>2023</v>
      </c>
      <c r="E2869">
        <v>6</v>
      </c>
      <c r="F2869">
        <v>59</v>
      </c>
      <c r="G2869" t="s">
        <v>33</v>
      </c>
      <c r="H2869" t="s">
        <v>29</v>
      </c>
      <c r="I2869" s="1" t="s">
        <v>34</v>
      </c>
      <c r="J2869">
        <v>52.81</v>
      </c>
    </row>
    <row r="2870" spans="1:10" hidden="1" x14ac:dyDescent="0.35">
      <c r="A2870" t="str">
        <f t="shared" si="44"/>
        <v>Setubinha20234.2</v>
      </c>
      <c r="B2870">
        <v>3165552</v>
      </c>
      <c r="C2870" t="s">
        <v>60</v>
      </c>
      <c r="D2870">
        <v>2023</v>
      </c>
      <c r="E2870">
        <v>6</v>
      </c>
      <c r="F2870">
        <v>45</v>
      </c>
      <c r="G2870" t="s">
        <v>35</v>
      </c>
      <c r="H2870" t="s">
        <v>29</v>
      </c>
      <c r="I2870" s="1" t="s">
        <v>36</v>
      </c>
      <c r="J2870">
        <v>17373.45</v>
      </c>
    </row>
    <row r="2871" spans="1:10" hidden="1" x14ac:dyDescent="0.35">
      <c r="A2871" t="str">
        <f t="shared" si="44"/>
        <v>Setubinha20234.8</v>
      </c>
      <c r="B2871">
        <v>3165552</v>
      </c>
      <c r="C2871" t="s">
        <v>60</v>
      </c>
      <c r="D2871">
        <v>2023</v>
      </c>
      <c r="E2871">
        <v>6</v>
      </c>
      <c r="F2871">
        <v>56</v>
      </c>
      <c r="G2871" t="s">
        <v>37</v>
      </c>
      <c r="H2871" t="s">
        <v>29</v>
      </c>
      <c r="I2871" s="1" t="s">
        <v>38</v>
      </c>
      <c r="J2871">
        <v>47056.27</v>
      </c>
    </row>
    <row r="2872" spans="1:10" hidden="1" x14ac:dyDescent="0.35">
      <c r="A2872" t="str">
        <f t="shared" si="44"/>
        <v>Setubinha20234.9</v>
      </c>
      <c r="B2872">
        <v>3165552</v>
      </c>
      <c r="C2872" t="s">
        <v>60</v>
      </c>
      <c r="D2872">
        <v>2023</v>
      </c>
      <c r="E2872">
        <v>6</v>
      </c>
      <c r="F2872">
        <v>57</v>
      </c>
      <c r="G2872" t="s">
        <v>39</v>
      </c>
      <c r="H2872" t="s">
        <v>29</v>
      </c>
      <c r="I2872" s="1" t="s">
        <v>40</v>
      </c>
      <c r="J2872">
        <v>47056.27</v>
      </c>
    </row>
    <row r="2873" spans="1:10" hidden="1" x14ac:dyDescent="0.35">
      <c r="A2873" t="str">
        <f t="shared" si="44"/>
        <v>Teófilo Otoni20231.1</v>
      </c>
      <c r="B2873">
        <v>3168606</v>
      </c>
      <c r="C2873" t="s">
        <v>61</v>
      </c>
      <c r="D2873">
        <v>2023</v>
      </c>
      <c r="E2873">
        <v>6</v>
      </c>
      <c r="F2873">
        <v>24</v>
      </c>
      <c r="G2873" t="s">
        <v>10</v>
      </c>
      <c r="H2873" t="s">
        <v>11</v>
      </c>
      <c r="I2873" s="1" t="s">
        <v>12</v>
      </c>
      <c r="J2873">
        <v>0.28939999999999999</v>
      </c>
    </row>
    <row r="2874" spans="1:10" hidden="1" x14ac:dyDescent="0.35">
      <c r="A2874" t="str">
        <f t="shared" si="44"/>
        <v>Teófilo Otoni20231.2</v>
      </c>
      <c r="B2874">
        <v>3168606</v>
      </c>
      <c r="C2874" t="s">
        <v>61</v>
      </c>
      <c r="D2874">
        <v>2023</v>
      </c>
      <c r="E2874">
        <v>6</v>
      </c>
      <c r="F2874">
        <v>67</v>
      </c>
      <c r="G2874" t="s">
        <v>13</v>
      </c>
      <c r="H2874" t="s">
        <v>11</v>
      </c>
      <c r="I2874" s="1" t="s">
        <v>14</v>
      </c>
      <c r="J2874">
        <v>0.8962</v>
      </c>
    </row>
    <row r="2875" spans="1:10" hidden="1" x14ac:dyDescent="0.35">
      <c r="A2875" t="str">
        <f t="shared" si="44"/>
        <v>Teófilo Otoni20231.3</v>
      </c>
      <c r="B2875">
        <v>3168606</v>
      </c>
      <c r="C2875" t="s">
        <v>61</v>
      </c>
      <c r="D2875">
        <v>2023</v>
      </c>
      <c r="E2875">
        <v>6</v>
      </c>
      <c r="F2875">
        <v>68</v>
      </c>
      <c r="G2875" t="s">
        <v>15</v>
      </c>
      <c r="H2875" t="s">
        <v>11</v>
      </c>
      <c r="I2875" s="1" t="s">
        <v>16</v>
      </c>
      <c r="J2875">
        <v>0.1038</v>
      </c>
    </row>
    <row r="2876" spans="1:10" hidden="1" x14ac:dyDescent="0.35">
      <c r="A2876" t="str">
        <f t="shared" si="44"/>
        <v>Teófilo Otoni20232.1</v>
      </c>
      <c r="B2876">
        <v>3168606</v>
      </c>
      <c r="C2876" t="s">
        <v>61</v>
      </c>
      <c r="D2876">
        <v>2023</v>
      </c>
      <c r="E2876">
        <v>6</v>
      </c>
      <c r="F2876">
        <v>28</v>
      </c>
      <c r="G2876" t="s">
        <v>17</v>
      </c>
      <c r="H2876" t="s">
        <v>18</v>
      </c>
      <c r="I2876" s="1" t="s">
        <v>19</v>
      </c>
      <c r="J2876">
        <v>0.37540000000000001</v>
      </c>
    </row>
    <row r="2877" spans="1:10" hidden="1" x14ac:dyDescent="0.35">
      <c r="A2877" t="str">
        <f t="shared" si="44"/>
        <v>Teófilo Otoni20232.2</v>
      </c>
      <c r="B2877">
        <v>3168606</v>
      </c>
      <c r="C2877" t="s">
        <v>61</v>
      </c>
      <c r="D2877">
        <v>2023</v>
      </c>
      <c r="E2877">
        <v>6</v>
      </c>
      <c r="F2877">
        <v>29</v>
      </c>
      <c r="G2877" t="s">
        <v>20</v>
      </c>
      <c r="H2877" t="s">
        <v>18</v>
      </c>
      <c r="I2877" s="1" t="s">
        <v>21</v>
      </c>
      <c r="J2877">
        <v>0.56769999999999998</v>
      </c>
    </row>
    <row r="2878" spans="1:10" hidden="1" x14ac:dyDescent="0.35">
      <c r="A2878" t="str">
        <f t="shared" si="44"/>
        <v>Teófilo Otoni20232.4</v>
      </c>
      <c r="B2878">
        <v>3168606</v>
      </c>
      <c r="C2878" t="s">
        <v>61</v>
      </c>
      <c r="D2878">
        <v>2023</v>
      </c>
      <c r="E2878">
        <v>6</v>
      </c>
      <c r="F2878">
        <v>31</v>
      </c>
      <c r="G2878" t="s">
        <v>22</v>
      </c>
      <c r="H2878" t="s">
        <v>18</v>
      </c>
      <c r="I2878" s="1" t="s">
        <v>23</v>
      </c>
      <c r="J2878">
        <v>0.30099999999999999</v>
      </c>
    </row>
    <row r="2879" spans="1:10" hidden="1" x14ac:dyDescent="0.35">
      <c r="A2879" t="str">
        <f t="shared" si="44"/>
        <v>Teófilo Otoni20232.5</v>
      </c>
      <c r="B2879">
        <v>3168606</v>
      </c>
      <c r="C2879" t="s">
        <v>61</v>
      </c>
      <c r="D2879">
        <v>2023</v>
      </c>
      <c r="E2879">
        <v>6</v>
      </c>
      <c r="F2879">
        <v>32</v>
      </c>
      <c r="G2879" t="s">
        <v>24</v>
      </c>
      <c r="H2879" t="s">
        <v>18</v>
      </c>
      <c r="I2879" s="1" t="s">
        <v>25</v>
      </c>
      <c r="J2879">
        <v>0.49840000000000001</v>
      </c>
    </row>
    <row r="2880" spans="1:10" hidden="1" x14ac:dyDescent="0.35">
      <c r="A2880" t="str">
        <f t="shared" si="44"/>
        <v>Teófilo Otoni20232.8</v>
      </c>
      <c r="B2880">
        <v>3168606</v>
      </c>
      <c r="C2880" t="s">
        <v>61</v>
      </c>
      <c r="D2880">
        <v>2023</v>
      </c>
      <c r="E2880">
        <v>6</v>
      </c>
      <c r="F2880">
        <v>35</v>
      </c>
      <c r="G2880" t="s">
        <v>26</v>
      </c>
      <c r="H2880" t="s">
        <v>18</v>
      </c>
      <c r="I2880" s="1" t="s">
        <v>27</v>
      </c>
      <c r="J2880">
        <v>0.1769</v>
      </c>
    </row>
    <row r="2881" spans="1:10" hidden="1" x14ac:dyDescent="0.35">
      <c r="A2881" t="str">
        <f t="shared" si="44"/>
        <v>Teófilo Otoni20234.1</v>
      </c>
      <c r="B2881">
        <v>3168606</v>
      </c>
      <c r="C2881" t="s">
        <v>61</v>
      </c>
      <c r="D2881">
        <v>2023</v>
      </c>
      <c r="E2881">
        <v>6</v>
      </c>
      <c r="F2881">
        <v>44</v>
      </c>
      <c r="G2881" t="s">
        <v>28</v>
      </c>
      <c r="H2881" t="s">
        <v>29</v>
      </c>
      <c r="I2881" s="1" t="s">
        <v>30</v>
      </c>
      <c r="J2881">
        <v>8507.34</v>
      </c>
    </row>
    <row r="2882" spans="1:10" hidden="1" x14ac:dyDescent="0.35">
      <c r="A2882" t="str">
        <f t="shared" si="44"/>
        <v>Teófilo Otoni20234.10</v>
      </c>
      <c r="B2882">
        <v>3168606</v>
      </c>
      <c r="C2882" t="s">
        <v>61</v>
      </c>
      <c r="D2882">
        <v>2023</v>
      </c>
      <c r="E2882">
        <v>6</v>
      </c>
      <c r="F2882">
        <v>58</v>
      </c>
      <c r="G2882" t="s">
        <v>31</v>
      </c>
      <c r="H2882" t="s">
        <v>29</v>
      </c>
      <c r="I2882" s="1" t="s">
        <v>32</v>
      </c>
      <c r="J2882">
        <v>5843.37</v>
      </c>
    </row>
    <row r="2883" spans="1:10" hidden="1" x14ac:dyDescent="0.35">
      <c r="A2883" t="str">
        <f t="shared" si="44"/>
        <v>Teófilo Otoni20234.11</v>
      </c>
      <c r="B2883">
        <v>3168606</v>
      </c>
      <c r="C2883" t="s">
        <v>61</v>
      </c>
      <c r="D2883">
        <v>2023</v>
      </c>
      <c r="E2883">
        <v>6</v>
      </c>
      <c r="F2883">
        <v>59</v>
      </c>
      <c r="G2883" t="s">
        <v>33</v>
      </c>
      <c r="H2883" t="s">
        <v>29</v>
      </c>
      <c r="I2883" s="1" t="s">
        <v>34</v>
      </c>
      <c r="J2883">
        <v>4.54</v>
      </c>
    </row>
    <row r="2884" spans="1:10" hidden="1" x14ac:dyDescent="0.35">
      <c r="A2884" t="str">
        <f t="shared" ref="A2884:A2947" si="45">C2884&amp;D2884&amp;G2884</f>
        <v>Teófilo Otoni20234.2</v>
      </c>
      <c r="B2884">
        <v>3168606</v>
      </c>
      <c r="C2884" t="s">
        <v>61</v>
      </c>
      <c r="D2884">
        <v>2023</v>
      </c>
      <c r="E2884">
        <v>6</v>
      </c>
      <c r="F2884">
        <v>45</v>
      </c>
      <c r="G2884" t="s">
        <v>35</v>
      </c>
      <c r="H2884" t="s">
        <v>29</v>
      </c>
      <c r="I2884" s="1" t="s">
        <v>36</v>
      </c>
      <c r="J2884">
        <v>10874.82</v>
      </c>
    </row>
    <row r="2885" spans="1:10" hidden="1" x14ac:dyDescent="0.35">
      <c r="A2885" t="str">
        <f t="shared" si="45"/>
        <v>Teófilo Otoni20234.8</v>
      </c>
      <c r="B2885">
        <v>3168606</v>
      </c>
      <c r="C2885" t="s">
        <v>61</v>
      </c>
      <c r="D2885">
        <v>2023</v>
      </c>
      <c r="E2885">
        <v>6</v>
      </c>
      <c r="F2885">
        <v>56</v>
      </c>
      <c r="G2885" t="s">
        <v>37</v>
      </c>
      <c r="H2885" t="s">
        <v>29</v>
      </c>
      <c r="I2885" s="1" t="s">
        <v>38</v>
      </c>
      <c r="J2885">
        <v>11946.93</v>
      </c>
    </row>
    <row r="2886" spans="1:10" hidden="1" x14ac:dyDescent="0.35">
      <c r="A2886" t="str">
        <f t="shared" si="45"/>
        <v>Teófilo Otoni20234.9</v>
      </c>
      <c r="B2886">
        <v>3168606</v>
      </c>
      <c r="C2886" t="s">
        <v>61</v>
      </c>
      <c r="D2886">
        <v>2023</v>
      </c>
      <c r="E2886">
        <v>6</v>
      </c>
      <c r="F2886">
        <v>57</v>
      </c>
      <c r="G2886" t="s">
        <v>39</v>
      </c>
      <c r="H2886" t="s">
        <v>29</v>
      </c>
      <c r="I2886" s="1" t="s">
        <v>40</v>
      </c>
      <c r="J2886">
        <v>11946.93</v>
      </c>
    </row>
    <row r="2887" spans="1:10" hidden="1" x14ac:dyDescent="0.35">
      <c r="A2887" t="str">
        <f t="shared" si="45"/>
        <v>Umburatiba20231.1</v>
      </c>
      <c r="B2887">
        <v>3170305</v>
      </c>
      <c r="C2887" t="s">
        <v>62</v>
      </c>
      <c r="D2887">
        <v>2023</v>
      </c>
      <c r="E2887">
        <v>6</v>
      </c>
      <c r="F2887">
        <v>24</v>
      </c>
      <c r="G2887" t="s">
        <v>10</v>
      </c>
      <c r="H2887" t="s">
        <v>11</v>
      </c>
      <c r="I2887" s="1" t="s">
        <v>12</v>
      </c>
      <c r="J2887">
        <v>0.28510000000000002</v>
      </c>
    </row>
    <row r="2888" spans="1:10" hidden="1" x14ac:dyDescent="0.35">
      <c r="A2888" t="str">
        <f t="shared" si="45"/>
        <v>Umburatiba20231.2</v>
      </c>
      <c r="B2888">
        <v>3170305</v>
      </c>
      <c r="C2888" t="s">
        <v>62</v>
      </c>
      <c r="D2888">
        <v>2023</v>
      </c>
      <c r="E2888">
        <v>6</v>
      </c>
      <c r="F2888">
        <v>67</v>
      </c>
      <c r="G2888" t="s">
        <v>13</v>
      </c>
      <c r="H2888" t="s">
        <v>11</v>
      </c>
      <c r="I2888" s="1" t="s">
        <v>14</v>
      </c>
      <c r="J2888">
        <v>1</v>
      </c>
    </row>
    <row r="2889" spans="1:10" hidden="1" x14ac:dyDescent="0.35">
      <c r="A2889" t="str">
        <f t="shared" si="45"/>
        <v>Umburatiba20231.3</v>
      </c>
      <c r="B2889">
        <v>3170305</v>
      </c>
      <c r="C2889" t="s">
        <v>62</v>
      </c>
      <c r="D2889">
        <v>2023</v>
      </c>
      <c r="E2889">
        <v>6</v>
      </c>
      <c r="F2889">
        <v>68</v>
      </c>
      <c r="G2889" t="s">
        <v>15</v>
      </c>
      <c r="H2889" t="s">
        <v>11</v>
      </c>
      <c r="I2889" s="1" t="s">
        <v>16</v>
      </c>
    </row>
    <row r="2890" spans="1:10" hidden="1" x14ac:dyDescent="0.35">
      <c r="A2890" t="str">
        <f t="shared" si="45"/>
        <v>Umburatiba20232.1</v>
      </c>
      <c r="B2890">
        <v>3170305</v>
      </c>
      <c r="C2890" t="s">
        <v>62</v>
      </c>
      <c r="D2890">
        <v>2023</v>
      </c>
      <c r="E2890">
        <v>6</v>
      </c>
      <c r="F2890">
        <v>28</v>
      </c>
      <c r="G2890" t="s">
        <v>17</v>
      </c>
      <c r="H2890" t="s">
        <v>18</v>
      </c>
      <c r="I2890" s="1" t="s">
        <v>19</v>
      </c>
    </row>
    <row r="2891" spans="1:10" hidden="1" x14ac:dyDescent="0.35">
      <c r="A2891" t="str">
        <f t="shared" si="45"/>
        <v>Umburatiba20232.2</v>
      </c>
      <c r="B2891">
        <v>3170305</v>
      </c>
      <c r="C2891" t="s">
        <v>62</v>
      </c>
      <c r="D2891">
        <v>2023</v>
      </c>
      <c r="E2891">
        <v>6</v>
      </c>
      <c r="F2891">
        <v>29</v>
      </c>
      <c r="G2891" t="s">
        <v>20</v>
      </c>
      <c r="H2891" t="s">
        <v>18</v>
      </c>
      <c r="I2891" s="1" t="s">
        <v>21</v>
      </c>
      <c r="J2891">
        <v>1.0013000000000001</v>
      </c>
    </row>
    <row r="2892" spans="1:10" hidden="1" x14ac:dyDescent="0.35">
      <c r="A2892" t="str">
        <f t="shared" si="45"/>
        <v>Umburatiba20232.4</v>
      </c>
      <c r="B2892">
        <v>3170305</v>
      </c>
      <c r="C2892" t="s">
        <v>62</v>
      </c>
      <c r="D2892">
        <v>2023</v>
      </c>
      <c r="E2892">
        <v>6</v>
      </c>
      <c r="F2892">
        <v>31</v>
      </c>
      <c r="G2892" t="s">
        <v>22</v>
      </c>
      <c r="H2892" t="s">
        <v>18</v>
      </c>
      <c r="I2892" s="1" t="s">
        <v>23</v>
      </c>
      <c r="J2892">
        <v>4.6199999999999998E-2</v>
      </c>
    </row>
    <row r="2893" spans="1:10" hidden="1" x14ac:dyDescent="0.35">
      <c r="A2893" t="str">
        <f t="shared" si="45"/>
        <v>Umburatiba20232.5</v>
      </c>
      <c r="B2893">
        <v>3170305</v>
      </c>
      <c r="C2893" t="s">
        <v>62</v>
      </c>
      <c r="D2893">
        <v>2023</v>
      </c>
      <c r="E2893">
        <v>6</v>
      </c>
      <c r="F2893">
        <v>32</v>
      </c>
      <c r="G2893" t="s">
        <v>24</v>
      </c>
      <c r="H2893" t="s">
        <v>18</v>
      </c>
      <c r="I2893" s="1" t="s">
        <v>25</v>
      </c>
      <c r="J2893">
        <v>0.31769999999999998</v>
      </c>
    </row>
    <row r="2894" spans="1:10" hidden="1" x14ac:dyDescent="0.35">
      <c r="A2894" t="str">
        <f t="shared" si="45"/>
        <v>Umburatiba20232.8</v>
      </c>
      <c r="B2894">
        <v>3170305</v>
      </c>
      <c r="C2894" t="s">
        <v>62</v>
      </c>
      <c r="D2894">
        <v>2023</v>
      </c>
      <c r="E2894">
        <v>6</v>
      </c>
      <c r="F2894">
        <v>35</v>
      </c>
      <c r="G2894" t="s">
        <v>26</v>
      </c>
      <c r="H2894" t="s">
        <v>18</v>
      </c>
      <c r="I2894" s="1" t="s">
        <v>27</v>
      </c>
    </row>
    <row r="2895" spans="1:10" hidden="1" x14ac:dyDescent="0.35">
      <c r="A2895" t="str">
        <f t="shared" si="45"/>
        <v>Umburatiba20234.1</v>
      </c>
      <c r="B2895">
        <v>3170305</v>
      </c>
      <c r="C2895" t="s">
        <v>62</v>
      </c>
      <c r="D2895">
        <v>2023</v>
      </c>
      <c r="E2895">
        <v>6</v>
      </c>
      <c r="F2895">
        <v>44</v>
      </c>
      <c r="G2895" t="s">
        <v>28</v>
      </c>
      <c r="H2895" t="s">
        <v>29</v>
      </c>
      <c r="I2895" s="1" t="s">
        <v>30</v>
      </c>
      <c r="J2895">
        <v>7953.68</v>
      </c>
    </row>
    <row r="2896" spans="1:10" hidden="1" x14ac:dyDescent="0.35">
      <c r="A2896" t="str">
        <f t="shared" si="45"/>
        <v>Umburatiba20234.10</v>
      </c>
      <c r="B2896">
        <v>3170305</v>
      </c>
      <c r="C2896" t="s">
        <v>62</v>
      </c>
      <c r="D2896">
        <v>2023</v>
      </c>
      <c r="E2896">
        <v>6</v>
      </c>
      <c r="F2896">
        <v>58</v>
      </c>
      <c r="G2896" t="s">
        <v>31</v>
      </c>
      <c r="H2896" t="s">
        <v>29</v>
      </c>
      <c r="I2896" s="1" t="s">
        <v>32</v>
      </c>
      <c r="J2896">
        <v>6463.52</v>
      </c>
    </row>
    <row r="2897" spans="1:10" hidden="1" x14ac:dyDescent="0.35">
      <c r="A2897" t="str">
        <f t="shared" si="45"/>
        <v>Umburatiba20234.11</v>
      </c>
      <c r="B2897">
        <v>3170305</v>
      </c>
      <c r="C2897" t="s">
        <v>62</v>
      </c>
      <c r="D2897">
        <v>2023</v>
      </c>
      <c r="E2897">
        <v>6</v>
      </c>
      <c r="F2897">
        <v>59</v>
      </c>
      <c r="G2897" t="s">
        <v>33</v>
      </c>
      <c r="H2897" t="s">
        <v>29</v>
      </c>
      <c r="I2897" s="1" t="s">
        <v>34</v>
      </c>
    </row>
    <row r="2898" spans="1:10" hidden="1" x14ac:dyDescent="0.35">
      <c r="A2898" t="str">
        <f t="shared" si="45"/>
        <v>Umburatiba20234.2</v>
      </c>
      <c r="B2898">
        <v>3170305</v>
      </c>
      <c r="C2898" t="s">
        <v>62</v>
      </c>
      <c r="D2898">
        <v>2023</v>
      </c>
      <c r="E2898">
        <v>6</v>
      </c>
      <c r="F2898">
        <v>45</v>
      </c>
      <c r="G2898" t="s">
        <v>35</v>
      </c>
      <c r="H2898" t="s">
        <v>29</v>
      </c>
      <c r="I2898" s="1" t="s">
        <v>36</v>
      </c>
      <c r="J2898">
        <v>15754.78</v>
      </c>
    </row>
    <row r="2899" spans="1:10" hidden="1" x14ac:dyDescent="0.35">
      <c r="A2899" t="str">
        <f t="shared" si="45"/>
        <v>Umburatiba20234.8</v>
      </c>
      <c r="B2899">
        <v>3170305</v>
      </c>
      <c r="C2899" t="s">
        <v>62</v>
      </c>
      <c r="D2899">
        <v>2023</v>
      </c>
      <c r="E2899">
        <v>6</v>
      </c>
      <c r="F2899">
        <v>56</v>
      </c>
      <c r="G2899" t="s">
        <v>37</v>
      </c>
      <c r="H2899" t="s">
        <v>29</v>
      </c>
      <c r="I2899" s="1" t="s">
        <v>38</v>
      </c>
      <c r="J2899">
        <v>38502.28</v>
      </c>
    </row>
    <row r="2900" spans="1:10" hidden="1" x14ac:dyDescent="0.35">
      <c r="A2900" t="str">
        <f t="shared" si="45"/>
        <v>Umburatiba20234.9</v>
      </c>
      <c r="B2900">
        <v>3170305</v>
      </c>
      <c r="C2900" t="s">
        <v>62</v>
      </c>
      <c r="D2900">
        <v>2023</v>
      </c>
      <c r="E2900">
        <v>6</v>
      </c>
      <c r="F2900">
        <v>57</v>
      </c>
      <c r="G2900" t="s">
        <v>39</v>
      </c>
      <c r="H2900" t="s">
        <v>29</v>
      </c>
      <c r="I2900" s="1" t="s">
        <v>40</v>
      </c>
      <c r="J2900">
        <v>38502.28</v>
      </c>
    </row>
    <row r="2901" spans="1:10" hidden="1" x14ac:dyDescent="0.35">
      <c r="A2901" t="str">
        <f t="shared" si="45"/>
        <v>Águas Formosas20241.1</v>
      </c>
      <c r="B2901">
        <v>3100906</v>
      </c>
      <c r="C2901" t="s">
        <v>9</v>
      </c>
      <c r="D2901">
        <v>2024</v>
      </c>
      <c r="E2901">
        <v>6</v>
      </c>
      <c r="F2901">
        <v>24</v>
      </c>
      <c r="G2901" t="s">
        <v>10</v>
      </c>
      <c r="H2901" t="s">
        <v>11</v>
      </c>
      <c r="I2901" s="1" t="s">
        <v>12</v>
      </c>
      <c r="J2901">
        <v>0.26</v>
      </c>
    </row>
    <row r="2902" spans="1:10" hidden="1" x14ac:dyDescent="0.35">
      <c r="A2902" t="str">
        <f t="shared" si="45"/>
        <v>Águas Formosas20241.2</v>
      </c>
      <c r="B2902">
        <v>3100906</v>
      </c>
      <c r="C2902" t="s">
        <v>9</v>
      </c>
      <c r="D2902">
        <v>2024</v>
      </c>
      <c r="E2902">
        <v>6</v>
      </c>
      <c r="F2902">
        <v>67</v>
      </c>
      <c r="G2902" t="s">
        <v>13</v>
      </c>
      <c r="H2902" t="s">
        <v>11</v>
      </c>
      <c r="I2902" s="1" t="s">
        <v>14</v>
      </c>
      <c r="J2902">
        <v>0.89629999999999999</v>
      </c>
    </row>
    <row r="2903" spans="1:10" hidden="1" x14ac:dyDescent="0.35">
      <c r="A2903" t="str">
        <f t="shared" si="45"/>
        <v>Águas Formosas20241.3</v>
      </c>
      <c r="B2903">
        <v>3100906</v>
      </c>
      <c r="C2903" t="s">
        <v>9</v>
      </c>
      <c r="D2903">
        <v>2024</v>
      </c>
      <c r="E2903">
        <v>6</v>
      </c>
      <c r="F2903">
        <v>68</v>
      </c>
      <c r="G2903" t="s">
        <v>15</v>
      </c>
      <c r="H2903" t="s">
        <v>11</v>
      </c>
      <c r="I2903" s="1" t="s">
        <v>16</v>
      </c>
      <c r="J2903">
        <v>3.0099999999999998E-2</v>
      </c>
    </row>
    <row r="2904" spans="1:10" hidden="1" x14ac:dyDescent="0.35">
      <c r="A2904" t="str">
        <f t="shared" si="45"/>
        <v>Águas Formosas20242.1</v>
      </c>
      <c r="B2904">
        <v>3100906</v>
      </c>
      <c r="C2904" t="s">
        <v>9</v>
      </c>
      <c r="D2904">
        <v>2024</v>
      </c>
      <c r="E2904">
        <v>6</v>
      </c>
      <c r="F2904">
        <v>28</v>
      </c>
      <c r="G2904" t="s">
        <v>17</v>
      </c>
      <c r="H2904" t="s">
        <v>18</v>
      </c>
      <c r="I2904" s="1" t="s">
        <v>19</v>
      </c>
      <c r="J2904">
        <v>0.59589999999999999</v>
      </c>
    </row>
    <row r="2905" spans="1:10" hidden="1" x14ac:dyDescent="0.35">
      <c r="A2905" t="str">
        <f t="shared" si="45"/>
        <v>Águas Formosas20242.2</v>
      </c>
      <c r="B2905">
        <v>3100906</v>
      </c>
      <c r="C2905" t="s">
        <v>9</v>
      </c>
      <c r="D2905">
        <v>2024</v>
      </c>
      <c r="E2905">
        <v>6</v>
      </c>
      <c r="F2905">
        <v>29</v>
      </c>
      <c r="G2905" t="s">
        <v>20</v>
      </c>
      <c r="H2905" t="s">
        <v>18</v>
      </c>
      <c r="I2905" s="1" t="s">
        <v>21</v>
      </c>
      <c r="J2905">
        <v>0.30180000000000001</v>
      </c>
    </row>
    <row r="2906" spans="1:10" hidden="1" x14ac:dyDescent="0.35">
      <c r="A2906" t="str">
        <f t="shared" si="45"/>
        <v>Águas Formosas20242.4</v>
      </c>
      <c r="B2906">
        <v>3100906</v>
      </c>
      <c r="C2906" t="s">
        <v>9</v>
      </c>
      <c r="D2906">
        <v>2024</v>
      </c>
      <c r="E2906">
        <v>6</v>
      </c>
      <c r="F2906">
        <v>31</v>
      </c>
      <c r="G2906" t="s">
        <v>22</v>
      </c>
      <c r="H2906" t="s">
        <v>18</v>
      </c>
      <c r="I2906" s="1" t="s">
        <v>23</v>
      </c>
      <c r="J2906">
        <v>0.53639999999999999</v>
      </c>
    </row>
    <row r="2907" spans="1:10" hidden="1" x14ac:dyDescent="0.35">
      <c r="A2907" t="str">
        <f t="shared" si="45"/>
        <v>Águas Formosas20242.5</v>
      </c>
      <c r="B2907">
        <v>3100906</v>
      </c>
      <c r="C2907" t="s">
        <v>9</v>
      </c>
      <c r="D2907">
        <v>2024</v>
      </c>
      <c r="E2907">
        <v>6</v>
      </c>
      <c r="F2907">
        <v>32</v>
      </c>
      <c r="G2907" t="s">
        <v>24</v>
      </c>
      <c r="H2907" t="s">
        <v>18</v>
      </c>
      <c r="I2907" s="1" t="s">
        <v>25</v>
      </c>
      <c r="J2907">
        <v>0.27089999999999997</v>
      </c>
    </row>
    <row r="2908" spans="1:10" hidden="1" x14ac:dyDescent="0.35">
      <c r="A2908" t="str">
        <f t="shared" si="45"/>
        <v>Águas Formosas20242.8</v>
      </c>
      <c r="B2908">
        <v>3100906</v>
      </c>
      <c r="C2908" t="s">
        <v>9</v>
      </c>
      <c r="D2908">
        <v>2024</v>
      </c>
      <c r="E2908">
        <v>6</v>
      </c>
      <c r="F2908">
        <v>35</v>
      </c>
      <c r="G2908" t="s">
        <v>26</v>
      </c>
      <c r="H2908" t="s">
        <v>18</v>
      </c>
      <c r="I2908" s="1" t="s">
        <v>27</v>
      </c>
      <c r="J2908">
        <v>0.18060000000000001</v>
      </c>
    </row>
    <row r="2909" spans="1:10" hidden="1" x14ac:dyDescent="0.35">
      <c r="A2909" t="str">
        <f t="shared" si="45"/>
        <v>Águas Formosas20244.1</v>
      </c>
      <c r="B2909">
        <v>3100906</v>
      </c>
      <c r="C2909" t="s">
        <v>9</v>
      </c>
      <c r="D2909">
        <v>2024</v>
      </c>
      <c r="E2909">
        <v>6</v>
      </c>
      <c r="F2909">
        <v>44</v>
      </c>
      <c r="G2909" t="s">
        <v>28</v>
      </c>
      <c r="H2909" t="s">
        <v>29</v>
      </c>
      <c r="I2909" s="1" t="s">
        <v>30</v>
      </c>
      <c r="J2909">
        <v>10948.62</v>
      </c>
    </row>
    <row r="2910" spans="1:10" hidden="1" x14ac:dyDescent="0.35">
      <c r="A2910" t="str">
        <f t="shared" si="45"/>
        <v>Águas Formosas20244.10</v>
      </c>
      <c r="B2910">
        <v>3100906</v>
      </c>
      <c r="C2910" t="s">
        <v>9</v>
      </c>
      <c r="D2910">
        <v>2024</v>
      </c>
      <c r="E2910">
        <v>6</v>
      </c>
      <c r="F2910">
        <v>58</v>
      </c>
      <c r="G2910" t="s">
        <v>31</v>
      </c>
      <c r="H2910" t="s">
        <v>29</v>
      </c>
      <c r="I2910" s="1" t="s">
        <v>32</v>
      </c>
      <c r="J2910">
        <v>7045.98</v>
      </c>
    </row>
    <row r="2911" spans="1:10" hidden="1" x14ac:dyDescent="0.35">
      <c r="A2911" t="str">
        <f t="shared" si="45"/>
        <v>Águas Formosas20244.11</v>
      </c>
      <c r="B2911">
        <v>3100906</v>
      </c>
      <c r="C2911" t="s">
        <v>9</v>
      </c>
      <c r="D2911">
        <v>2024</v>
      </c>
      <c r="E2911">
        <v>6</v>
      </c>
      <c r="F2911">
        <v>59</v>
      </c>
      <c r="G2911" t="s">
        <v>33</v>
      </c>
      <c r="H2911" t="s">
        <v>29</v>
      </c>
      <c r="I2911" s="1" t="s">
        <v>34</v>
      </c>
      <c r="J2911">
        <v>130.72</v>
      </c>
    </row>
    <row r="2912" spans="1:10" hidden="1" x14ac:dyDescent="0.35">
      <c r="A2912" t="str">
        <f t="shared" si="45"/>
        <v>Águas Formosas20244.2</v>
      </c>
      <c r="B2912">
        <v>3100906</v>
      </c>
      <c r="C2912" t="s">
        <v>9</v>
      </c>
      <c r="D2912">
        <v>2024</v>
      </c>
      <c r="E2912">
        <v>6</v>
      </c>
      <c r="F2912">
        <v>45</v>
      </c>
      <c r="G2912" t="s">
        <v>35</v>
      </c>
      <c r="H2912" t="s">
        <v>29</v>
      </c>
      <c r="I2912" s="1" t="s">
        <v>36</v>
      </c>
      <c r="J2912">
        <v>18970.990000000002</v>
      </c>
    </row>
    <row r="2913" spans="1:10" hidden="1" x14ac:dyDescent="0.35">
      <c r="A2913" t="str">
        <f t="shared" si="45"/>
        <v>Águas Formosas20244.8</v>
      </c>
      <c r="B2913">
        <v>3100906</v>
      </c>
      <c r="C2913" t="s">
        <v>9</v>
      </c>
      <c r="D2913">
        <v>2024</v>
      </c>
      <c r="E2913">
        <v>6</v>
      </c>
      <c r="F2913">
        <v>56</v>
      </c>
      <c r="G2913" t="s">
        <v>37</v>
      </c>
      <c r="H2913" t="s">
        <v>29</v>
      </c>
      <c r="I2913" s="1" t="s">
        <v>38</v>
      </c>
      <c r="J2913">
        <v>15239.19</v>
      </c>
    </row>
    <row r="2914" spans="1:10" hidden="1" x14ac:dyDescent="0.35">
      <c r="A2914" t="str">
        <f t="shared" si="45"/>
        <v>Águas Formosas20244.9</v>
      </c>
      <c r="B2914">
        <v>3100906</v>
      </c>
      <c r="C2914" t="s">
        <v>9</v>
      </c>
      <c r="D2914">
        <v>2024</v>
      </c>
      <c r="E2914">
        <v>6</v>
      </c>
      <c r="F2914">
        <v>57</v>
      </c>
      <c r="G2914" t="s">
        <v>39</v>
      </c>
      <c r="H2914" t="s">
        <v>29</v>
      </c>
      <c r="I2914" s="1" t="s">
        <v>40</v>
      </c>
      <c r="J2914">
        <v>15239.19</v>
      </c>
    </row>
    <row r="2915" spans="1:10" hidden="1" x14ac:dyDescent="0.35">
      <c r="A2915" t="str">
        <f t="shared" si="45"/>
        <v>Ataléia20241.1</v>
      </c>
      <c r="B2915">
        <v>3104700</v>
      </c>
      <c r="C2915" t="s">
        <v>41</v>
      </c>
      <c r="D2915">
        <v>2024</v>
      </c>
      <c r="E2915">
        <v>6</v>
      </c>
      <c r="F2915">
        <v>24</v>
      </c>
      <c r="G2915" t="s">
        <v>10</v>
      </c>
      <c r="H2915" t="s">
        <v>11</v>
      </c>
      <c r="I2915" s="1" t="s">
        <v>12</v>
      </c>
      <c r="J2915">
        <v>0.25600000000000001</v>
      </c>
    </row>
    <row r="2916" spans="1:10" hidden="1" x14ac:dyDescent="0.35">
      <c r="A2916" t="str">
        <f t="shared" si="45"/>
        <v>Ataléia20241.2</v>
      </c>
      <c r="B2916">
        <v>3104700</v>
      </c>
      <c r="C2916" t="s">
        <v>41</v>
      </c>
      <c r="D2916">
        <v>2024</v>
      </c>
      <c r="E2916">
        <v>6</v>
      </c>
      <c r="F2916">
        <v>67</v>
      </c>
      <c r="G2916" t="s">
        <v>13</v>
      </c>
      <c r="H2916" t="s">
        <v>11</v>
      </c>
      <c r="I2916" s="1" t="s">
        <v>14</v>
      </c>
      <c r="J2916">
        <v>0.99</v>
      </c>
    </row>
    <row r="2917" spans="1:10" hidden="1" x14ac:dyDescent="0.35">
      <c r="A2917" t="str">
        <f t="shared" si="45"/>
        <v>Ataléia20241.3</v>
      </c>
      <c r="B2917">
        <v>3104700</v>
      </c>
      <c r="C2917" t="s">
        <v>41</v>
      </c>
      <c r="D2917">
        <v>2024</v>
      </c>
      <c r="E2917">
        <v>6</v>
      </c>
      <c r="F2917">
        <v>68</v>
      </c>
      <c r="G2917" t="s">
        <v>15</v>
      </c>
      <c r="H2917" t="s">
        <v>11</v>
      </c>
      <c r="I2917" s="1" t="s">
        <v>16</v>
      </c>
      <c r="J2917">
        <v>0.01</v>
      </c>
    </row>
    <row r="2918" spans="1:10" hidden="1" x14ac:dyDescent="0.35">
      <c r="A2918" t="str">
        <f t="shared" si="45"/>
        <v>Ataléia20242.1</v>
      </c>
      <c r="B2918">
        <v>3104700</v>
      </c>
      <c r="C2918" t="s">
        <v>41</v>
      </c>
      <c r="D2918">
        <v>2024</v>
      </c>
      <c r="E2918">
        <v>6</v>
      </c>
      <c r="F2918">
        <v>28</v>
      </c>
      <c r="G2918" t="s">
        <v>17</v>
      </c>
      <c r="H2918" t="s">
        <v>18</v>
      </c>
      <c r="I2918" s="1" t="s">
        <v>19</v>
      </c>
      <c r="J2918">
        <v>0.1187</v>
      </c>
    </row>
    <row r="2919" spans="1:10" hidden="1" x14ac:dyDescent="0.35">
      <c r="A2919" t="str">
        <f t="shared" si="45"/>
        <v>Ataléia20242.2</v>
      </c>
      <c r="B2919">
        <v>3104700</v>
      </c>
      <c r="C2919" t="s">
        <v>41</v>
      </c>
      <c r="D2919">
        <v>2024</v>
      </c>
      <c r="E2919">
        <v>6</v>
      </c>
      <c r="F2919">
        <v>29</v>
      </c>
      <c r="G2919" t="s">
        <v>20</v>
      </c>
      <c r="H2919" t="s">
        <v>18</v>
      </c>
      <c r="I2919" s="1" t="s">
        <v>21</v>
      </c>
      <c r="J2919">
        <v>0.89980000000000004</v>
      </c>
    </row>
    <row r="2920" spans="1:10" hidden="1" x14ac:dyDescent="0.35">
      <c r="A2920" t="str">
        <f t="shared" si="45"/>
        <v>Ataléia20242.4</v>
      </c>
      <c r="B2920">
        <v>3104700</v>
      </c>
      <c r="C2920" t="s">
        <v>41</v>
      </c>
      <c r="D2920">
        <v>2024</v>
      </c>
      <c r="E2920">
        <v>6</v>
      </c>
      <c r="F2920">
        <v>31</v>
      </c>
      <c r="G2920" t="s">
        <v>22</v>
      </c>
      <c r="H2920" t="s">
        <v>18</v>
      </c>
      <c r="I2920" s="1" t="s">
        <v>23</v>
      </c>
      <c r="J2920">
        <v>0.1542</v>
      </c>
    </row>
    <row r="2921" spans="1:10" hidden="1" x14ac:dyDescent="0.35">
      <c r="A2921" t="str">
        <f t="shared" si="45"/>
        <v>Ataléia20242.5</v>
      </c>
      <c r="B2921">
        <v>3104700</v>
      </c>
      <c r="C2921" t="s">
        <v>41</v>
      </c>
      <c r="D2921">
        <v>2024</v>
      </c>
      <c r="E2921">
        <v>6</v>
      </c>
      <c r="F2921">
        <v>32</v>
      </c>
      <c r="G2921" t="s">
        <v>24</v>
      </c>
      <c r="H2921" t="s">
        <v>18</v>
      </c>
      <c r="I2921" s="1" t="s">
        <v>25</v>
      </c>
      <c r="J2921">
        <v>0.51949999999999996</v>
      </c>
    </row>
    <row r="2922" spans="1:10" hidden="1" x14ac:dyDescent="0.35">
      <c r="A2922" t="str">
        <f t="shared" si="45"/>
        <v>Ataléia20242.8</v>
      </c>
      <c r="B2922">
        <v>3104700</v>
      </c>
      <c r="C2922" t="s">
        <v>41</v>
      </c>
      <c r="D2922">
        <v>2024</v>
      </c>
      <c r="E2922">
        <v>6</v>
      </c>
      <c r="F2922">
        <v>35</v>
      </c>
      <c r="G2922" t="s">
        <v>26</v>
      </c>
      <c r="H2922" t="s">
        <v>18</v>
      </c>
      <c r="I2922" s="1" t="s">
        <v>27</v>
      </c>
      <c r="J2922">
        <v>0.25690000000000002</v>
      </c>
    </row>
    <row r="2923" spans="1:10" hidden="1" x14ac:dyDescent="0.35">
      <c r="A2923" t="str">
        <f t="shared" si="45"/>
        <v>Ataléia20244.1</v>
      </c>
      <c r="B2923">
        <v>3104700</v>
      </c>
      <c r="C2923" t="s">
        <v>41</v>
      </c>
      <c r="D2923">
        <v>2024</v>
      </c>
      <c r="E2923">
        <v>6</v>
      </c>
      <c r="F2923">
        <v>44</v>
      </c>
      <c r="G2923" t="s">
        <v>28</v>
      </c>
      <c r="H2923" t="s">
        <v>29</v>
      </c>
      <c r="I2923" s="1" t="s">
        <v>30</v>
      </c>
      <c r="J2923">
        <v>7373.47</v>
      </c>
    </row>
    <row r="2924" spans="1:10" hidden="1" x14ac:dyDescent="0.35">
      <c r="A2924" t="str">
        <f t="shared" si="45"/>
        <v>Ataléia20244.10</v>
      </c>
      <c r="B2924">
        <v>3104700</v>
      </c>
      <c r="C2924" t="s">
        <v>41</v>
      </c>
      <c r="D2924">
        <v>2024</v>
      </c>
      <c r="E2924">
        <v>6</v>
      </c>
      <c r="F2924">
        <v>58</v>
      </c>
      <c r="G2924" t="s">
        <v>31</v>
      </c>
      <c r="H2924" t="s">
        <v>29</v>
      </c>
      <c r="I2924" s="1" t="s">
        <v>32</v>
      </c>
      <c r="J2924">
        <v>7919.41</v>
      </c>
    </row>
    <row r="2925" spans="1:10" hidden="1" x14ac:dyDescent="0.35">
      <c r="A2925" t="str">
        <f t="shared" si="45"/>
        <v>Ataléia20244.11</v>
      </c>
      <c r="B2925">
        <v>3104700</v>
      </c>
      <c r="C2925" t="s">
        <v>41</v>
      </c>
      <c r="D2925">
        <v>2024</v>
      </c>
      <c r="E2925">
        <v>6</v>
      </c>
      <c r="F2925">
        <v>59</v>
      </c>
      <c r="G2925" t="s">
        <v>33</v>
      </c>
      <c r="H2925" t="s">
        <v>29</v>
      </c>
      <c r="I2925" s="1" t="s">
        <v>34</v>
      </c>
      <c r="J2925">
        <v>44.7</v>
      </c>
    </row>
    <row r="2926" spans="1:10" hidden="1" x14ac:dyDescent="0.35">
      <c r="A2926" t="str">
        <f t="shared" si="45"/>
        <v>Ataléia20244.2</v>
      </c>
      <c r="B2926">
        <v>3104700</v>
      </c>
      <c r="C2926" t="s">
        <v>41</v>
      </c>
      <c r="D2926">
        <v>2024</v>
      </c>
      <c r="E2926">
        <v>6</v>
      </c>
      <c r="F2926">
        <v>45</v>
      </c>
      <c r="G2926" t="s">
        <v>35</v>
      </c>
      <c r="H2926" t="s">
        <v>29</v>
      </c>
      <c r="I2926" s="1" t="s">
        <v>36</v>
      </c>
      <c r="J2926">
        <v>15763.11</v>
      </c>
    </row>
    <row r="2927" spans="1:10" hidden="1" x14ac:dyDescent="0.35">
      <c r="A2927" t="str">
        <f t="shared" si="45"/>
        <v>Ataléia20244.8</v>
      </c>
      <c r="B2927">
        <v>3104700</v>
      </c>
      <c r="C2927" t="s">
        <v>41</v>
      </c>
      <c r="D2927">
        <v>2024</v>
      </c>
      <c r="E2927">
        <v>6</v>
      </c>
      <c r="F2927">
        <v>56</v>
      </c>
      <c r="G2927" t="s">
        <v>37</v>
      </c>
      <c r="H2927" t="s">
        <v>29</v>
      </c>
      <c r="I2927" s="1" t="s">
        <v>38</v>
      </c>
      <c r="J2927">
        <v>17984.98</v>
      </c>
    </row>
    <row r="2928" spans="1:10" hidden="1" x14ac:dyDescent="0.35">
      <c r="A2928" t="str">
        <f t="shared" si="45"/>
        <v>Ataléia20244.9</v>
      </c>
      <c r="B2928">
        <v>3104700</v>
      </c>
      <c r="C2928" t="s">
        <v>41</v>
      </c>
      <c r="D2928">
        <v>2024</v>
      </c>
      <c r="E2928">
        <v>6</v>
      </c>
      <c r="F2928">
        <v>57</v>
      </c>
      <c r="G2928" t="s">
        <v>39</v>
      </c>
      <c r="H2928" t="s">
        <v>29</v>
      </c>
      <c r="I2928" s="1" t="s">
        <v>40</v>
      </c>
      <c r="J2928">
        <v>17984.98</v>
      </c>
    </row>
    <row r="2929" spans="1:10" hidden="1" x14ac:dyDescent="0.35">
      <c r="A2929" t="str">
        <f t="shared" si="45"/>
        <v>Carlos Chagas20241.1</v>
      </c>
      <c r="B2929">
        <v>3113701</v>
      </c>
      <c r="C2929" t="s">
        <v>43</v>
      </c>
      <c r="D2929">
        <v>2024</v>
      </c>
      <c r="E2929">
        <v>6</v>
      </c>
      <c r="F2929">
        <v>24</v>
      </c>
      <c r="G2929" t="s">
        <v>10</v>
      </c>
      <c r="H2929" t="s">
        <v>11</v>
      </c>
      <c r="I2929" s="1" t="s">
        <v>12</v>
      </c>
      <c r="J2929">
        <v>0.27060000000000001</v>
      </c>
    </row>
    <row r="2930" spans="1:10" hidden="1" x14ac:dyDescent="0.35">
      <c r="A2930" t="str">
        <f t="shared" si="45"/>
        <v>Carlos Chagas20241.2</v>
      </c>
      <c r="B2930">
        <v>3113701</v>
      </c>
      <c r="C2930" t="s">
        <v>43</v>
      </c>
      <c r="D2930">
        <v>2024</v>
      </c>
      <c r="E2930">
        <v>6</v>
      </c>
      <c r="F2930">
        <v>67</v>
      </c>
      <c r="G2930" t="s">
        <v>13</v>
      </c>
      <c r="H2930" t="s">
        <v>11</v>
      </c>
      <c r="I2930" s="1" t="s">
        <v>14</v>
      </c>
      <c r="J2930">
        <v>0.9123</v>
      </c>
    </row>
    <row r="2931" spans="1:10" hidden="1" x14ac:dyDescent="0.35">
      <c r="A2931" t="str">
        <f t="shared" si="45"/>
        <v>Carlos Chagas20241.3</v>
      </c>
      <c r="B2931">
        <v>3113701</v>
      </c>
      <c r="C2931" t="s">
        <v>43</v>
      </c>
      <c r="D2931">
        <v>2024</v>
      </c>
      <c r="E2931">
        <v>6</v>
      </c>
      <c r="F2931">
        <v>68</v>
      </c>
      <c r="G2931" t="s">
        <v>15</v>
      </c>
      <c r="H2931" t="s">
        <v>11</v>
      </c>
      <c r="I2931" s="1" t="s">
        <v>16</v>
      </c>
      <c r="J2931">
        <v>4.1000000000000002E-2</v>
      </c>
    </row>
    <row r="2932" spans="1:10" hidden="1" x14ac:dyDescent="0.35">
      <c r="A2932" t="str">
        <f t="shared" si="45"/>
        <v>Carlos Chagas20242.1</v>
      </c>
      <c r="B2932">
        <v>3113701</v>
      </c>
      <c r="C2932" t="s">
        <v>43</v>
      </c>
      <c r="D2932">
        <v>2024</v>
      </c>
      <c r="E2932">
        <v>6</v>
      </c>
      <c r="F2932">
        <v>28</v>
      </c>
      <c r="G2932" t="s">
        <v>17</v>
      </c>
      <c r="H2932" t="s">
        <v>18</v>
      </c>
      <c r="I2932" s="1" t="s">
        <v>19</v>
      </c>
      <c r="J2932">
        <v>0.08</v>
      </c>
    </row>
    <row r="2933" spans="1:10" hidden="1" x14ac:dyDescent="0.35">
      <c r="A2933" t="str">
        <f t="shared" si="45"/>
        <v>Carlos Chagas20242.2</v>
      </c>
      <c r="B2933">
        <v>3113701</v>
      </c>
      <c r="C2933" t="s">
        <v>43</v>
      </c>
      <c r="D2933">
        <v>2024</v>
      </c>
      <c r="E2933">
        <v>6</v>
      </c>
      <c r="F2933">
        <v>29</v>
      </c>
      <c r="G2933" t="s">
        <v>20</v>
      </c>
      <c r="H2933" t="s">
        <v>18</v>
      </c>
      <c r="I2933" s="1" t="s">
        <v>21</v>
      </c>
      <c r="J2933">
        <v>0.84819999999999995</v>
      </c>
    </row>
    <row r="2934" spans="1:10" hidden="1" x14ac:dyDescent="0.35">
      <c r="A2934" t="str">
        <f t="shared" si="45"/>
        <v>Carlos Chagas20242.4</v>
      </c>
      <c r="B2934">
        <v>3113701</v>
      </c>
      <c r="C2934" t="s">
        <v>43</v>
      </c>
      <c r="D2934">
        <v>2024</v>
      </c>
      <c r="E2934">
        <v>6</v>
      </c>
      <c r="F2934">
        <v>31</v>
      </c>
      <c r="G2934" t="s">
        <v>22</v>
      </c>
      <c r="H2934" t="s">
        <v>18</v>
      </c>
      <c r="I2934" s="1" t="s">
        <v>23</v>
      </c>
      <c r="J2934">
        <v>5.9499999999999997E-2</v>
      </c>
    </row>
    <row r="2935" spans="1:10" hidden="1" x14ac:dyDescent="0.35">
      <c r="A2935" t="str">
        <f t="shared" si="45"/>
        <v>Carlos Chagas20242.5</v>
      </c>
      <c r="B2935">
        <v>3113701</v>
      </c>
      <c r="C2935" t="s">
        <v>43</v>
      </c>
      <c r="D2935">
        <v>2024</v>
      </c>
      <c r="E2935">
        <v>6</v>
      </c>
      <c r="F2935">
        <v>32</v>
      </c>
      <c r="G2935" t="s">
        <v>24</v>
      </c>
      <c r="H2935" t="s">
        <v>18</v>
      </c>
      <c r="I2935" s="1" t="s">
        <v>25</v>
      </c>
      <c r="J2935">
        <v>0.72850000000000004</v>
      </c>
    </row>
    <row r="2936" spans="1:10" hidden="1" x14ac:dyDescent="0.35">
      <c r="A2936" t="str">
        <f t="shared" si="45"/>
        <v>Carlos Chagas20242.8</v>
      </c>
      <c r="B2936">
        <v>3113701</v>
      </c>
      <c r="C2936" t="s">
        <v>43</v>
      </c>
      <c r="D2936">
        <v>2024</v>
      </c>
      <c r="E2936">
        <v>6</v>
      </c>
      <c r="F2936">
        <v>35</v>
      </c>
      <c r="G2936" t="s">
        <v>26</v>
      </c>
      <c r="H2936" t="s">
        <v>18</v>
      </c>
      <c r="I2936" s="1" t="s">
        <v>27</v>
      </c>
      <c r="J2936">
        <v>0.27910000000000001</v>
      </c>
    </row>
    <row r="2937" spans="1:10" hidden="1" x14ac:dyDescent="0.35">
      <c r="A2937" t="str">
        <f t="shared" si="45"/>
        <v>Carlos Chagas20244.1</v>
      </c>
      <c r="B2937">
        <v>3113701</v>
      </c>
      <c r="C2937" t="s">
        <v>43</v>
      </c>
      <c r="D2937">
        <v>2024</v>
      </c>
      <c r="E2937">
        <v>6</v>
      </c>
      <c r="F2937">
        <v>44</v>
      </c>
      <c r="G2937" t="s">
        <v>28</v>
      </c>
      <c r="H2937" t="s">
        <v>29</v>
      </c>
      <c r="I2937" s="1" t="s">
        <v>30</v>
      </c>
      <c r="J2937">
        <v>6687.67</v>
      </c>
    </row>
    <row r="2938" spans="1:10" hidden="1" x14ac:dyDescent="0.35">
      <c r="A2938" t="str">
        <f t="shared" si="45"/>
        <v>Carlos Chagas20244.10</v>
      </c>
      <c r="B2938">
        <v>3113701</v>
      </c>
      <c r="C2938" t="s">
        <v>43</v>
      </c>
      <c r="D2938">
        <v>2024</v>
      </c>
      <c r="E2938">
        <v>6</v>
      </c>
      <c r="F2938">
        <v>58</v>
      </c>
      <c r="G2938" t="s">
        <v>31</v>
      </c>
      <c r="H2938" t="s">
        <v>29</v>
      </c>
      <c r="I2938" s="1" t="s">
        <v>32</v>
      </c>
      <c r="J2938">
        <v>9569.99</v>
      </c>
    </row>
    <row r="2939" spans="1:10" hidden="1" x14ac:dyDescent="0.35">
      <c r="A2939" t="str">
        <f t="shared" si="45"/>
        <v>Carlos Chagas20244.11</v>
      </c>
      <c r="B2939">
        <v>3113701</v>
      </c>
      <c r="C2939" t="s">
        <v>43</v>
      </c>
      <c r="D2939">
        <v>2024</v>
      </c>
      <c r="E2939">
        <v>6</v>
      </c>
      <c r="F2939">
        <v>59</v>
      </c>
      <c r="G2939" t="s">
        <v>33</v>
      </c>
      <c r="H2939" t="s">
        <v>29</v>
      </c>
      <c r="I2939" s="1" t="s">
        <v>34</v>
      </c>
      <c r="J2939">
        <v>519.80999999999995</v>
      </c>
    </row>
    <row r="2940" spans="1:10" hidden="1" x14ac:dyDescent="0.35">
      <c r="A2940" t="str">
        <f t="shared" si="45"/>
        <v>Carlos Chagas20244.2</v>
      </c>
      <c r="B2940">
        <v>3113701</v>
      </c>
      <c r="C2940" t="s">
        <v>43</v>
      </c>
      <c r="D2940">
        <v>2024</v>
      </c>
      <c r="E2940">
        <v>6</v>
      </c>
      <c r="F2940">
        <v>45</v>
      </c>
      <c r="G2940" t="s">
        <v>35</v>
      </c>
      <c r="H2940" t="s">
        <v>29</v>
      </c>
      <c r="I2940" s="1" t="s">
        <v>36</v>
      </c>
      <c r="J2940">
        <v>19077.650000000001</v>
      </c>
    </row>
    <row r="2941" spans="1:10" hidden="1" x14ac:dyDescent="0.35">
      <c r="A2941" t="str">
        <f t="shared" si="45"/>
        <v>Carlos Chagas20244.8</v>
      </c>
      <c r="B2941">
        <v>3113701</v>
      </c>
      <c r="C2941" t="s">
        <v>43</v>
      </c>
      <c r="D2941">
        <v>2024</v>
      </c>
      <c r="E2941">
        <v>6</v>
      </c>
      <c r="F2941">
        <v>56</v>
      </c>
      <c r="G2941" t="s">
        <v>37</v>
      </c>
      <c r="H2941" t="s">
        <v>29</v>
      </c>
      <c r="I2941" s="1" t="s">
        <v>38</v>
      </c>
      <c r="J2941">
        <v>19927.02</v>
      </c>
    </row>
    <row r="2942" spans="1:10" hidden="1" x14ac:dyDescent="0.35">
      <c r="A2942" t="str">
        <f t="shared" si="45"/>
        <v>Carlos Chagas20244.9</v>
      </c>
      <c r="B2942">
        <v>3113701</v>
      </c>
      <c r="C2942" t="s">
        <v>43</v>
      </c>
      <c r="D2942">
        <v>2024</v>
      </c>
      <c r="E2942">
        <v>6</v>
      </c>
      <c r="F2942">
        <v>57</v>
      </c>
      <c r="G2942" t="s">
        <v>39</v>
      </c>
      <c r="H2942" t="s">
        <v>29</v>
      </c>
      <c r="I2942" s="1" t="s">
        <v>40</v>
      </c>
      <c r="J2942">
        <v>19927.02</v>
      </c>
    </row>
    <row r="2943" spans="1:10" hidden="1" x14ac:dyDescent="0.35">
      <c r="A2943" t="str">
        <f t="shared" si="45"/>
        <v>Catuji20241.1</v>
      </c>
      <c r="B2943">
        <v>3115458</v>
      </c>
      <c r="C2943" t="s">
        <v>44</v>
      </c>
      <c r="D2943">
        <v>2024</v>
      </c>
      <c r="E2943">
        <v>6</v>
      </c>
      <c r="F2943">
        <v>24</v>
      </c>
      <c r="G2943" t="s">
        <v>10</v>
      </c>
      <c r="H2943" t="s">
        <v>11</v>
      </c>
      <c r="I2943" s="1" t="s">
        <v>12</v>
      </c>
      <c r="J2943">
        <v>0.27410000000000001</v>
      </c>
    </row>
    <row r="2944" spans="1:10" hidden="1" x14ac:dyDescent="0.35">
      <c r="A2944" t="str">
        <f t="shared" si="45"/>
        <v>Catuji20241.2</v>
      </c>
      <c r="B2944">
        <v>3115458</v>
      </c>
      <c r="C2944" t="s">
        <v>44</v>
      </c>
      <c r="D2944">
        <v>2024</v>
      </c>
      <c r="E2944">
        <v>6</v>
      </c>
      <c r="F2944">
        <v>67</v>
      </c>
      <c r="G2944" t="s">
        <v>13</v>
      </c>
      <c r="H2944" t="s">
        <v>11</v>
      </c>
      <c r="I2944" s="1" t="s">
        <v>14</v>
      </c>
      <c r="J2944">
        <v>0.70179999999999998</v>
      </c>
    </row>
    <row r="2945" spans="1:10" hidden="1" x14ac:dyDescent="0.35">
      <c r="A2945" t="str">
        <f t="shared" si="45"/>
        <v>Catuji20241.3</v>
      </c>
      <c r="B2945">
        <v>3115458</v>
      </c>
      <c r="C2945" t="s">
        <v>44</v>
      </c>
      <c r="D2945">
        <v>2024</v>
      </c>
      <c r="E2945">
        <v>6</v>
      </c>
      <c r="F2945">
        <v>68</v>
      </c>
      <c r="G2945" t="s">
        <v>15</v>
      </c>
      <c r="H2945" t="s">
        <v>11</v>
      </c>
      <c r="I2945" s="1" t="s">
        <v>16</v>
      </c>
      <c r="J2945">
        <v>0.29820000000000002</v>
      </c>
    </row>
    <row r="2946" spans="1:10" hidden="1" x14ac:dyDescent="0.35">
      <c r="A2946" t="str">
        <f t="shared" si="45"/>
        <v>Catuji20242.1</v>
      </c>
      <c r="B2946">
        <v>3115458</v>
      </c>
      <c r="C2946" t="s">
        <v>44</v>
      </c>
      <c r="D2946">
        <v>2024</v>
      </c>
      <c r="E2946">
        <v>6</v>
      </c>
      <c r="F2946">
        <v>28</v>
      </c>
      <c r="G2946" t="s">
        <v>17</v>
      </c>
      <c r="H2946" t="s">
        <v>18</v>
      </c>
      <c r="I2946" s="1" t="s">
        <v>19</v>
      </c>
      <c r="J2946">
        <v>0.39479999999999998</v>
      </c>
    </row>
    <row r="2947" spans="1:10" hidden="1" x14ac:dyDescent="0.35">
      <c r="A2947" t="str">
        <f t="shared" si="45"/>
        <v>Catuji20242.2</v>
      </c>
      <c r="B2947">
        <v>3115458</v>
      </c>
      <c r="C2947" t="s">
        <v>44</v>
      </c>
      <c r="D2947">
        <v>2024</v>
      </c>
      <c r="E2947">
        <v>6</v>
      </c>
      <c r="F2947">
        <v>29</v>
      </c>
      <c r="G2947" t="s">
        <v>20</v>
      </c>
      <c r="H2947" t="s">
        <v>18</v>
      </c>
      <c r="I2947" s="1" t="s">
        <v>21</v>
      </c>
      <c r="J2947">
        <v>0.54749999999999999</v>
      </c>
    </row>
    <row r="2948" spans="1:10" hidden="1" x14ac:dyDescent="0.35">
      <c r="A2948" t="str">
        <f t="shared" ref="A2948:A3011" si="46">C2948&amp;D2948&amp;G2948</f>
        <v>Catuji20242.4</v>
      </c>
      <c r="B2948">
        <v>3115458</v>
      </c>
      <c r="C2948" t="s">
        <v>44</v>
      </c>
      <c r="D2948">
        <v>2024</v>
      </c>
      <c r="E2948">
        <v>6</v>
      </c>
      <c r="F2948">
        <v>31</v>
      </c>
      <c r="G2948" t="s">
        <v>22</v>
      </c>
      <c r="H2948" t="s">
        <v>18</v>
      </c>
      <c r="I2948" s="1" t="s">
        <v>23</v>
      </c>
      <c r="J2948">
        <v>0.25829999999999997</v>
      </c>
    </row>
    <row r="2949" spans="1:10" hidden="1" x14ac:dyDescent="0.35">
      <c r="A2949" t="str">
        <f t="shared" si="46"/>
        <v>Catuji20242.5</v>
      </c>
      <c r="B2949">
        <v>3115458</v>
      </c>
      <c r="C2949" t="s">
        <v>44</v>
      </c>
      <c r="D2949">
        <v>2024</v>
      </c>
      <c r="E2949">
        <v>6</v>
      </c>
      <c r="F2949">
        <v>32</v>
      </c>
      <c r="G2949" t="s">
        <v>24</v>
      </c>
      <c r="H2949" t="s">
        <v>18</v>
      </c>
      <c r="I2949" s="1" t="s">
        <v>25</v>
      </c>
      <c r="J2949">
        <v>0.39650000000000002</v>
      </c>
    </row>
    <row r="2950" spans="1:10" hidden="1" x14ac:dyDescent="0.35">
      <c r="A2950" t="str">
        <f t="shared" si="46"/>
        <v>Catuji20242.8</v>
      </c>
      <c r="B2950">
        <v>3115458</v>
      </c>
      <c r="C2950" t="s">
        <v>44</v>
      </c>
      <c r="D2950">
        <v>2024</v>
      </c>
      <c r="E2950">
        <v>6</v>
      </c>
      <c r="F2950">
        <v>35</v>
      </c>
      <c r="G2950" t="s">
        <v>26</v>
      </c>
      <c r="H2950" t="s">
        <v>18</v>
      </c>
      <c r="I2950" s="1" t="s">
        <v>27</v>
      </c>
      <c r="J2950">
        <v>0.36649999999999999</v>
      </c>
    </row>
    <row r="2951" spans="1:10" hidden="1" x14ac:dyDescent="0.35">
      <c r="A2951" t="str">
        <f t="shared" si="46"/>
        <v>Catuji20244.1</v>
      </c>
      <c r="B2951">
        <v>3115458</v>
      </c>
      <c r="C2951" t="s">
        <v>44</v>
      </c>
      <c r="D2951">
        <v>2024</v>
      </c>
      <c r="E2951">
        <v>6</v>
      </c>
      <c r="F2951">
        <v>44</v>
      </c>
      <c r="G2951" t="s">
        <v>28</v>
      </c>
      <c r="H2951" t="s">
        <v>29</v>
      </c>
      <c r="I2951" s="1" t="s">
        <v>30</v>
      </c>
      <c r="J2951">
        <v>11959.44</v>
      </c>
    </row>
    <row r="2952" spans="1:10" hidden="1" x14ac:dyDescent="0.35">
      <c r="A2952" t="str">
        <f t="shared" si="46"/>
        <v>Catuji20244.10</v>
      </c>
      <c r="B2952">
        <v>3115458</v>
      </c>
      <c r="C2952" t="s">
        <v>44</v>
      </c>
      <c r="D2952">
        <v>2024</v>
      </c>
      <c r="E2952">
        <v>6</v>
      </c>
      <c r="F2952">
        <v>58</v>
      </c>
      <c r="G2952" t="s">
        <v>31</v>
      </c>
      <c r="H2952" t="s">
        <v>29</v>
      </c>
      <c r="I2952" s="1" t="s">
        <v>32</v>
      </c>
      <c r="J2952">
        <v>5823.75</v>
      </c>
    </row>
    <row r="2953" spans="1:10" hidden="1" x14ac:dyDescent="0.35">
      <c r="A2953" t="str">
        <f t="shared" si="46"/>
        <v>Catuji20244.11</v>
      </c>
      <c r="B2953">
        <v>3115458</v>
      </c>
      <c r="C2953" t="s">
        <v>44</v>
      </c>
      <c r="D2953">
        <v>2024</v>
      </c>
      <c r="E2953">
        <v>6</v>
      </c>
      <c r="F2953">
        <v>59</v>
      </c>
      <c r="G2953" t="s">
        <v>33</v>
      </c>
      <c r="H2953" t="s">
        <v>29</v>
      </c>
      <c r="I2953" s="1" t="s">
        <v>34</v>
      </c>
      <c r="J2953">
        <v>1498.24</v>
      </c>
    </row>
    <row r="2954" spans="1:10" hidden="1" x14ac:dyDescent="0.35">
      <c r="A2954" t="str">
        <f t="shared" si="46"/>
        <v>Catuji20244.2</v>
      </c>
      <c r="B2954">
        <v>3115458</v>
      </c>
      <c r="C2954" t="s">
        <v>44</v>
      </c>
      <c r="D2954">
        <v>2024</v>
      </c>
      <c r="E2954">
        <v>6</v>
      </c>
      <c r="F2954">
        <v>45</v>
      </c>
      <c r="G2954" t="s">
        <v>35</v>
      </c>
      <c r="H2954" t="s">
        <v>29</v>
      </c>
      <c r="I2954" s="1" t="s">
        <v>36</v>
      </c>
      <c r="J2954">
        <v>11989.16</v>
      </c>
    </row>
    <row r="2955" spans="1:10" hidden="1" x14ac:dyDescent="0.35">
      <c r="A2955" t="str">
        <f t="shared" si="46"/>
        <v>Catuji20244.8</v>
      </c>
      <c r="B2955">
        <v>3115458</v>
      </c>
      <c r="C2955" t="s">
        <v>44</v>
      </c>
      <c r="D2955">
        <v>2024</v>
      </c>
      <c r="E2955">
        <v>6</v>
      </c>
      <c r="F2955">
        <v>56</v>
      </c>
      <c r="G2955" t="s">
        <v>37</v>
      </c>
      <c r="H2955" t="s">
        <v>29</v>
      </c>
      <c r="I2955" s="1" t="s">
        <v>38</v>
      </c>
      <c r="J2955">
        <v>18292.419999999998</v>
      </c>
    </row>
    <row r="2956" spans="1:10" hidden="1" x14ac:dyDescent="0.35">
      <c r="A2956" t="str">
        <f t="shared" si="46"/>
        <v>Catuji20244.9</v>
      </c>
      <c r="B2956">
        <v>3115458</v>
      </c>
      <c r="C2956" t="s">
        <v>44</v>
      </c>
      <c r="D2956">
        <v>2024</v>
      </c>
      <c r="E2956">
        <v>6</v>
      </c>
      <c r="F2956">
        <v>57</v>
      </c>
      <c r="G2956" t="s">
        <v>39</v>
      </c>
      <c r="H2956" t="s">
        <v>29</v>
      </c>
      <c r="I2956" s="1" t="s">
        <v>40</v>
      </c>
      <c r="J2956">
        <v>18292.419999999998</v>
      </c>
    </row>
    <row r="2957" spans="1:10" hidden="1" x14ac:dyDescent="0.35">
      <c r="A2957" t="str">
        <f t="shared" si="46"/>
        <v>Crisólita20241.1</v>
      </c>
      <c r="B2957">
        <v>3120151</v>
      </c>
      <c r="C2957" t="s">
        <v>45</v>
      </c>
      <c r="D2957">
        <v>2024</v>
      </c>
      <c r="E2957">
        <v>6</v>
      </c>
      <c r="F2957">
        <v>24</v>
      </c>
      <c r="G2957" t="s">
        <v>10</v>
      </c>
      <c r="H2957" t="s">
        <v>11</v>
      </c>
      <c r="I2957" s="1" t="s">
        <v>12</v>
      </c>
      <c r="J2957">
        <v>0.29389999999999999</v>
      </c>
    </row>
    <row r="2958" spans="1:10" hidden="1" x14ac:dyDescent="0.35">
      <c r="A2958" t="str">
        <f t="shared" si="46"/>
        <v>Crisólita20241.2</v>
      </c>
      <c r="B2958">
        <v>3120151</v>
      </c>
      <c r="C2958" t="s">
        <v>45</v>
      </c>
      <c r="D2958">
        <v>2024</v>
      </c>
      <c r="E2958">
        <v>6</v>
      </c>
      <c r="F2958">
        <v>67</v>
      </c>
      <c r="G2958" t="s">
        <v>13</v>
      </c>
      <c r="H2958" t="s">
        <v>11</v>
      </c>
      <c r="I2958" s="1" t="s">
        <v>14</v>
      </c>
      <c r="J2958">
        <v>0.74850000000000005</v>
      </c>
    </row>
    <row r="2959" spans="1:10" hidden="1" x14ac:dyDescent="0.35">
      <c r="A2959" t="str">
        <f t="shared" si="46"/>
        <v>Crisólita20241.3</v>
      </c>
      <c r="B2959">
        <v>3120151</v>
      </c>
      <c r="C2959" t="s">
        <v>45</v>
      </c>
      <c r="D2959">
        <v>2024</v>
      </c>
      <c r="E2959">
        <v>6</v>
      </c>
      <c r="F2959">
        <v>68</v>
      </c>
      <c r="G2959" t="s">
        <v>15</v>
      </c>
      <c r="H2959" t="s">
        <v>11</v>
      </c>
      <c r="I2959" s="1" t="s">
        <v>16</v>
      </c>
      <c r="J2959">
        <v>0.2185</v>
      </c>
    </row>
    <row r="2960" spans="1:10" hidden="1" x14ac:dyDescent="0.35">
      <c r="A2960" t="str">
        <f t="shared" si="46"/>
        <v>Crisólita20242.1</v>
      </c>
      <c r="B2960">
        <v>3120151</v>
      </c>
      <c r="C2960" t="s">
        <v>45</v>
      </c>
      <c r="D2960">
        <v>2024</v>
      </c>
      <c r="E2960">
        <v>6</v>
      </c>
      <c r="F2960">
        <v>28</v>
      </c>
      <c r="G2960" t="s">
        <v>17</v>
      </c>
      <c r="H2960" t="s">
        <v>18</v>
      </c>
      <c r="I2960" s="1" t="s">
        <v>19</v>
      </c>
      <c r="J2960">
        <v>0.10390000000000001</v>
      </c>
    </row>
    <row r="2961" spans="1:10" hidden="1" x14ac:dyDescent="0.35">
      <c r="A2961" t="str">
        <f t="shared" si="46"/>
        <v>Crisólita20242.2</v>
      </c>
      <c r="B2961">
        <v>3120151</v>
      </c>
      <c r="C2961" t="s">
        <v>45</v>
      </c>
      <c r="D2961">
        <v>2024</v>
      </c>
      <c r="E2961">
        <v>6</v>
      </c>
      <c r="F2961">
        <v>29</v>
      </c>
      <c r="G2961" t="s">
        <v>20</v>
      </c>
      <c r="H2961" t="s">
        <v>18</v>
      </c>
      <c r="I2961" s="1" t="s">
        <v>21</v>
      </c>
      <c r="J2961">
        <v>0.80869999999999997</v>
      </c>
    </row>
    <row r="2962" spans="1:10" hidden="1" x14ac:dyDescent="0.35">
      <c r="A2962" t="str">
        <f t="shared" si="46"/>
        <v>Crisólita20242.4</v>
      </c>
      <c r="B2962">
        <v>3120151</v>
      </c>
      <c r="C2962" t="s">
        <v>45</v>
      </c>
      <c r="D2962">
        <v>2024</v>
      </c>
      <c r="E2962">
        <v>6</v>
      </c>
      <c r="F2962">
        <v>31</v>
      </c>
      <c r="G2962" t="s">
        <v>22</v>
      </c>
      <c r="H2962" t="s">
        <v>18</v>
      </c>
      <c r="I2962" s="1" t="s">
        <v>23</v>
      </c>
      <c r="J2962">
        <v>0.1177</v>
      </c>
    </row>
    <row r="2963" spans="1:10" hidden="1" x14ac:dyDescent="0.35">
      <c r="A2963" t="str">
        <f t="shared" si="46"/>
        <v>Crisólita20242.5</v>
      </c>
      <c r="B2963">
        <v>3120151</v>
      </c>
      <c r="C2963" t="s">
        <v>45</v>
      </c>
      <c r="D2963">
        <v>2024</v>
      </c>
      <c r="E2963">
        <v>6</v>
      </c>
      <c r="F2963">
        <v>32</v>
      </c>
      <c r="G2963" t="s">
        <v>24</v>
      </c>
      <c r="H2963" t="s">
        <v>18</v>
      </c>
      <c r="I2963" s="1" t="s">
        <v>25</v>
      </c>
      <c r="J2963">
        <v>0.81520000000000004</v>
      </c>
    </row>
    <row r="2964" spans="1:10" hidden="1" x14ac:dyDescent="0.35">
      <c r="A2964" t="str">
        <f t="shared" si="46"/>
        <v>Crisólita20242.8</v>
      </c>
      <c r="B2964">
        <v>3120151</v>
      </c>
      <c r="C2964" t="s">
        <v>45</v>
      </c>
      <c r="D2964">
        <v>2024</v>
      </c>
      <c r="E2964">
        <v>6</v>
      </c>
      <c r="F2964">
        <v>35</v>
      </c>
      <c r="G2964" t="s">
        <v>26</v>
      </c>
      <c r="H2964" t="s">
        <v>18</v>
      </c>
      <c r="I2964" s="1" t="s">
        <v>27</v>
      </c>
      <c r="J2964">
        <v>0.2427</v>
      </c>
    </row>
    <row r="2965" spans="1:10" hidden="1" x14ac:dyDescent="0.35">
      <c r="A2965" t="str">
        <f t="shared" si="46"/>
        <v>Crisólita20244.1</v>
      </c>
      <c r="B2965">
        <v>3120151</v>
      </c>
      <c r="C2965" t="s">
        <v>45</v>
      </c>
      <c r="D2965">
        <v>2024</v>
      </c>
      <c r="E2965">
        <v>6</v>
      </c>
      <c r="F2965">
        <v>44</v>
      </c>
      <c r="G2965" t="s">
        <v>28</v>
      </c>
      <c r="H2965" t="s">
        <v>29</v>
      </c>
      <c r="I2965" s="1" t="s">
        <v>30</v>
      </c>
      <c r="J2965">
        <v>4326.7700000000004</v>
      </c>
    </row>
    <row r="2966" spans="1:10" hidden="1" x14ac:dyDescent="0.35">
      <c r="A2966" t="str">
        <f t="shared" si="46"/>
        <v>Crisólita20244.10</v>
      </c>
      <c r="B2966">
        <v>3120151</v>
      </c>
      <c r="C2966" t="s">
        <v>45</v>
      </c>
      <c r="D2966">
        <v>2024</v>
      </c>
      <c r="E2966">
        <v>6</v>
      </c>
      <c r="F2966">
        <v>58</v>
      </c>
      <c r="G2966" t="s">
        <v>31</v>
      </c>
      <c r="H2966" t="s">
        <v>29</v>
      </c>
      <c r="I2966" s="1" t="s">
        <v>32</v>
      </c>
      <c r="J2966">
        <v>6219.86</v>
      </c>
    </row>
    <row r="2967" spans="1:10" hidden="1" x14ac:dyDescent="0.35">
      <c r="A2967" t="str">
        <f t="shared" si="46"/>
        <v>Crisólita20244.11</v>
      </c>
      <c r="B2967">
        <v>3120151</v>
      </c>
      <c r="C2967" t="s">
        <v>45</v>
      </c>
      <c r="D2967">
        <v>2024</v>
      </c>
      <c r="E2967">
        <v>6</v>
      </c>
      <c r="F2967">
        <v>59</v>
      </c>
      <c r="G2967" t="s">
        <v>33</v>
      </c>
      <c r="H2967" t="s">
        <v>29</v>
      </c>
      <c r="I2967" s="1" t="s">
        <v>34</v>
      </c>
      <c r="J2967">
        <v>1302.79</v>
      </c>
    </row>
    <row r="2968" spans="1:10" hidden="1" x14ac:dyDescent="0.35">
      <c r="A2968" t="str">
        <f t="shared" si="46"/>
        <v>Crisólita20244.2</v>
      </c>
      <c r="B2968">
        <v>3120151</v>
      </c>
      <c r="C2968" t="s">
        <v>45</v>
      </c>
      <c r="D2968">
        <v>2024</v>
      </c>
      <c r="E2968">
        <v>6</v>
      </c>
      <c r="F2968">
        <v>45</v>
      </c>
      <c r="G2968" t="s">
        <v>35</v>
      </c>
      <c r="H2968" t="s">
        <v>29</v>
      </c>
      <c r="I2968" s="1" t="s">
        <v>36</v>
      </c>
      <c r="J2968">
        <v>17549.64</v>
      </c>
    </row>
    <row r="2969" spans="1:10" hidden="1" x14ac:dyDescent="0.35">
      <c r="A2969" t="str">
        <f t="shared" si="46"/>
        <v>Crisólita20244.8</v>
      </c>
      <c r="B2969">
        <v>3120151</v>
      </c>
      <c r="C2969" t="s">
        <v>45</v>
      </c>
      <c r="D2969">
        <v>2024</v>
      </c>
      <c r="E2969">
        <v>6</v>
      </c>
      <c r="F2969">
        <v>56</v>
      </c>
      <c r="G2969" t="s">
        <v>37</v>
      </c>
      <c r="H2969" t="s">
        <v>29</v>
      </c>
      <c r="I2969" s="1" t="s">
        <v>38</v>
      </c>
      <c r="J2969">
        <v>13577.8</v>
      </c>
    </row>
    <row r="2970" spans="1:10" hidden="1" x14ac:dyDescent="0.35">
      <c r="A2970" t="str">
        <f t="shared" si="46"/>
        <v>Crisólita20244.9</v>
      </c>
      <c r="B2970">
        <v>3120151</v>
      </c>
      <c r="C2970" t="s">
        <v>45</v>
      </c>
      <c r="D2970">
        <v>2024</v>
      </c>
      <c r="E2970">
        <v>6</v>
      </c>
      <c r="F2970">
        <v>57</v>
      </c>
      <c r="G2970" t="s">
        <v>39</v>
      </c>
      <c r="H2970" t="s">
        <v>29</v>
      </c>
      <c r="I2970" s="1" t="s">
        <v>40</v>
      </c>
      <c r="J2970">
        <v>13577.8</v>
      </c>
    </row>
    <row r="2971" spans="1:10" hidden="1" x14ac:dyDescent="0.35">
      <c r="A2971" t="str">
        <f t="shared" si="46"/>
        <v>Franciscópolis20241.1</v>
      </c>
      <c r="B2971">
        <v>3126752</v>
      </c>
      <c r="C2971" t="s">
        <v>46</v>
      </c>
      <c r="D2971">
        <v>2024</v>
      </c>
      <c r="E2971">
        <v>6</v>
      </c>
      <c r="F2971">
        <v>24</v>
      </c>
      <c r="G2971" t="s">
        <v>10</v>
      </c>
      <c r="H2971" t="s">
        <v>11</v>
      </c>
      <c r="I2971" s="1" t="s">
        <v>12</v>
      </c>
      <c r="J2971">
        <v>0.2727</v>
      </c>
    </row>
    <row r="2972" spans="1:10" hidden="1" x14ac:dyDescent="0.35">
      <c r="A2972" t="str">
        <f t="shared" si="46"/>
        <v>Franciscópolis20241.2</v>
      </c>
      <c r="B2972">
        <v>3126752</v>
      </c>
      <c r="C2972" t="s">
        <v>46</v>
      </c>
      <c r="D2972">
        <v>2024</v>
      </c>
      <c r="E2972">
        <v>6</v>
      </c>
      <c r="F2972">
        <v>67</v>
      </c>
      <c r="G2972" t="s">
        <v>13</v>
      </c>
      <c r="H2972" t="s">
        <v>11</v>
      </c>
      <c r="I2972" s="1" t="s">
        <v>14</v>
      </c>
      <c r="J2972">
        <v>0.99890000000000001</v>
      </c>
    </row>
    <row r="2973" spans="1:10" hidden="1" x14ac:dyDescent="0.35">
      <c r="A2973" t="str">
        <f t="shared" si="46"/>
        <v>Franciscópolis20241.3</v>
      </c>
      <c r="B2973">
        <v>3126752</v>
      </c>
      <c r="C2973" t="s">
        <v>46</v>
      </c>
      <c r="D2973">
        <v>2024</v>
      </c>
      <c r="E2973">
        <v>6</v>
      </c>
      <c r="F2973">
        <v>68</v>
      </c>
      <c r="G2973" t="s">
        <v>15</v>
      </c>
      <c r="H2973" t="s">
        <v>11</v>
      </c>
      <c r="I2973" s="1" t="s">
        <v>16</v>
      </c>
    </row>
    <row r="2974" spans="1:10" hidden="1" x14ac:dyDescent="0.35">
      <c r="A2974" t="str">
        <f t="shared" si="46"/>
        <v>Franciscópolis20242.1</v>
      </c>
      <c r="B2974">
        <v>3126752</v>
      </c>
      <c r="C2974" t="s">
        <v>46</v>
      </c>
      <c r="D2974">
        <v>2024</v>
      </c>
      <c r="E2974">
        <v>6</v>
      </c>
      <c r="F2974">
        <v>28</v>
      </c>
      <c r="G2974" t="s">
        <v>17</v>
      </c>
      <c r="H2974" t="s">
        <v>18</v>
      </c>
      <c r="I2974" s="1" t="s">
        <v>19</v>
      </c>
      <c r="J2974">
        <v>0.44569999999999999</v>
      </c>
    </row>
    <row r="2975" spans="1:10" hidden="1" x14ac:dyDescent="0.35">
      <c r="A2975" t="str">
        <f t="shared" si="46"/>
        <v>Franciscópolis20242.2</v>
      </c>
      <c r="B2975">
        <v>3126752</v>
      </c>
      <c r="C2975" t="s">
        <v>46</v>
      </c>
      <c r="D2975">
        <v>2024</v>
      </c>
      <c r="E2975">
        <v>6</v>
      </c>
      <c r="F2975">
        <v>29</v>
      </c>
      <c r="G2975" t="s">
        <v>20</v>
      </c>
      <c r="H2975" t="s">
        <v>18</v>
      </c>
      <c r="I2975" s="1" t="s">
        <v>21</v>
      </c>
      <c r="J2975">
        <v>0.55310000000000004</v>
      </c>
    </row>
    <row r="2976" spans="1:10" hidden="1" x14ac:dyDescent="0.35">
      <c r="A2976" t="str">
        <f t="shared" si="46"/>
        <v>Franciscópolis20242.4</v>
      </c>
      <c r="B2976">
        <v>3126752</v>
      </c>
      <c r="C2976" t="s">
        <v>46</v>
      </c>
      <c r="D2976">
        <v>2024</v>
      </c>
      <c r="E2976">
        <v>6</v>
      </c>
      <c r="F2976">
        <v>31</v>
      </c>
      <c r="G2976" t="s">
        <v>22</v>
      </c>
      <c r="H2976" t="s">
        <v>18</v>
      </c>
      <c r="I2976" s="1" t="s">
        <v>23</v>
      </c>
      <c r="J2976">
        <v>0.22389999999999999</v>
      </c>
    </row>
    <row r="2977" spans="1:10" hidden="1" x14ac:dyDescent="0.35">
      <c r="A2977" t="str">
        <f t="shared" si="46"/>
        <v>Franciscópolis20242.5</v>
      </c>
      <c r="B2977">
        <v>3126752</v>
      </c>
      <c r="C2977" t="s">
        <v>46</v>
      </c>
      <c r="D2977">
        <v>2024</v>
      </c>
      <c r="E2977">
        <v>6</v>
      </c>
      <c r="F2977">
        <v>32</v>
      </c>
      <c r="G2977" t="s">
        <v>24</v>
      </c>
      <c r="H2977" t="s">
        <v>18</v>
      </c>
      <c r="I2977" s="1" t="s">
        <v>25</v>
      </c>
      <c r="J2977">
        <v>0.37659999999999999</v>
      </c>
    </row>
    <row r="2978" spans="1:10" hidden="1" x14ac:dyDescent="0.35">
      <c r="A2978" t="str">
        <f t="shared" si="46"/>
        <v>Franciscópolis20242.8</v>
      </c>
      <c r="B2978">
        <v>3126752</v>
      </c>
      <c r="C2978" t="s">
        <v>46</v>
      </c>
      <c r="D2978">
        <v>2024</v>
      </c>
      <c r="E2978">
        <v>6</v>
      </c>
      <c r="F2978">
        <v>35</v>
      </c>
      <c r="G2978" t="s">
        <v>26</v>
      </c>
      <c r="H2978" t="s">
        <v>18</v>
      </c>
      <c r="I2978" s="1" t="s">
        <v>27</v>
      </c>
      <c r="J2978">
        <v>0.24229999999999999</v>
      </c>
    </row>
    <row r="2979" spans="1:10" hidden="1" x14ac:dyDescent="0.35">
      <c r="A2979" t="str">
        <f t="shared" si="46"/>
        <v>Franciscópolis20244.1</v>
      </c>
      <c r="B2979">
        <v>3126752</v>
      </c>
      <c r="C2979" t="s">
        <v>46</v>
      </c>
      <c r="D2979">
        <v>2024</v>
      </c>
      <c r="E2979">
        <v>6</v>
      </c>
      <c r="F2979">
        <v>44</v>
      </c>
      <c r="G2979" t="s">
        <v>28</v>
      </c>
      <c r="H2979" t="s">
        <v>29</v>
      </c>
      <c r="I2979" s="1" t="s">
        <v>30</v>
      </c>
      <c r="J2979">
        <v>12317.03</v>
      </c>
    </row>
    <row r="2980" spans="1:10" hidden="1" x14ac:dyDescent="0.35">
      <c r="A2980" t="str">
        <f t="shared" si="46"/>
        <v>Franciscópolis20244.10</v>
      </c>
      <c r="B2980">
        <v>3126752</v>
      </c>
      <c r="C2980" t="s">
        <v>46</v>
      </c>
      <c r="D2980">
        <v>2024</v>
      </c>
      <c r="E2980">
        <v>6</v>
      </c>
      <c r="F2980">
        <v>58</v>
      </c>
      <c r="G2980" t="s">
        <v>31</v>
      </c>
      <c r="H2980" t="s">
        <v>29</v>
      </c>
      <c r="I2980" s="1" t="s">
        <v>32</v>
      </c>
      <c r="J2980">
        <v>7497.65</v>
      </c>
    </row>
    <row r="2981" spans="1:10" hidden="1" x14ac:dyDescent="0.35">
      <c r="A2981" t="str">
        <f t="shared" si="46"/>
        <v>Franciscópolis20244.11</v>
      </c>
      <c r="B2981">
        <v>3126752</v>
      </c>
      <c r="C2981" t="s">
        <v>46</v>
      </c>
      <c r="D2981">
        <v>2024</v>
      </c>
      <c r="E2981">
        <v>6</v>
      </c>
      <c r="F2981">
        <v>59</v>
      </c>
      <c r="G2981" t="s">
        <v>33</v>
      </c>
      <c r="H2981" t="s">
        <v>29</v>
      </c>
      <c r="I2981" s="1" t="s">
        <v>34</v>
      </c>
    </row>
    <row r="2982" spans="1:10" hidden="1" x14ac:dyDescent="0.35">
      <c r="A2982" t="str">
        <f t="shared" si="46"/>
        <v>Franciscópolis20244.2</v>
      </c>
      <c r="B2982">
        <v>3126752</v>
      </c>
      <c r="C2982" t="s">
        <v>46</v>
      </c>
      <c r="D2982">
        <v>2024</v>
      </c>
      <c r="E2982">
        <v>6</v>
      </c>
      <c r="F2982">
        <v>45</v>
      </c>
      <c r="G2982" t="s">
        <v>35</v>
      </c>
      <c r="H2982" t="s">
        <v>29</v>
      </c>
      <c r="I2982" s="1" t="s">
        <v>36</v>
      </c>
      <c r="J2982">
        <v>16698.18</v>
      </c>
    </row>
    <row r="2983" spans="1:10" hidden="1" x14ac:dyDescent="0.35">
      <c r="A2983" t="str">
        <f t="shared" si="46"/>
        <v>Franciscópolis20244.8</v>
      </c>
      <c r="B2983">
        <v>3126752</v>
      </c>
      <c r="C2983" t="s">
        <v>46</v>
      </c>
      <c r="D2983">
        <v>2024</v>
      </c>
      <c r="E2983">
        <v>6</v>
      </c>
      <c r="F2983">
        <v>56</v>
      </c>
      <c r="G2983" t="s">
        <v>37</v>
      </c>
      <c r="H2983" t="s">
        <v>29</v>
      </c>
      <c r="I2983" s="1" t="s">
        <v>38</v>
      </c>
      <c r="J2983">
        <v>24552.59</v>
      </c>
    </row>
    <row r="2984" spans="1:10" hidden="1" x14ac:dyDescent="0.35">
      <c r="A2984" t="str">
        <f t="shared" si="46"/>
        <v>Franciscópolis20244.9</v>
      </c>
      <c r="B2984">
        <v>3126752</v>
      </c>
      <c r="C2984" t="s">
        <v>46</v>
      </c>
      <c r="D2984">
        <v>2024</v>
      </c>
      <c r="E2984">
        <v>6</v>
      </c>
      <c r="F2984">
        <v>57</v>
      </c>
      <c r="G2984" t="s">
        <v>39</v>
      </c>
      <c r="H2984" t="s">
        <v>29</v>
      </c>
      <c r="I2984" s="1" t="s">
        <v>40</v>
      </c>
      <c r="J2984">
        <v>24552.59</v>
      </c>
    </row>
    <row r="2985" spans="1:10" hidden="1" x14ac:dyDescent="0.35">
      <c r="A2985" t="str">
        <f t="shared" si="46"/>
        <v>Frei Gaspar20241.1</v>
      </c>
      <c r="B2985">
        <v>3126802</v>
      </c>
      <c r="C2985" t="s">
        <v>47</v>
      </c>
      <c r="D2985">
        <v>2024</v>
      </c>
      <c r="E2985">
        <v>6</v>
      </c>
      <c r="F2985">
        <v>24</v>
      </c>
      <c r="G2985" t="s">
        <v>10</v>
      </c>
      <c r="H2985" t="s">
        <v>11</v>
      </c>
      <c r="I2985" s="1" t="s">
        <v>12</v>
      </c>
      <c r="J2985">
        <v>0.26939999999999997</v>
      </c>
    </row>
    <row r="2986" spans="1:10" hidden="1" x14ac:dyDescent="0.35">
      <c r="A2986" t="str">
        <f t="shared" si="46"/>
        <v>Frei Gaspar20241.2</v>
      </c>
      <c r="B2986">
        <v>3126802</v>
      </c>
      <c r="C2986" t="s">
        <v>47</v>
      </c>
      <c r="D2986">
        <v>2024</v>
      </c>
      <c r="E2986">
        <v>6</v>
      </c>
      <c r="F2986">
        <v>67</v>
      </c>
      <c r="G2986" t="s">
        <v>13</v>
      </c>
      <c r="H2986" t="s">
        <v>11</v>
      </c>
      <c r="I2986" s="1" t="s">
        <v>14</v>
      </c>
      <c r="J2986">
        <v>0.72719999999999996</v>
      </c>
    </row>
    <row r="2987" spans="1:10" hidden="1" x14ac:dyDescent="0.35">
      <c r="A2987" t="str">
        <f t="shared" si="46"/>
        <v>Frei Gaspar20241.3</v>
      </c>
      <c r="B2987">
        <v>3126802</v>
      </c>
      <c r="C2987" t="s">
        <v>47</v>
      </c>
      <c r="D2987">
        <v>2024</v>
      </c>
      <c r="E2987">
        <v>6</v>
      </c>
      <c r="F2987">
        <v>68</v>
      </c>
      <c r="G2987" t="s">
        <v>15</v>
      </c>
      <c r="H2987" t="s">
        <v>11</v>
      </c>
      <c r="I2987" s="1" t="s">
        <v>16</v>
      </c>
      <c r="J2987">
        <v>0.26989999999999997</v>
      </c>
    </row>
    <row r="2988" spans="1:10" hidden="1" x14ac:dyDescent="0.35">
      <c r="A2988" t="str">
        <f t="shared" si="46"/>
        <v>Frei Gaspar20242.1</v>
      </c>
      <c r="B2988">
        <v>3126802</v>
      </c>
      <c r="C2988" t="s">
        <v>47</v>
      </c>
      <c r="D2988">
        <v>2024</v>
      </c>
      <c r="E2988">
        <v>6</v>
      </c>
      <c r="F2988">
        <v>28</v>
      </c>
      <c r="G2988" t="s">
        <v>17</v>
      </c>
      <c r="H2988" t="s">
        <v>18</v>
      </c>
      <c r="I2988" s="1" t="s">
        <v>19</v>
      </c>
      <c r="J2988">
        <v>8.9800000000000005E-2</v>
      </c>
    </row>
    <row r="2989" spans="1:10" hidden="1" x14ac:dyDescent="0.35">
      <c r="A2989" t="str">
        <f t="shared" si="46"/>
        <v>Frei Gaspar20242.2</v>
      </c>
      <c r="B2989">
        <v>3126802</v>
      </c>
      <c r="C2989" t="s">
        <v>47</v>
      </c>
      <c r="D2989">
        <v>2024</v>
      </c>
      <c r="E2989">
        <v>6</v>
      </c>
      <c r="F2989">
        <v>29</v>
      </c>
      <c r="G2989" t="s">
        <v>20</v>
      </c>
      <c r="H2989" t="s">
        <v>18</v>
      </c>
      <c r="I2989" s="1" t="s">
        <v>21</v>
      </c>
      <c r="J2989">
        <v>0.9073</v>
      </c>
    </row>
    <row r="2990" spans="1:10" hidden="1" x14ac:dyDescent="0.35">
      <c r="A2990" t="str">
        <f t="shared" si="46"/>
        <v>Frei Gaspar20242.4</v>
      </c>
      <c r="B2990">
        <v>3126802</v>
      </c>
      <c r="C2990" t="s">
        <v>47</v>
      </c>
      <c r="D2990">
        <v>2024</v>
      </c>
      <c r="E2990">
        <v>6</v>
      </c>
      <c r="F2990">
        <v>31</v>
      </c>
      <c r="G2990" t="s">
        <v>22</v>
      </c>
      <c r="H2990" t="s">
        <v>18</v>
      </c>
      <c r="I2990" s="1" t="s">
        <v>23</v>
      </c>
      <c r="J2990">
        <v>5.5500000000000001E-2</v>
      </c>
    </row>
    <row r="2991" spans="1:10" hidden="1" x14ac:dyDescent="0.35">
      <c r="A2991" t="str">
        <f t="shared" si="46"/>
        <v>Frei Gaspar20242.5</v>
      </c>
      <c r="B2991">
        <v>3126802</v>
      </c>
      <c r="C2991" t="s">
        <v>47</v>
      </c>
      <c r="D2991">
        <v>2024</v>
      </c>
      <c r="E2991">
        <v>6</v>
      </c>
      <c r="F2991">
        <v>32</v>
      </c>
      <c r="G2991" t="s">
        <v>24</v>
      </c>
      <c r="H2991" t="s">
        <v>18</v>
      </c>
      <c r="I2991" s="1" t="s">
        <v>25</v>
      </c>
      <c r="J2991">
        <v>0.70979999999999999</v>
      </c>
    </row>
    <row r="2992" spans="1:10" hidden="1" x14ac:dyDescent="0.35">
      <c r="A2992" t="str">
        <f t="shared" si="46"/>
        <v>Frei Gaspar20242.8</v>
      </c>
      <c r="B2992">
        <v>3126802</v>
      </c>
      <c r="C2992" t="s">
        <v>47</v>
      </c>
      <c r="D2992">
        <v>2024</v>
      </c>
      <c r="E2992">
        <v>6</v>
      </c>
      <c r="F2992">
        <v>35</v>
      </c>
      <c r="G2992" t="s">
        <v>26</v>
      </c>
      <c r="H2992" t="s">
        <v>18</v>
      </c>
      <c r="I2992" s="1" t="s">
        <v>27</v>
      </c>
      <c r="J2992">
        <v>0.1933</v>
      </c>
    </row>
    <row r="2993" spans="1:10" hidden="1" x14ac:dyDescent="0.35">
      <c r="A2993" t="str">
        <f t="shared" si="46"/>
        <v>Frei Gaspar20244.1</v>
      </c>
      <c r="B2993">
        <v>3126802</v>
      </c>
      <c r="C2993" t="s">
        <v>47</v>
      </c>
      <c r="D2993">
        <v>2024</v>
      </c>
      <c r="E2993">
        <v>6</v>
      </c>
      <c r="F2993">
        <v>44</v>
      </c>
      <c r="G2993" t="s">
        <v>28</v>
      </c>
      <c r="H2993" t="s">
        <v>29</v>
      </c>
      <c r="I2993" s="1" t="s">
        <v>30</v>
      </c>
      <c r="J2993">
        <v>2423.2600000000002</v>
      </c>
    </row>
    <row r="2994" spans="1:10" hidden="1" x14ac:dyDescent="0.35">
      <c r="A2994" t="str">
        <f t="shared" si="46"/>
        <v>Frei Gaspar20244.10</v>
      </c>
      <c r="B2994">
        <v>3126802</v>
      </c>
      <c r="C2994" t="s">
        <v>47</v>
      </c>
      <c r="D2994">
        <v>2024</v>
      </c>
      <c r="E2994">
        <v>6</v>
      </c>
      <c r="F2994">
        <v>58</v>
      </c>
      <c r="G2994" t="s">
        <v>31</v>
      </c>
      <c r="H2994" t="s">
        <v>29</v>
      </c>
      <c r="I2994" s="1" t="s">
        <v>32</v>
      </c>
      <c r="J2994">
        <v>5385.06</v>
      </c>
    </row>
    <row r="2995" spans="1:10" hidden="1" x14ac:dyDescent="0.35">
      <c r="A2995" t="str">
        <f t="shared" si="46"/>
        <v>Frei Gaspar20244.11</v>
      </c>
      <c r="B2995">
        <v>3126802</v>
      </c>
      <c r="C2995" t="s">
        <v>47</v>
      </c>
      <c r="D2995">
        <v>2024</v>
      </c>
      <c r="E2995">
        <v>6</v>
      </c>
      <c r="F2995">
        <v>59</v>
      </c>
      <c r="G2995" t="s">
        <v>33</v>
      </c>
      <c r="H2995" t="s">
        <v>29</v>
      </c>
      <c r="I2995" s="1" t="s">
        <v>34</v>
      </c>
      <c r="J2995">
        <v>1137.3800000000001</v>
      </c>
    </row>
    <row r="2996" spans="1:10" hidden="1" x14ac:dyDescent="0.35">
      <c r="A2996" t="str">
        <f t="shared" si="46"/>
        <v>Frei Gaspar20244.2</v>
      </c>
      <c r="B2996">
        <v>3126802</v>
      </c>
      <c r="C2996" t="s">
        <v>47</v>
      </c>
      <c r="D2996">
        <v>2024</v>
      </c>
      <c r="E2996">
        <v>6</v>
      </c>
      <c r="F2996">
        <v>45</v>
      </c>
      <c r="G2996" t="s">
        <v>35</v>
      </c>
      <c r="H2996" t="s">
        <v>29</v>
      </c>
      <c r="I2996" s="1" t="s">
        <v>36</v>
      </c>
      <c r="J2996">
        <v>14315.84</v>
      </c>
    </row>
    <row r="2997" spans="1:10" hidden="1" x14ac:dyDescent="0.35">
      <c r="A2997" t="str">
        <f t="shared" si="46"/>
        <v>Frei Gaspar20244.8</v>
      </c>
      <c r="B2997">
        <v>3126802</v>
      </c>
      <c r="C2997" t="s">
        <v>47</v>
      </c>
      <c r="D2997">
        <v>2024</v>
      </c>
      <c r="E2997">
        <v>6</v>
      </c>
      <c r="F2997">
        <v>56</v>
      </c>
      <c r="G2997" t="s">
        <v>37</v>
      </c>
      <c r="H2997" t="s">
        <v>29</v>
      </c>
      <c r="I2997" s="1" t="s">
        <v>38</v>
      </c>
      <c r="J2997">
        <v>13799.08</v>
      </c>
    </row>
    <row r="2998" spans="1:10" hidden="1" x14ac:dyDescent="0.35">
      <c r="A2998" t="str">
        <f t="shared" si="46"/>
        <v>Frei Gaspar20244.9</v>
      </c>
      <c r="B2998">
        <v>3126802</v>
      </c>
      <c r="C2998" t="s">
        <v>47</v>
      </c>
      <c r="D2998">
        <v>2024</v>
      </c>
      <c r="E2998">
        <v>6</v>
      </c>
      <c r="F2998">
        <v>57</v>
      </c>
      <c r="G2998" t="s">
        <v>39</v>
      </c>
      <c r="H2998" t="s">
        <v>29</v>
      </c>
      <c r="I2998" s="1" t="s">
        <v>40</v>
      </c>
      <c r="J2998">
        <v>13799.08</v>
      </c>
    </row>
    <row r="2999" spans="1:10" hidden="1" x14ac:dyDescent="0.35">
      <c r="A2999" t="str">
        <f t="shared" si="46"/>
        <v>Fronteira dos Vales20241.1</v>
      </c>
      <c r="B2999">
        <v>3127057</v>
      </c>
      <c r="C2999" t="s">
        <v>48</v>
      </c>
      <c r="D2999">
        <v>2024</v>
      </c>
      <c r="E2999">
        <v>6</v>
      </c>
      <c r="F2999">
        <v>24</v>
      </c>
      <c r="G2999" t="s">
        <v>10</v>
      </c>
      <c r="H2999" t="s">
        <v>11</v>
      </c>
      <c r="I2999" s="1" t="s">
        <v>12</v>
      </c>
      <c r="J2999">
        <v>0.29609999999999997</v>
      </c>
    </row>
    <row r="3000" spans="1:10" hidden="1" x14ac:dyDescent="0.35">
      <c r="A3000" t="str">
        <f t="shared" si="46"/>
        <v>Fronteira dos Vales20241.2</v>
      </c>
      <c r="B3000">
        <v>3127057</v>
      </c>
      <c r="C3000" t="s">
        <v>48</v>
      </c>
      <c r="D3000">
        <v>2024</v>
      </c>
      <c r="E3000">
        <v>6</v>
      </c>
      <c r="F3000">
        <v>67</v>
      </c>
      <c r="G3000" t="s">
        <v>13</v>
      </c>
      <c r="H3000" t="s">
        <v>11</v>
      </c>
      <c r="I3000" s="1" t="s">
        <v>14</v>
      </c>
      <c r="J3000">
        <v>0.92249999999999999</v>
      </c>
    </row>
    <row r="3001" spans="1:10" hidden="1" x14ac:dyDescent="0.35">
      <c r="A3001" t="str">
        <f t="shared" si="46"/>
        <v>Fronteira dos Vales20241.3</v>
      </c>
      <c r="B3001">
        <v>3127057</v>
      </c>
      <c r="C3001" t="s">
        <v>48</v>
      </c>
      <c r="D3001">
        <v>2024</v>
      </c>
      <c r="E3001">
        <v>6</v>
      </c>
      <c r="F3001">
        <v>68</v>
      </c>
      <c r="G3001" t="s">
        <v>15</v>
      </c>
      <c r="H3001" t="s">
        <v>11</v>
      </c>
      <c r="I3001" s="1" t="s">
        <v>16</v>
      </c>
      <c r="J3001">
        <v>7.7499999999999999E-2</v>
      </c>
    </row>
    <row r="3002" spans="1:10" hidden="1" x14ac:dyDescent="0.35">
      <c r="A3002" t="str">
        <f t="shared" si="46"/>
        <v>Fronteira dos Vales20242.1</v>
      </c>
      <c r="B3002">
        <v>3127057</v>
      </c>
      <c r="C3002" t="s">
        <v>48</v>
      </c>
      <c r="D3002">
        <v>2024</v>
      </c>
      <c r="E3002">
        <v>6</v>
      </c>
      <c r="F3002">
        <v>28</v>
      </c>
      <c r="G3002" t="s">
        <v>17</v>
      </c>
      <c r="H3002" t="s">
        <v>18</v>
      </c>
      <c r="I3002" s="1" t="s">
        <v>19</v>
      </c>
      <c r="J3002">
        <v>0.28260000000000002</v>
      </c>
    </row>
    <row r="3003" spans="1:10" hidden="1" x14ac:dyDescent="0.35">
      <c r="A3003" t="str">
        <f t="shared" si="46"/>
        <v>Fronteira dos Vales20242.2</v>
      </c>
      <c r="B3003">
        <v>3127057</v>
      </c>
      <c r="C3003" t="s">
        <v>48</v>
      </c>
      <c r="D3003">
        <v>2024</v>
      </c>
      <c r="E3003">
        <v>6</v>
      </c>
      <c r="F3003">
        <v>29</v>
      </c>
      <c r="G3003" t="s">
        <v>20</v>
      </c>
      <c r="H3003" t="s">
        <v>18</v>
      </c>
      <c r="I3003" s="1" t="s">
        <v>21</v>
      </c>
      <c r="J3003">
        <v>0.8357</v>
      </c>
    </row>
    <row r="3004" spans="1:10" hidden="1" x14ac:dyDescent="0.35">
      <c r="A3004" t="str">
        <f t="shared" si="46"/>
        <v>Fronteira dos Vales20242.4</v>
      </c>
      <c r="B3004">
        <v>3127057</v>
      </c>
      <c r="C3004" t="s">
        <v>48</v>
      </c>
      <c r="D3004">
        <v>2024</v>
      </c>
      <c r="E3004">
        <v>6</v>
      </c>
      <c r="F3004">
        <v>31</v>
      </c>
      <c r="G3004" t="s">
        <v>22</v>
      </c>
      <c r="H3004" t="s">
        <v>18</v>
      </c>
      <c r="I3004" s="1" t="s">
        <v>23</v>
      </c>
      <c r="J3004">
        <v>0.12230000000000001</v>
      </c>
    </row>
    <row r="3005" spans="1:10" hidden="1" x14ac:dyDescent="0.35">
      <c r="A3005" t="str">
        <f t="shared" si="46"/>
        <v>Fronteira dos Vales20242.5</v>
      </c>
      <c r="B3005">
        <v>3127057</v>
      </c>
      <c r="C3005" t="s">
        <v>48</v>
      </c>
      <c r="D3005">
        <v>2024</v>
      </c>
      <c r="E3005">
        <v>6</v>
      </c>
      <c r="F3005">
        <v>32</v>
      </c>
      <c r="G3005" t="s">
        <v>24</v>
      </c>
      <c r="H3005" t="s">
        <v>18</v>
      </c>
      <c r="I3005" s="1" t="s">
        <v>25</v>
      </c>
      <c r="J3005">
        <v>0.65329999999999999</v>
      </c>
    </row>
    <row r="3006" spans="1:10" hidden="1" x14ac:dyDescent="0.35">
      <c r="A3006" t="str">
        <f t="shared" si="46"/>
        <v>Fronteira dos Vales20242.8</v>
      </c>
      <c r="B3006">
        <v>3127057</v>
      </c>
      <c r="C3006" t="s">
        <v>48</v>
      </c>
      <c r="D3006">
        <v>2024</v>
      </c>
      <c r="E3006">
        <v>6</v>
      </c>
      <c r="F3006">
        <v>35</v>
      </c>
      <c r="G3006" t="s">
        <v>26</v>
      </c>
      <c r="H3006" t="s">
        <v>18</v>
      </c>
      <c r="I3006" s="1" t="s">
        <v>27</v>
      </c>
      <c r="J3006">
        <v>0.2185</v>
      </c>
    </row>
    <row r="3007" spans="1:10" hidden="1" x14ac:dyDescent="0.35">
      <c r="A3007" t="str">
        <f t="shared" si="46"/>
        <v>Fronteira dos Vales20244.1</v>
      </c>
      <c r="B3007">
        <v>3127057</v>
      </c>
      <c r="C3007" t="s">
        <v>48</v>
      </c>
      <c r="D3007">
        <v>2024</v>
      </c>
      <c r="E3007">
        <v>6</v>
      </c>
      <c r="F3007">
        <v>44</v>
      </c>
      <c r="G3007" t="s">
        <v>28</v>
      </c>
      <c r="H3007" t="s">
        <v>29</v>
      </c>
      <c r="I3007" s="1" t="s">
        <v>30</v>
      </c>
      <c r="J3007">
        <v>8714.56</v>
      </c>
    </row>
    <row r="3008" spans="1:10" hidden="1" x14ac:dyDescent="0.35">
      <c r="A3008" t="str">
        <f t="shared" si="46"/>
        <v>Fronteira dos Vales20244.10</v>
      </c>
      <c r="B3008">
        <v>3127057</v>
      </c>
      <c r="C3008" t="s">
        <v>48</v>
      </c>
      <c r="D3008">
        <v>2024</v>
      </c>
      <c r="E3008">
        <v>6</v>
      </c>
      <c r="F3008">
        <v>58</v>
      </c>
      <c r="G3008" t="s">
        <v>31</v>
      </c>
      <c r="H3008" t="s">
        <v>29</v>
      </c>
      <c r="I3008" s="1" t="s">
        <v>32</v>
      </c>
      <c r="J3008">
        <v>7700.67</v>
      </c>
    </row>
    <row r="3009" spans="1:10" hidden="1" x14ac:dyDescent="0.35">
      <c r="A3009" t="str">
        <f t="shared" si="46"/>
        <v>Fronteira dos Vales20244.11</v>
      </c>
      <c r="B3009">
        <v>3127057</v>
      </c>
      <c r="C3009" t="s">
        <v>48</v>
      </c>
      <c r="D3009">
        <v>2024</v>
      </c>
      <c r="E3009">
        <v>6</v>
      </c>
      <c r="F3009">
        <v>59</v>
      </c>
      <c r="G3009" t="s">
        <v>33</v>
      </c>
      <c r="H3009" t="s">
        <v>29</v>
      </c>
      <c r="I3009" s="1" t="s">
        <v>34</v>
      </c>
      <c r="J3009">
        <v>541.14</v>
      </c>
    </row>
    <row r="3010" spans="1:10" hidden="1" x14ac:dyDescent="0.35">
      <c r="A3010" t="str">
        <f t="shared" si="46"/>
        <v>Fronteira dos Vales20244.2</v>
      </c>
      <c r="B3010">
        <v>3127057</v>
      </c>
      <c r="C3010" t="s">
        <v>48</v>
      </c>
      <c r="D3010">
        <v>2024</v>
      </c>
      <c r="E3010">
        <v>6</v>
      </c>
      <c r="F3010">
        <v>45</v>
      </c>
      <c r="G3010" t="s">
        <v>35</v>
      </c>
      <c r="H3010" t="s">
        <v>29</v>
      </c>
      <c r="I3010" s="1" t="s">
        <v>36</v>
      </c>
      <c r="J3010">
        <v>19848.73</v>
      </c>
    </row>
    <row r="3011" spans="1:10" hidden="1" x14ac:dyDescent="0.35">
      <c r="A3011" t="str">
        <f t="shared" si="46"/>
        <v>Fronteira dos Vales20244.8</v>
      </c>
      <c r="B3011">
        <v>3127057</v>
      </c>
      <c r="C3011" t="s">
        <v>48</v>
      </c>
      <c r="D3011">
        <v>2024</v>
      </c>
      <c r="E3011">
        <v>6</v>
      </c>
      <c r="F3011">
        <v>56</v>
      </c>
      <c r="G3011" t="s">
        <v>37</v>
      </c>
      <c r="H3011" t="s">
        <v>29</v>
      </c>
      <c r="I3011" s="1" t="s">
        <v>38</v>
      </c>
      <c r="J3011">
        <v>21302.71</v>
      </c>
    </row>
    <row r="3012" spans="1:10" hidden="1" x14ac:dyDescent="0.35">
      <c r="A3012" t="str">
        <f t="shared" ref="A3012:A3075" si="47">C3012&amp;D3012&amp;G3012</f>
        <v>Fronteira dos Vales20244.9</v>
      </c>
      <c r="B3012">
        <v>3127057</v>
      </c>
      <c r="C3012" t="s">
        <v>48</v>
      </c>
      <c r="D3012">
        <v>2024</v>
      </c>
      <c r="E3012">
        <v>6</v>
      </c>
      <c r="F3012">
        <v>57</v>
      </c>
      <c r="G3012" t="s">
        <v>39</v>
      </c>
      <c r="H3012" t="s">
        <v>29</v>
      </c>
      <c r="I3012" s="1" t="s">
        <v>40</v>
      </c>
      <c r="J3012">
        <v>21302.71</v>
      </c>
    </row>
    <row r="3013" spans="1:10" hidden="1" x14ac:dyDescent="0.35">
      <c r="A3013" t="str">
        <f t="shared" si="47"/>
        <v>Itaipé20241.1</v>
      </c>
      <c r="B3013">
        <v>3132305</v>
      </c>
      <c r="C3013" t="s">
        <v>49</v>
      </c>
      <c r="D3013">
        <v>2024</v>
      </c>
      <c r="E3013">
        <v>6</v>
      </c>
      <c r="F3013">
        <v>24</v>
      </c>
      <c r="G3013" t="s">
        <v>10</v>
      </c>
      <c r="H3013" t="s">
        <v>11</v>
      </c>
      <c r="I3013" s="1" t="s">
        <v>12</v>
      </c>
      <c r="J3013">
        <v>0.28399999999999997</v>
      </c>
    </row>
    <row r="3014" spans="1:10" hidden="1" x14ac:dyDescent="0.35">
      <c r="A3014" t="str">
        <f t="shared" si="47"/>
        <v>Itaipé20241.2</v>
      </c>
      <c r="B3014">
        <v>3132305</v>
      </c>
      <c r="C3014" t="s">
        <v>49</v>
      </c>
      <c r="D3014">
        <v>2024</v>
      </c>
      <c r="E3014">
        <v>6</v>
      </c>
      <c r="F3014">
        <v>67</v>
      </c>
      <c r="G3014" t="s">
        <v>13</v>
      </c>
      <c r="H3014" t="s">
        <v>11</v>
      </c>
      <c r="I3014" s="1" t="s">
        <v>14</v>
      </c>
      <c r="J3014">
        <v>0.93310000000000004</v>
      </c>
    </row>
    <row r="3015" spans="1:10" hidden="1" x14ac:dyDescent="0.35">
      <c r="A3015" t="str">
        <f t="shared" si="47"/>
        <v>Itaipé20241.3</v>
      </c>
      <c r="B3015">
        <v>3132305</v>
      </c>
      <c r="C3015" t="s">
        <v>49</v>
      </c>
      <c r="D3015">
        <v>2024</v>
      </c>
      <c r="E3015">
        <v>6</v>
      </c>
      <c r="F3015">
        <v>68</v>
      </c>
      <c r="G3015" t="s">
        <v>15</v>
      </c>
      <c r="H3015" t="s">
        <v>11</v>
      </c>
      <c r="I3015" s="1" t="s">
        <v>16</v>
      </c>
      <c r="J3015">
        <v>6.6900000000000001E-2</v>
      </c>
    </row>
    <row r="3016" spans="1:10" hidden="1" x14ac:dyDescent="0.35">
      <c r="A3016" t="str">
        <f t="shared" si="47"/>
        <v>Itaipé20242.1</v>
      </c>
      <c r="B3016">
        <v>3132305</v>
      </c>
      <c r="C3016" t="s">
        <v>49</v>
      </c>
      <c r="D3016">
        <v>2024</v>
      </c>
      <c r="E3016">
        <v>6</v>
      </c>
      <c r="F3016">
        <v>28</v>
      </c>
      <c r="G3016" t="s">
        <v>17</v>
      </c>
      <c r="H3016" t="s">
        <v>18</v>
      </c>
      <c r="I3016" s="1" t="s">
        <v>19</v>
      </c>
      <c r="J3016">
        <v>6.8699999999999997E-2</v>
      </c>
    </row>
    <row r="3017" spans="1:10" hidden="1" x14ac:dyDescent="0.35">
      <c r="A3017" t="str">
        <f t="shared" si="47"/>
        <v>Itaipé20242.2</v>
      </c>
      <c r="B3017">
        <v>3132305</v>
      </c>
      <c r="C3017" t="s">
        <v>49</v>
      </c>
      <c r="D3017">
        <v>2024</v>
      </c>
      <c r="E3017">
        <v>6</v>
      </c>
      <c r="F3017">
        <v>29</v>
      </c>
      <c r="G3017" t="s">
        <v>20</v>
      </c>
      <c r="H3017" t="s">
        <v>18</v>
      </c>
      <c r="I3017" s="1" t="s">
        <v>21</v>
      </c>
      <c r="J3017">
        <v>0.92159999999999997</v>
      </c>
    </row>
    <row r="3018" spans="1:10" hidden="1" x14ac:dyDescent="0.35">
      <c r="A3018" t="str">
        <f t="shared" si="47"/>
        <v>Itaipé20242.4</v>
      </c>
      <c r="B3018">
        <v>3132305</v>
      </c>
      <c r="C3018" t="s">
        <v>49</v>
      </c>
      <c r="D3018">
        <v>2024</v>
      </c>
      <c r="E3018">
        <v>6</v>
      </c>
      <c r="F3018">
        <v>31</v>
      </c>
      <c r="G3018" t="s">
        <v>22</v>
      </c>
      <c r="H3018" t="s">
        <v>18</v>
      </c>
      <c r="I3018" s="1" t="s">
        <v>23</v>
      </c>
      <c r="J3018">
        <v>4.3200000000000002E-2</v>
      </c>
    </row>
    <row r="3019" spans="1:10" hidden="1" x14ac:dyDescent="0.35">
      <c r="A3019" t="str">
        <f t="shared" si="47"/>
        <v>Itaipé20242.5</v>
      </c>
      <c r="B3019">
        <v>3132305</v>
      </c>
      <c r="C3019" t="s">
        <v>49</v>
      </c>
      <c r="D3019">
        <v>2024</v>
      </c>
      <c r="E3019">
        <v>6</v>
      </c>
      <c r="F3019">
        <v>32</v>
      </c>
      <c r="G3019" t="s">
        <v>24</v>
      </c>
      <c r="H3019" t="s">
        <v>18</v>
      </c>
      <c r="I3019" s="1" t="s">
        <v>25</v>
      </c>
      <c r="J3019">
        <v>0.59360000000000002</v>
      </c>
    </row>
    <row r="3020" spans="1:10" hidden="1" x14ac:dyDescent="0.35">
      <c r="A3020" t="str">
        <f t="shared" si="47"/>
        <v>Itaipé20242.8</v>
      </c>
      <c r="B3020">
        <v>3132305</v>
      </c>
      <c r="C3020" t="s">
        <v>49</v>
      </c>
      <c r="D3020">
        <v>2024</v>
      </c>
      <c r="E3020">
        <v>6</v>
      </c>
      <c r="F3020">
        <v>35</v>
      </c>
      <c r="G3020" t="s">
        <v>26</v>
      </c>
      <c r="H3020" t="s">
        <v>18</v>
      </c>
      <c r="I3020" s="1" t="s">
        <v>27</v>
      </c>
      <c r="J3020">
        <v>0.36749999999999999</v>
      </c>
    </row>
    <row r="3021" spans="1:10" hidden="1" x14ac:dyDescent="0.35">
      <c r="A3021" t="str">
        <f t="shared" si="47"/>
        <v>Itaipé20244.1</v>
      </c>
      <c r="B3021">
        <v>3132305</v>
      </c>
      <c r="C3021" t="s">
        <v>49</v>
      </c>
      <c r="D3021">
        <v>2024</v>
      </c>
      <c r="E3021">
        <v>6</v>
      </c>
      <c r="F3021">
        <v>44</v>
      </c>
      <c r="G3021" t="s">
        <v>28</v>
      </c>
      <c r="H3021" t="s">
        <v>29</v>
      </c>
      <c r="I3021" s="1" t="s">
        <v>30</v>
      </c>
      <c r="J3021">
        <v>1958.93</v>
      </c>
    </row>
    <row r="3022" spans="1:10" hidden="1" x14ac:dyDescent="0.35">
      <c r="A3022" t="str">
        <f t="shared" si="47"/>
        <v>Itaipé20244.10</v>
      </c>
      <c r="B3022">
        <v>3132305</v>
      </c>
      <c r="C3022" t="s">
        <v>49</v>
      </c>
      <c r="D3022">
        <v>2024</v>
      </c>
      <c r="E3022">
        <v>6</v>
      </c>
      <c r="F3022">
        <v>58</v>
      </c>
      <c r="G3022" t="s">
        <v>31</v>
      </c>
      <c r="H3022" t="s">
        <v>29</v>
      </c>
      <c r="I3022" s="1" t="s">
        <v>32</v>
      </c>
      <c r="J3022">
        <v>7079.2</v>
      </c>
    </row>
    <row r="3023" spans="1:10" hidden="1" x14ac:dyDescent="0.35">
      <c r="A3023" t="str">
        <f t="shared" si="47"/>
        <v>Itaipé20244.11</v>
      </c>
      <c r="B3023">
        <v>3132305</v>
      </c>
      <c r="C3023" t="s">
        <v>49</v>
      </c>
      <c r="D3023">
        <v>2024</v>
      </c>
      <c r="E3023">
        <v>6</v>
      </c>
      <c r="F3023">
        <v>59</v>
      </c>
      <c r="G3023" t="s">
        <v>33</v>
      </c>
      <c r="H3023" t="s">
        <v>29</v>
      </c>
      <c r="I3023" s="1" t="s">
        <v>34</v>
      </c>
    </row>
    <row r="3024" spans="1:10" hidden="1" x14ac:dyDescent="0.35">
      <c r="A3024" t="str">
        <f t="shared" si="47"/>
        <v>Itaipé20244.2</v>
      </c>
      <c r="B3024">
        <v>3132305</v>
      </c>
      <c r="C3024" t="s">
        <v>49</v>
      </c>
      <c r="D3024">
        <v>2024</v>
      </c>
      <c r="E3024">
        <v>6</v>
      </c>
      <c r="F3024">
        <v>45</v>
      </c>
      <c r="G3024" t="s">
        <v>35</v>
      </c>
      <c r="H3024" t="s">
        <v>29</v>
      </c>
      <c r="I3024" s="1" t="s">
        <v>36</v>
      </c>
      <c r="J3024">
        <v>14887.31</v>
      </c>
    </row>
    <row r="3025" spans="1:10" hidden="1" x14ac:dyDescent="0.35">
      <c r="A3025" t="str">
        <f t="shared" si="47"/>
        <v>Itaipé20244.8</v>
      </c>
      <c r="B3025">
        <v>3132305</v>
      </c>
      <c r="C3025" t="s">
        <v>49</v>
      </c>
      <c r="D3025">
        <v>2024</v>
      </c>
      <c r="E3025">
        <v>6</v>
      </c>
      <c r="F3025">
        <v>56</v>
      </c>
      <c r="G3025" t="s">
        <v>37</v>
      </c>
      <c r="H3025" t="s">
        <v>29</v>
      </c>
      <c r="I3025" s="1" t="s">
        <v>38</v>
      </c>
      <c r="J3025">
        <v>16147.96</v>
      </c>
    </row>
    <row r="3026" spans="1:10" hidden="1" x14ac:dyDescent="0.35">
      <c r="A3026" t="str">
        <f t="shared" si="47"/>
        <v>Itaipé20244.9</v>
      </c>
      <c r="B3026">
        <v>3132305</v>
      </c>
      <c r="C3026" t="s">
        <v>49</v>
      </c>
      <c r="D3026">
        <v>2024</v>
      </c>
      <c r="E3026">
        <v>6</v>
      </c>
      <c r="F3026">
        <v>57</v>
      </c>
      <c r="G3026" t="s">
        <v>39</v>
      </c>
      <c r="H3026" t="s">
        <v>29</v>
      </c>
      <c r="I3026" s="1" t="s">
        <v>40</v>
      </c>
      <c r="J3026">
        <v>16147.96</v>
      </c>
    </row>
    <row r="3027" spans="1:10" hidden="1" x14ac:dyDescent="0.35">
      <c r="A3027" t="str">
        <f t="shared" si="47"/>
        <v>Ladainha20241.1</v>
      </c>
      <c r="B3027">
        <v>3137007</v>
      </c>
      <c r="C3027" t="s">
        <v>50</v>
      </c>
      <c r="D3027">
        <v>2024</v>
      </c>
      <c r="E3027">
        <v>6</v>
      </c>
      <c r="F3027">
        <v>24</v>
      </c>
      <c r="G3027" t="s">
        <v>10</v>
      </c>
      <c r="H3027" t="s">
        <v>11</v>
      </c>
      <c r="I3027" s="1" t="s">
        <v>12</v>
      </c>
      <c r="J3027">
        <v>0.2661</v>
      </c>
    </row>
    <row r="3028" spans="1:10" hidden="1" x14ac:dyDescent="0.35">
      <c r="A3028" t="str">
        <f t="shared" si="47"/>
        <v>Ladainha20241.2</v>
      </c>
      <c r="B3028">
        <v>3137007</v>
      </c>
      <c r="C3028" t="s">
        <v>50</v>
      </c>
      <c r="D3028">
        <v>2024</v>
      </c>
      <c r="E3028">
        <v>6</v>
      </c>
      <c r="F3028">
        <v>67</v>
      </c>
      <c r="G3028" t="s">
        <v>13</v>
      </c>
      <c r="H3028" t="s">
        <v>11</v>
      </c>
      <c r="I3028" s="1" t="s">
        <v>14</v>
      </c>
      <c r="J3028">
        <v>0.70340000000000003</v>
      </c>
    </row>
    <row r="3029" spans="1:10" hidden="1" x14ac:dyDescent="0.35">
      <c r="A3029" t="str">
        <f t="shared" si="47"/>
        <v>Ladainha20241.3</v>
      </c>
      <c r="B3029">
        <v>3137007</v>
      </c>
      <c r="C3029" t="s">
        <v>50</v>
      </c>
      <c r="D3029">
        <v>2024</v>
      </c>
      <c r="E3029">
        <v>6</v>
      </c>
      <c r="F3029">
        <v>68</v>
      </c>
      <c r="G3029" t="s">
        <v>15</v>
      </c>
      <c r="H3029" t="s">
        <v>11</v>
      </c>
      <c r="I3029" s="1" t="s">
        <v>16</v>
      </c>
      <c r="J3029">
        <v>0.27539999999999998</v>
      </c>
    </row>
    <row r="3030" spans="1:10" hidden="1" x14ac:dyDescent="0.35">
      <c r="A3030" t="str">
        <f t="shared" si="47"/>
        <v>Ladainha20242.1</v>
      </c>
      <c r="B3030">
        <v>3137007</v>
      </c>
      <c r="C3030" t="s">
        <v>50</v>
      </c>
      <c r="D3030">
        <v>2024</v>
      </c>
      <c r="E3030">
        <v>6</v>
      </c>
      <c r="F3030">
        <v>28</v>
      </c>
      <c r="G3030" t="s">
        <v>17</v>
      </c>
      <c r="H3030" t="s">
        <v>18</v>
      </c>
      <c r="I3030" s="1" t="s">
        <v>19</v>
      </c>
      <c r="J3030">
        <v>0.16059999999999999</v>
      </c>
    </row>
    <row r="3031" spans="1:10" hidden="1" x14ac:dyDescent="0.35">
      <c r="A3031" t="str">
        <f t="shared" si="47"/>
        <v>Ladainha20242.2</v>
      </c>
      <c r="B3031">
        <v>3137007</v>
      </c>
      <c r="C3031" t="s">
        <v>50</v>
      </c>
      <c r="D3031">
        <v>2024</v>
      </c>
      <c r="E3031">
        <v>6</v>
      </c>
      <c r="F3031">
        <v>29</v>
      </c>
      <c r="G3031" t="s">
        <v>20</v>
      </c>
      <c r="H3031" t="s">
        <v>18</v>
      </c>
      <c r="I3031" s="1" t="s">
        <v>21</v>
      </c>
      <c r="J3031">
        <v>0.71730000000000005</v>
      </c>
    </row>
    <row r="3032" spans="1:10" hidden="1" x14ac:dyDescent="0.35">
      <c r="A3032" t="str">
        <f t="shared" si="47"/>
        <v>Ladainha20242.4</v>
      </c>
      <c r="B3032">
        <v>3137007</v>
      </c>
      <c r="C3032" t="s">
        <v>50</v>
      </c>
      <c r="D3032">
        <v>2024</v>
      </c>
      <c r="E3032">
        <v>6</v>
      </c>
      <c r="F3032">
        <v>31</v>
      </c>
      <c r="G3032" t="s">
        <v>22</v>
      </c>
      <c r="H3032" t="s">
        <v>18</v>
      </c>
      <c r="I3032" s="1" t="s">
        <v>23</v>
      </c>
      <c r="J3032">
        <v>8.3900000000000002E-2</v>
      </c>
    </row>
    <row r="3033" spans="1:10" hidden="1" x14ac:dyDescent="0.35">
      <c r="A3033" t="str">
        <f t="shared" si="47"/>
        <v>Ladainha20242.5</v>
      </c>
      <c r="B3033">
        <v>3137007</v>
      </c>
      <c r="C3033" t="s">
        <v>50</v>
      </c>
      <c r="D3033">
        <v>2024</v>
      </c>
      <c r="E3033">
        <v>6</v>
      </c>
      <c r="F3033">
        <v>32</v>
      </c>
      <c r="G3033" t="s">
        <v>24</v>
      </c>
      <c r="H3033" t="s">
        <v>18</v>
      </c>
      <c r="I3033" s="1" t="s">
        <v>25</v>
      </c>
      <c r="J3033">
        <v>0.55410000000000004</v>
      </c>
    </row>
    <row r="3034" spans="1:10" hidden="1" x14ac:dyDescent="0.35">
      <c r="A3034" t="str">
        <f t="shared" si="47"/>
        <v>Ladainha20242.8</v>
      </c>
      <c r="B3034">
        <v>3137007</v>
      </c>
      <c r="C3034" t="s">
        <v>50</v>
      </c>
      <c r="D3034">
        <v>2024</v>
      </c>
      <c r="E3034">
        <v>6</v>
      </c>
      <c r="F3034">
        <v>35</v>
      </c>
      <c r="G3034" t="s">
        <v>26</v>
      </c>
      <c r="H3034" t="s">
        <v>18</v>
      </c>
      <c r="I3034" s="1" t="s">
        <v>27</v>
      </c>
      <c r="J3034">
        <v>0.28349999999999997</v>
      </c>
    </row>
    <row r="3035" spans="1:10" hidden="1" x14ac:dyDescent="0.35">
      <c r="A3035" t="str">
        <f t="shared" si="47"/>
        <v>Ladainha20244.1</v>
      </c>
      <c r="B3035">
        <v>3137007</v>
      </c>
      <c r="C3035" t="s">
        <v>50</v>
      </c>
      <c r="D3035">
        <v>2024</v>
      </c>
      <c r="E3035">
        <v>6</v>
      </c>
      <c r="F3035">
        <v>44</v>
      </c>
      <c r="G3035" t="s">
        <v>28</v>
      </c>
      <c r="H3035" t="s">
        <v>29</v>
      </c>
      <c r="I3035" s="1" t="s">
        <v>30</v>
      </c>
      <c r="J3035">
        <v>4735.8900000000003</v>
      </c>
    </row>
    <row r="3036" spans="1:10" hidden="1" x14ac:dyDescent="0.35">
      <c r="A3036" t="str">
        <f t="shared" si="47"/>
        <v>Ladainha20244.10</v>
      </c>
      <c r="B3036">
        <v>3137007</v>
      </c>
      <c r="C3036" t="s">
        <v>50</v>
      </c>
      <c r="D3036">
        <v>2024</v>
      </c>
      <c r="E3036">
        <v>6</v>
      </c>
      <c r="F3036">
        <v>58</v>
      </c>
      <c r="G3036" t="s">
        <v>31</v>
      </c>
      <c r="H3036" t="s">
        <v>29</v>
      </c>
      <c r="I3036" s="1" t="s">
        <v>32</v>
      </c>
      <c r="J3036">
        <v>6135.47</v>
      </c>
    </row>
    <row r="3037" spans="1:10" hidden="1" x14ac:dyDescent="0.35">
      <c r="A3037" t="str">
        <f t="shared" si="47"/>
        <v>Ladainha20244.11</v>
      </c>
      <c r="B3037">
        <v>3137007</v>
      </c>
      <c r="C3037" t="s">
        <v>50</v>
      </c>
      <c r="D3037">
        <v>2024</v>
      </c>
      <c r="E3037">
        <v>6</v>
      </c>
      <c r="F3037">
        <v>59</v>
      </c>
      <c r="G3037" t="s">
        <v>33</v>
      </c>
      <c r="H3037" t="s">
        <v>29</v>
      </c>
      <c r="I3037" s="1" t="s">
        <v>34</v>
      </c>
      <c r="J3037">
        <v>1744.7</v>
      </c>
    </row>
    <row r="3038" spans="1:10" hidden="1" x14ac:dyDescent="0.35">
      <c r="A3038" t="str">
        <f t="shared" si="47"/>
        <v>Ladainha20244.2</v>
      </c>
      <c r="B3038">
        <v>3137007</v>
      </c>
      <c r="C3038" t="s">
        <v>50</v>
      </c>
      <c r="D3038">
        <v>2024</v>
      </c>
      <c r="E3038">
        <v>6</v>
      </c>
      <c r="F3038">
        <v>45</v>
      </c>
      <c r="G3038" t="s">
        <v>35</v>
      </c>
      <c r="H3038" t="s">
        <v>29</v>
      </c>
      <c r="I3038" s="1" t="s">
        <v>36</v>
      </c>
      <c r="J3038">
        <v>15192.17</v>
      </c>
    </row>
    <row r="3039" spans="1:10" hidden="1" x14ac:dyDescent="0.35">
      <c r="A3039" t="str">
        <f t="shared" si="47"/>
        <v>Ladainha20244.8</v>
      </c>
      <c r="B3039">
        <v>3137007</v>
      </c>
      <c r="C3039" t="s">
        <v>50</v>
      </c>
      <c r="D3039">
        <v>2024</v>
      </c>
      <c r="E3039">
        <v>6</v>
      </c>
      <c r="F3039">
        <v>56</v>
      </c>
      <c r="G3039" t="s">
        <v>37</v>
      </c>
      <c r="H3039" t="s">
        <v>29</v>
      </c>
      <c r="I3039" s="1" t="s">
        <v>38</v>
      </c>
      <c r="J3039">
        <v>18453.490000000002</v>
      </c>
    </row>
    <row r="3040" spans="1:10" hidden="1" x14ac:dyDescent="0.35">
      <c r="A3040" t="str">
        <f t="shared" si="47"/>
        <v>Ladainha20244.9</v>
      </c>
      <c r="B3040">
        <v>3137007</v>
      </c>
      <c r="C3040" t="s">
        <v>50</v>
      </c>
      <c r="D3040">
        <v>2024</v>
      </c>
      <c r="E3040">
        <v>6</v>
      </c>
      <c r="F3040">
        <v>57</v>
      </c>
      <c r="G3040" t="s">
        <v>39</v>
      </c>
      <c r="H3040" t="s">
        <v>29</v>
      </c>
      <c r="I3040" s="1" t="s">
        <v>40</v>
      </c>
      <c r="J3040">
        <v>18453.490000000002</v>
      </c>
    </row>
    <row r="3041" spans="1:10" hidden="1" x14ac:dyDescent="0.35">
      <c r="A3041" t="str">
        <f t="shared" si="47"/>
        <v>Machacalis20241.1</v>
      </c>
      <c r="B3041">
        <v>3138906</v>
      </c>
      <c r="C3041" t="s">
        <v>51</v>
      </c>
      <c r="D3041">
        <v>2024</v>
      </c>
      <c r="E3041">
        <v>6</v>
      </c>
      <c r="F3041">
        <v>24</v>
      </c>
      <c r="G3041" t="s">
        <v>10</v>
      </c>
      <c r="H3041" t="s">
        <v>11</v>
      </c>
      <c r="I3041" s="1" t="s">
        <v>12</v>
      </c>
      <c r="J3041">
        <v>0.27229999999999999</v>
      </c>
    </row>
    <row r="3042" spans="1:10" hidden="1" x14ac:dyDescent="0.35">
      <c r="A3042" t="str">
        <f t="shared" si="47"/>
        <v>Machacalis20241.2</v>
      </c>
      <c r="B3042">
        <v>3138906</v>
      </c>
      <c r="C3042" t="s">
        <v>51</v>
      </c>
      <c r="D3042">
        <v>2024</v>
      </c>
      <c r="E3042">
        <v>6</v>
      </c>
      <c r="F3042">
        <v>67</v>
      </c>
      <c r="G3042" t="s">
        <v>13</v>
      </c>
      <c r="H3042" t="s">
        <v>11</v>
      </c>
      <c r="I3042" s="1" t="s">
        <v>14</v>
      </c>
      <c r="J3042">
        <v>0.74950000000000006</v>
      </c>
    </row>
    <row r="3043" spans="1:10" hidden="1" x14ac:dyDescent="0.35">
      <c r="A3043" t="str">
        <f t="shared" si="47"/>
        <v>Machacalis20241.3</v>
      </c>
      <c r="B3043">
        <v>3138906</v>
      </c>
      <c r="C3043" t="s">
        <v>51</v>
      </c>
      <c r="D3043">
        <v>2024</v>
      </c>
      <c r="E3043">
        <v>6</v>
      </c>
      <c r="F3043">
        <v>68</v>
      </c>
      <c r="G3043" t="s">
        <v>15</v>
      </c>
      <c r="H3043" t="s">
        <v>11</v>
      </c>
      <c r="I3043" s="1" t="s">
        <v>16</v>
      </c>
      <c r="J3043">
        <v>0.16969999999999999</v>
      </c>
    </row>
    <row r="3044" spans="1:10" hidden="1" x14ac:dyDescent="0.35">
      <c r="A3044" t="str">
        <f t="shared" si="47"/>
        <v>Machacalis20242.1</v>
      </c>
      <c r="B3044">
        <v>3138906</v>
      </c>
      <c r="C3044" t="s">
        <v>51</v>
      </c>
      <c r="D3044">
        <v>2024</v>
      </c>
      <c r="E3044">
        <v>6</v>
      </c>
      <c r="F3044">
        <v>28</v>
      </c>
      <c r="G3044" t="s">
        <v>17</v>
      </c>
      <c r="H3044" t="s">
        <v>18</v>
      </c>
      <c r="I3044" s="1" t="s">
        <v>19</v>
      </c>
      <c r="J3044">
        <v>0.1772</v>
      </c>
    </row>
    <row r="3045" spans="1:10" hidden="1" x14ac:dyDescent="0.35">
      <c r="A3045" t="str">
        <f t="shared" si="47"/>
        <v>Machacalis20242.2</v>
      </c>
      <c r="B3045">
        <v>3138906</v>
      </c>
      <c r="C3045" t="s">
        <v>51</v>
      </c>
      <c r="D3045">
        <v>2024</v>
      </c>
      <c r="E3045">
        <v>6</v>
      </c>
      <c r="F3045">
        <v>29</v>
      </c>
      <c r="G3045" t="s">
        <v>20</v>
      </c>
      <c r="H3045" t="s">
        <v>18</v>
      </c>
      <c r="I3045" s="1" t="s">
        <v>21</v>
      </c>
      <c r="J3045">
        <v>0.60560000000000003</v>
      </c>
    </row>
    <row r="3046" spans="1:10" hidden="1" x14ac:dyDescent="0.35">
      <c r="A3046" t="str">
        <f t="shared" si="47"/>
        <v>Machacalis20242.4</v>
      </c>
      <c r="B3046">
        <v>3138906</v>
      </c>
      <c r="C3046" t="s">
        <v>51</v>
      </c>
      <c r="D3046">
        <v>2024</v>
      </c>
      <c r="E3046">
        <v>6</v>
      </c>
      <c r="F3046">
        <v>31</v>
      </c>
      <c r="G3046" t="s">
        <v>22</v>
      </c>
      <c r="H3046" t="s">
        <v>18</v>
      </c>
      <c r="I3046" s="1" t="s">
        <v>23</v>
      </c>
      <c r="J3046">
        <v>0.111</v>
      </c>
    </row>
    <row r="3047" spans="1:10" hidden="1" x14ac:dyDescent="0.35">
      <c r="A3047" t="str">
        <f t="shared" si="47"/>
        <v>Machacalis20242.5</v>
      </c>
      <c r="B3047">
        <v>3138906</v>
      </c>
      <c r="C3047" t="s">
        <v>51</v>
      </c>
      <c r="D3047">
        <v>2024</v>
      </c>
      <c r="E3047">
        <v>6</v>
      </c>
      <c r="F3047">
        <v>32</v>
      </c>
      <c r="G3047" t="s">
        <v>24</v>
      </c>
      <c r="H3047" t="s">
        <v>18</v>
      </c>
      <c r="I3047" s="1" t="s">
        <v>25</v>
      </c>
      <c r="J3047">
        <v>0.59960000000000002</v>
      </c>
    </row>
    <row r="3048" spans="1:10" hidden="1" x14ac:dyDescent="0.35">
      <c r="A3048" t="str">
        <f t="shared" si="47"/>
        <v>Machacalis20242.8</v>
      </c>
      <c r="B3048">
        <v>3138906</v>
      </c>
      <c r="C3048" t="s">
        <v>51</v>
      </c>
      <c r="D3048">
        <v>2024</v>
      </c>
      <c r="E3048">
        <v>6</v>
      </c>
      <c r="F3048">
        <v>35</v>
      </c>
      <c r="G3048" t="s">
        <v>26</v>
      </c>
      <c r="H3048" t="s">
        <v>18</v>
      </c>
      <c r="I3048" s="1" t="s">
        <v>27</v>
      </c>
      <c r="J3048">
        <v>0.2069</v>
      </c>
    </row>
    <row r="3049" spans="1:10" hidden="1" x14ac:dyDescent="0.35">
      <c r="A3049" t="str">
        <f t="shared" si="47"/>
        <v>Machacalis20244.1</v>
      </c>
      <c r="B3049">
        <v>3138906</v>
      </c>
      <c r="C3049" t="s">
        <v>51</v>
      </c>
      <c r="D3049">
        <v>2024</v>
      </c>
      <c r="E3049">
        <v>6</v>
      </c>
      <c r="F3049">
        <v>44</v>
      </c>
      <c r="G3049" t="s">
        <v>28</v>
      </c>
      <c r="H3049" t="s">
        <v>29</v>
      </c>
      <c r="I3049" s="1" t="s">
        <v>30</v>
      </c>
      <c r="J3049">
        <v>4310.2</v>
      </c>
    </row>
    <row r="3050" spans="1:10" hidden="1" x14ac:dyDescent="0.35">
      <c r="A3050" t="str">
        <f t="shared" si="47"/>
        <v>Machacalis20244.10</v>
      </c>
      <c r="B3050">
        <v>3138906</v>
      </c>
      <c r="C3050" t="s">
        <v>51</v>
      </c>
      <c r="D3050">
        <v>2024</v>
      </c>
      <c r="E3050">
        <v>6</v>
      </c>
      <c r="F3050">
        <v>58</v>
      </c>
      <c r="G3050" t="s">
        <v>31</v>
      </c>
      <c r="H3050" t="s">
        <v>29</v>
      </c>
      <c r="I3050" s="1" t="s">
        <v>32</v>
      </c>
      <c r="J3050">
        <v>5447.92</v>
      </c>
    </row>
    <row r="3051" spans="1:10" hidden="1" x14ac:dyDescent="0.35">
      <c r="A3051" t="str">
        <f t="shared" si="47"/>
        <v>Machacalis20244.2</v>
      </c>
      <c r="B3051">
        <v>3138906</v>
      </c>
      <c r="C3051" t="s">
        <v>51</v>
      </c>
      <c r="D3051">
        <v>2024</v>
      </c>
      <c r="E3051">
        <v>6</v>
      </c>
      <c r="F3051">
        <v>45</v>
      </c>
      <c r="G3051" t="s">
        <v>35</v>
      </c>
      <c r="H3051" t="s">
        <v>29</v>
      </c>
      <c r="I3051" s="1" t="s">
        <v>36</v>
      </c>
      <c r="J3051">
        <v>14862.19</v>
      </c>
    </row>
    <row r="3052" spans="1:10" hidden="1" x14ac:dyDescent="0.35">
      <c r="A3052" t="str">
        <f t="shared" si="47"/>
        <v>Machacalis20244.8</v>
      </c>
      <c r="B3052">
        <v>3138906</v>
      </c>
      <c r="C3052" t="s">
        <v>51</v>
      </c>
      <c r="D3052">
        <v>2024</v>
      </c>
      <c r="E3052">
        <v>6</v>
      </c>
      <c r="F3052">
        <v>56</v>
      </c>
      <c r="G3052" t="s">
        <v>37</v>
      </c>
      <c r="H3052" t="s">
        <v>29</v>
      </c>
      <c r="I3052" s="1" t="s">
        <v>38</v>
      </c>
      <c r="J3052">
        <v>15130.59</v>
      </c>
    </row>
    <row r="3053" spans="1:10" hidden="1" x14ac:dyDescent="0.35">
      <c r="A3053" t="str">
        <f t="shared" si="47"/>
        <v>Machacalis20244.9</v>
      </c>
      <c r="B3053">
        <v>3138906</v>
      </c>
      <c r="C3053" t="s">
        <v>51</v>
      </c>
      <c r="D3053">
        <v>2024</v>
      </c>
      <c r="E3053">
        <v>6</v>
      </c>
      <c r="F3053">
        <v>57</v>
      </c>
      <c r="G3053" t="s">
        <v>39</v>
      </c>
      <c r="H3053" t="s">
        <v>29</v>
      </c>
      <c r="I3053" s="1" t="s">
        <v>40</v>
      </c>
      <c r="J3053">
        <v>15130.59</v>
      </c>
    </row>
    <row r="3054" spans="1:10" hidden="1" x14ac:dyDescent="0.35">
      <c r="A3054" t="str">
        <f t="shared" si="47"/>
        <v>Malacacheta20241.1</v>
      </c>
      <c r="B3054">
        <v>3139201</v>
      </c>
      <c r="C3054" t="s">
        <v>52</v>
      </c>
      <c r="D3054">
        <v>2024</v>
      </c>
      <c r="E3054">
        <v>6</v>
      </c>
      <c r="F3054">
        <v>24</v>
      </c>
      <c r="G3054" t="s">
        <v>10</v>
      </c>
      <c r="H3054" t="s">
        <v>11</v>
      </c>
      <c r="I3054" s="1" t="s">
        <v>12</v>
      </c>
      <c r="J3054">
        <v>0.25919999999999999</v>
      </c>
    </row>
    <row r="3055" spans="1:10" hidden="1" x14ac:dyDescent="0.35">
      <c r="A3055" t="str">
        <f t="shared" si="47"/>
        <v>Malacacheta20241.2</v>
      </c>
      <c r="B3055">
        <v>3139201</v>
      </c>
      <c r="C3055" t="s">
        <v>52</v>
      </c>
      <c r="D3055">
        <v>2024</v>
      </c>
      <c r="E3055">
        <v>6</v>
      </c>
      <c r="F3055">
        <v>67</v>
      </c>
      <c r="G3055" t="s">
        <v>13</v>
      </c>
      <c r="H3055" t="s">
        <v>11</v>
      </c>
      <c r="I3055" s="1" t="s">
        <v>14</v>
      </c>
      <c r="J3055">
        <v>0.97850000000000004</v>
      </c>
    </row>
    <row r="3056" spans="1:10" hidden="1" x14ac:dyDescent="0.35">
      <c r="A3056" t="str">
        <f t="shared" si="47"/>
        <v>Malacacheta20241.3</v>
      </c>
      <c r="B3056">
        <v>3139201</v>
      </c>
      <c r="C3056" t="s">
        <v>52</v>
      </c>
      <c r="D3056">
        <v>2024</v>
      </c>
      <c r="E3056">
        <v>6</v>
      </c>
      <c r="F3056">
        <v>68</v>
      </c>
      <c r="G3056" t="s">
        <v>15</v>
      </c>
      <c r="H3056" t="s">
        <v>11</v>
      </c>
      <c r="I3056" s="1" t="s">
        <v>16</v>
      </c>
      <c r="J3056">
        <v>2.0000000000000001E-4</v>
      </c>
    </row>
    <row r="3057" spans="1:10" hidden="1" x14ac:dyDescent="0.35">
      <c r="A3057" t="str">
        <f t="shared" si="47"/>
        <v>Malacacheta20242.1</v>
      </c>
      <c r="B3057">
        <v>3139201</v>
      </c>
      <c r="C3057" t="s">
        <v>52</v>
      </c>
      <c r="D3057">
        <v>2024</v>
      </c>
      <c r="E3057">
        <v>6</v>
      </c>
      <c r="F3057">
        <v>28</v>
      </c>
      <c r="G3057" t="s">
        <v>17</v>
      </c>
      <c r="H3057" t="s">
        <v>18</v>
      </c>
      <c r="I3057" s="1" t="s">
        <v>19</v>
      </c>
      <c r="J3057">
        <v>0.46260000000000001</v>
      </c>
    </row>
    <row r="3058" spans="1:10" hidden="1" x14ac:dyDescent="0.35">
      <c r="A3058" t="str">
        <f t="shared" si="47"/>
        <v>Malacacheta20242.2</v>
      </c>
      <c r="B3058">
        <v>3139201</v>
      </c>
      <c r="C3058" t="s">
        <v>52</v>
      </c>
      <c r="D3058">
        <v>2024</v>
      </c>
      <c r="E3058">
        <v>6</v>
      </c>
      <c r="F3058">
        <v>29</v>
      </c>
      <c r="G3058" t="s">
        <v>20</v>
      </c>
      <c r="H3058" t="s">
        <v>18</v>
      </c>
      <c r="I3058" s="1" t="s">
        <v>21</v>
      </c>
      <c r="J3058">
        <v>0.4743</v>
      </c>
    </row>
    <row r="3059" spans="1:10" hidden="1" x14ac:dyDescent="0.35">
      <c r="A3059" t="str">
        <f t="shared" si="47"/>
        <v>Malacacheta20242.4</v>
      </c>
      <c r="B3059">
        <v>3139201</v>
      </c>
      <c r="C3059" t="s">
        <v>52</v>
      </c>
      <c r="D3059">
        <v>2024</v>
      </c>
      <c r="E3059">
        <v>6</v>
      </c>
      <c r="F3059">
        <v>31</v>
      </c>
      <c r="G3059" t="s">
        <v>22</v>
      </c>
      <c r="H3059" t="s">
        <v>18</v>
      </c>
      <c r="I3059" s="1" t="s">
        <v>23</v>
      </c>
      <c r="J3059">
        <v>0.34239999999999998</v>
      </c>
    </row>
    <row r="3060" spans="1:10" hidden="1" x14ac:dyDescent="0.35">
      <c r="A3060" t="str">
        <f t="shared" si="47"/>
        <v>Malacacheta20242.5</v>
      </c>
      <c r="B3060">
        <v>3139201</v>
      </c>
      <c r="C3060" t="s">
        <v>52</v>
      </c>
      <c r="D3060">
        <v>2024</v>
      </c>
      <c r="E3060">
        <v>6</v>
      </c>
      <c r="F3060">
        <v>32</v>
      </c>
      <c r="G3060" t="s">
        <v>24</v>
      </c>
      <c r="H3060" t="s">
        <v>18</v>
      </c>
      <c r="I3060" s="1" t="s">
        <v>25</v>
      </c>
      <c r="J3060">
        <v>0.44990000000000002</v>
      </c>
    </row>
    <row r="3061" spans="1:10" hidden="1" x14ac:dyDescent="0.35">
      <c r="A3061" t="str">
        <f t="shared" si="47"/>
        <v>Malacacheta20242.8</v>
      </c>
      <c r="B3061">
        <v>3139201</v>
      </c>
      <c r="C3061" t="s">
        <v>52</v>
      </c>
      <c r="D3061">
        <v>2024</v>
      </c>
      <c r="E3061">
        <v>6</v>
      </c>
      <c r="F3061">
        <v>35</v>
      </c>
      <c r="G3061" t="s">
        <v>26</v>
      </c>
      <c r="H3061" t="s">
        <v>18</v>
      </c>
      <c r="I3061" s="1" t="s">
        <v>27</v>
      </c>
      <c r="J3061">
        <v>0.1883</v>
      </c>
    </row>
    <row r="3062" spans="1:10" hidden="1" x14ac:dyDescent="0.35">
      <c r="A3062" t="str">
        <f t="shared" si="47"/>
        <v>Malacacheta20244.1</v>
      </c>
      <c r="B3062">
        <v>3139201</v>
      </c>
      <c r="C3062" t="s">
        <v>52</v>
      </c>
      <c r="D3062">
        <v>2024</v>
      </c>
      <c r="E3062">
        <v>6</v>
      </c>
      <c r="F3062">
        <v>44</v>
      </c>
      <c r="G3062" t="s">
        <v>28</v>
      </c>
      <c r="H3062" t="s">
        <v>29</v>
      </c>
      <c r="I3062" s="1" t="s">
        <v>30</v>
      </c>
      <c r="J3062">
        <v>9298.7199999999993</v>
      </c>
    </row>
    <row r="3063" spans="1:10" hidden="1" x14ac:dyDescent="0.35">
      <c r="A3063" t="str">
        <f t="shared" si="47"/>
        <v>Malacacheta20244.10</v>
      </c>
      <c r="B3063">
        <v>3139201</v>
      </c>
      <c r="C3063" t="s">
        <v>52</v>
      </c>
      <c r="D3063">
        <v>2024</v>
      </c>
      <c r="E3063">
        <v>6</v>
      </c>
      <c r="F3063">
        <v>58</v>
      </c>
      <c r="G3063" t="s">
        <v>31</v>
      </c>
      <c r="H3063" t="s">
        <v>29</v>
      </c>
      <c r="I3063" s="1" t="s">
        <v>32</v>
      </c>
      <c r="J3063">
        <v>6820.11</v>
      </c>
    </row>
    <row r="3064" spans="1:10" hidden="1" x14ac:dyDescent="0.35">
      <c r="A3064" t="str">
        <f t="shared" si="47"/>
        <v>Malacacheta20244.11</v>
      </c>
      <c r="B3064">
        <v>3139201</v>
      </c>
      <c r="C3064" t="s">
        <v>52</v>
      </c>
      <c r="D3064">
        <v>2024</v>
      </c>
      <c r="E3064">
        <v>6</v>
      </c>
      <c r="F3064">
        <v>59</v>
      </c>
      <c r="G3064" t="s">
        <v>33</v>
      </c>
      <c r="H3064" t="s">
        <v>29</v>
      </c>
      <c r="I3064" s="1" t="s">
        <v>34</v>
      </c>
    </row>
    <row r="3065" spans="1:10" hidden="1" x14ac:dyDescent="0.35">
      <c r="A3065" t="str">
        <f t="shared" si="47"/>
        <v>Malacacheta20244.2</v>
      </c>
      <c r="B3065">
        <v>3139201</v>
      </c>
      <c r="C3065" t="s">
        <v>52</v>
      </c>
      <c r="D3065">
        <v>2024</v>
      </c>
      <c r="E3065">
        <v>6</v>
      </c>
      <c r="F3065">
        <v>45</v>
      </c>
      <c r="G3065" t="s">
        <v>35</v>
      </c>
      <c r="H3065" t="s">
        <v>29</v>
      </c>
      <c r="I3065" s="1" t="s">
        <v>36</v>
      </c>
      <c r="J3065">
        <v>16642.919999999998</v>
      </c>
    </row>
    <row r="3066" spans="1:10" hidden="1" x14ac:dyDescent="0.35">
      <c r="A3066" t="str">
        <f t="shared" si="47"/>
        <v>Malacacheta20244.8</v>
      </c>
      <c r="B3066">
        <v>3139201</v>
      </c>
      <c r="C3066" t="s">
        <v>52</v>
      </c>
      <c r="D3066">
        <v>2024</v>
      </c>
      <c r="E3066">
        <v>6</v>
      </c>
      <c r="F3066">
        <v>56</v>
      </c>
      <c r="G3066" t="s">
        <v>37</v>
      </c>
      <c r="H3066" t="s">
        <v>29</v>
      </c>
      <c r="I3066" s="1" t="s">
        <v>38</v>
      </c>
      <c r="J3066">
        <v>15661.43</v>
      </c>
    </row>
    <row r="3067" spans="1:10" hidden="1" x14ac:dyDescent="0.35">
      <c r="A3067" t="str">
        <f t="shared" si="47"/>
        <v>Malacacheta20244.9</v>
      </c>
      <c r="B3067">
        <v>3139201</v>
      </c>
      <c r="C3067" t="s">
        <v>52</v>
      </c>
      <c r="D3067">
        <v>2024</v>
      </c>
      <c r="E3067">
        <v>6</v>
      </c>
      <c r="F3067">
        <v>57</v>
      </c>
      <c r="G3067" t="s">
        <v>39</v>
      </c>
      <c r="H3067" t="s">
        <v>29</v>
      </c>
      <c r="I3067" s="1" t="s">
        <v>40</v>
      </c>
      <c r="J3067">
        <v>15661.43</v>
      </c>
    </row>
    <row r="3068" spans="1:10" hidden="1" x14ac:dyDescent="0.35">
      <c r="A3068" t="str">
        <f t="shared" si="47"/>
        <v>Nanuque20241.1</v>
      </c>
      <c r="B3068">
        <v>3144300</v>
      </c>
      <c r="C3068" t="s">
        <v>53</v>
      </c>
      <c r="D3068">
        <v>2024</v>
      </c>
      <c r="E3068">
        <v>6</v>
      </c>
      <c r="F3068">
        <v>24</v>
      </c>
      <c r="G3068" t="s">
        <v>10</v>
      </c>
      <c r="H3068" t="s">
        <v>11</v>
      </c>
      <c r="I3068" s="1" t="s">
        <v>12</v>
      </c>
      <c r="J3068">
        <v>0.25059999999999999</v>
      </c>
    </row>
    <row r="3069" spans="1:10" hidden="1" x14ac:dyDescent="0.35">
      <c r="A3069" t="str">
        <f t="shared" si="47"/>
        <v>Nanuque20241.2</v>
      </c>
      <c r="B3069">
        <v>3144300</v>
      </c>
      <c r="C3069" t="s">
        <v>53</v>
      </c>
      <c r="D3069">
        <v>2024</v>
      </c>
      <c r="E3069">
        <v>6</v>
      </c>
      <c r="F3069">
        <v>67</v>
      </c>
      <c r="G3069" t="s">
        <v>13</v>
      </c>
      <c r="H3069" t="s">
        <v>11</v>
      </c>
      <c r="I3069" s="1" t="s">
        <v>14</v>
      </c>
      <c r="J3069">
        <v>0.83860000000000001</v>
      </c>
    </row>
    <row r="3070" spans="1:10" hidden="1" x14ac:dyDescent="0.35">
      <c r="A3070" t="str">
        <f t="shared" si="47"/>
        <v>Nanuque20241.3</v>
      </c>
      <c r="B3070">
        <v>3144300</v>
      </c>
      <c r="C3070" t="s">
        <v>53</v>
      </c>
      <c r="D3070">
        <v>2024</v>
      </c>
      <c r="E3070">
        <v>6</v>
      </c>
      <c r="F3070">
        <v>68</v>
      </c>
      <c r="G3070" t="s">
        <v>15</v>
      </c>
      <c r="H3070" t="s">
        <v>11</v>
      </c>
      <c r="I3070" s="1" t="s">
        <v>16</v>
      </c>
      <c r="J3070">
        <v>0.1229</v>
      </c>
    </row>
    <row r="3071" spans="1:10" hidden="1" x14ac:dyDescent="0.35">
      <c r="A3071" t="str">
        <f t="shared" si="47"/>
        <v>Nanuque20242.1</v>
      </c>
      <c r="B3071">
        <v>3144300</v>
      </c>
      <c r="C3071" t="s">
        <v>53</v>
      </c>
      <c r="D3071">
        <v>2024</v>
      </c>
      <c r="E3071">
        <v>6</v>
      </c>
      <c r="F3071">
        <v>28</v>
      </c>
      <c r="G3071" t="s">
        <v>17</v>
      </c>
      <c r="H3071" t="s">
        <v>18</v>
      </c>
      <c r="I3071" s="1" t="s">
        <v>19</v>
      </c>
      <c r="J3071">
        <v>0.19839999999999999</v>
      </c>
    </row>
    <row r="3072" spans="1:10" hidden="1" x14ac:dyDescent="0.35">
      <c r="A3072" t="str">
        <f t="shared" si="47"/>
        <v>Nanuque20242.2</v>
      </c>
      <c r="B3072">
        <v>3144300</v>
      </c>
      <c r="C3072" t="s">
        <v>53</v>
      </c>
      <c r="D3072">
        <v>2024</v>
      </c>
      <c r="E3072">
        <v>6</v>
      </c>
      <c r="F3072">
        <v>29</v>
      </c>
      <c r="G3072" t="s">
        <v>20</v>
      </c>
      <c r="H3072" t="s">
        <v>18</v>
      </c>
      <c r="I3072" s="1" t="s">
        <v>21</v>
      </c>
      <c r="J3072">
        <v>0.75149999999999995</v>
      </c>
    </row>
    <row r="3073" spans="1:10" hidden="1" x14ac:dyDescent="0.35">
      <c r="A3073" t="str">
        <f t="shared" si="47"/>
        <v>Nanuque20242.4</v>
      </c>
      <c r="B3073">
        <v>3144300</v>
      </c>
      <c r="C3073" t="s">
        <v>53</v>
      </c>
      <c r="D3073">
        <v>2024</v>
      </c>
      <c r="E3073">
        <v>6</v>
      </c>
      <c r="F3073">
        <v>31</v>
      </c>
      <c r="G3073" t="s">
        <v>22</v>
      </c>
      <c r="H3073" t="s">
        <v>18</v>
      </c>
      <c r="I3073" s="1" t="s">
        <v>23</v>
      </c>
      <c r="J3073">
        <v>0.2258</v>
      </c>
    </row>
    <row r="3074" spans="1:10" hidden="1" x14ac:dyDescent="0.35">
      <c r="A3074" t="str">
        <f t="shared" si="47"/>
        <v>Nanuque20242.5</v>
      </c>
      <c r="B3074">
        <v>3144300</v>
      </c>
      <c r="C3074" t="s">
        <v>53</v>
      </c>
      <c r="D3074">
        <v>2024</v>
      </c>
      <c r="E3074">
        <v>6</v>
      </c>
      <c r="F3074">
        <v>32</v>
      </c>
      <c r="G3074" t="s">
        <v>24</v>
      </c>
      <c r="H3074" t="s">
        <v>18</v>
      </c>
      <c r="I3074" s="1" t="s">
        <v>25</v>
      </c>
      <c r="J3074">
        <v>0.61309999999999998</v>
      </c>
    </row>
    <row r="3075" spans="1:10" hidden="1" x14ac:dyDescent="0.35">
      <c r="A3075" t="str">
        <f t="shared" si="47"/>
        <v>Nanuque20242.8</v>
      </c>
      <c r="B3075">
        <v>3144300</v>
      </c>
      <c r="C3075" t="s">
        <v>53</v>
      </c>
      <c r="D3075">
        <v>2024</v>
      </c>
      <c r="E3075">
        <v>6</v>
      </c>
      <c r="F3075">
        <v>35</v>
      </c>
      <c r="G3075" t="s">
        <v>26</v>
      </c>
      <c r="H3075" t="s">
        <v>18</v>
      </c>
      <c r="I3075" s="1" t="s">
        <v>27</v>
      </c>
      <c r="J3075">
        <v>0.1623</v>
      </c>
    </row>
    <row r="3076" spans="1:10" hidden="1" x14ac:dyDescent="0.35">
      <c r="A3076" t="str">
        <f t="shared" ref="A3076:A3139" si="48">C3076&amp;D3076&amp;G3076</f>
        <v>Nanuque20244.1</v>
      </c>
      <c r="B3076">
        <v>3144300</v>
      </c>
      <c r="C3076" t="s">
        <v>53</v>
      </c>
      <c r="D3076">
        <v>2024</v>
      </c>
      <c r="E3076">
        <v>6</v>
      </c>
      <c r="F3076">
        <v>44</v>
      </c>
      <c r="G3076" t="s">
        <v>28</v>
      </c>
      <c r="H3076" t="s">
        <v>29</v>
      </c>
      <c r="I3076" s="1" t="s">
        <v>30</v>
      </c>
      <c r="J3076">
        <v>6901.33</v>
      </c>
    </row>
    <row r="3077" spans="1:10" hidden="1" x14ac:dyDescent="0.35">
      <c r="A3077" t="str">
        <f t="shared" si="48"/>
        <v>Nanuque20244.10</v>
      </c>
      <c r="B3077">
        <v>3144300</v>
      </c>
      <c r="C3077" t="s">
        <v>53</v>
      </c>
      <c r="D3077">
        <v>2024</v>
      </c>
      <c r="E3077">
        <v>6</v>
      </c>
      <c r="F3077">
        <v>58</v>
      </c>
      <c r="G3077" t="s">
        <v>31</v>
      </c>
      <c r="H3077" t="s">
        <v>29</v>
      </c>
      <c r="I3077" s="1" t="s">
        <v>32</v>
      </c>
      <c r="J3077">
        <v>6268.14</v>
      </c>
    </row>
    <row r="3078" spans="1:10" hidden="1" x14ac:dyDescent="0.35">
      <c r="A3078" t="str">
        <f t="shared" si="48"/>
        <v>Nanuque20244.11</v>
      </c>
      <c r="B3078">
        <v>3144300</v>
      </c>
      <c r="C3078" t="s">
        <v>53</v>
      </c>
      <c r="D3078">
        <v>2024</v>
      </c>
      <c r="E3078">
        <v>6</v>
      </c>
      <c r="F3078">
        <v>59</v>
      </c>
      <c r="G3078" t="s">
        <v>33</v>
      </c>
      <c r="H3078" t="s">
        <v>29</v>
      </c>
      <c r="I3078" s="1" t="s">
        <v>34</v>
      </c>
      <c r="J3078">
        <v>803.64</v>
      </c>
    </row>
    <row r="3079" spans="1:10" hidden="1" x14ac:dyDescent="0.35">
      <c r="A3079" t="str">
        <f t="shared" si="48"/>
        <v>Nanuque20244.2</v>
      </c>
      <c r="B3079">
        <v>3144300</v>
      </c>
      <c r="C3079" t="s">
        <v>53</v>
      </c>
      <c r="D3079">
        <v>2024</v>
      </c>
      <c r="E3079">
        <v>6</v>
      </c>
      <c r="F3079">
        <v>45</v>
      </c>
      <c r="G3079" t="s">
        <v>35</v>
      </c>
      <c r="H3079" t="s">
        <v>29</v>
      </c>
      <c r="I3079" s="1" t="s">
        <v>36</v>
      </c>
      <c r="J3079">
        <v>18918.21</v>
      </c>
    </row>
    <row r="3080" spans="1:10" hidden="1" x14ac:dyDescent="0.35">
      <c r="A3080" t="str">
        <f t="shared" si="48"/>
        <v>Nanuque20244.8</v>
      </c>
      <c r="B3080">
        <v>3144300</v>
      </c>
      <c r="C3080" t="s">
        <v>53</v>
      </c>
      <c r="D3080">
        <v>2024</v>
      </c>
      <c r="E3080">
        <v>6</v>
      </c>
      <c r="F3080">
        <v>56</v>
      </c>
      <c r="G3080" t="s">
        <v>37</v>
      </c>
      <c r="H3080" t="s">
        <v>29</v>
      </c>
      <c r="I3080" s="1" t="s">
        <v>38</v>
      </c>
      <c r="J3080">
        <v>14682.78</v>
      </c>
    </row>
    <row r="3081" spans="1:10" hidden="1" x14ac:dyDescent="0.35">
      <c r="A3081" t="str">
        <f t="shared" si="48"/>
        <v>Nanuque20244.9</v>
      </c>
      <c r="B3081">
        <v>3144300</v>
      </c>
      <c r="C3081" t="s">
        <v>53</v>
      </c>
      <c r="D3081">
        <v>2024</v>
      </c>
      <c r="E3081">
        <v>6</v>
      </c>
      <c r="F3081">
        <v>57</v>
      </c>
      <c r="G3081" t="s">
        <v>39</v>
      </c>
      <c r="H3081" t="s">
        <v>29</v>
      </c>
      <c r="I3081" s="1" t="s">
        <v>40</v>
      </c>
      <c r="J3081">
        <v>14682.78</v>
      </c>
    </row>
    <row r="3082" spans="1:10" hidden="1" x14ac:dyDescent="0.35">
      <c r="A3082" t="str">
        <f t="shared" si="48"/>
        <v>Novo Oriente de Minas20241.1</v>
      </c>
      <c r="B3082">
        <v>3145356</v>
      </c>
      <c r="C3082" t="s">
        <v>54</v>
      </c>
      <c r="D3082">
        <v>2024</v>
      </c>
      <c r="E3082">
        <v>6</v>
      </c>
      <c r="F3082">
        <v>24</v>
      </c>
      <c r="G3082" t="s">
        <v>10</v>
      </c>
      <c r="H3082" t="s">
        <v>11</v>
      </c>
      <c r="I3082" s="1" t="s">
        <v>12</v>
      </c>
      <c r="J3082">
        <v>0.27129999999999999</v>
      </c>
    </row>
    <row r="3083" spans="1:10" hidden="1" x14ac:dyDescent="0.35">
      <c r="A3083" t="str">
        <f t="shared" si="48"/>
        <v>Novo Oriente de Minas20241.2</v>
      </c>
      <c r="B3083">
        <v>3145356</v>
      </c>
      <c r="C3083" t="s">
        <v>54</v>
      </c>
      <c r="D3083">
        <v>2024</v>
      </c>
      <c r="E3083">
        <v>6</v>
      </c>
      <c r="F3083">
        <v>67</v>
      </c>
      <c r="G3083" t="s">
        <v>13</v>
      </c>
      <c r="H3083" t="s">
        <v>11</v>
      </c>
      <c r="I3083" s="1" t="s">
        <v>14</v>
      </c>
      <c r="J3083">
        <v>0.96760000000000002</v>
      </c>
    </row>
    <row r="3084" spans="1:10" hidden="1" x14ac:dyDescent="0.35">
      <c r="A3084" t="str">
        <f t="shared" si="48"/>
        <v>Novo Oriente de Minas20241.3</v>
      </c>
      <c r="B3084">
        <v>3145356</v>
      </c>
      <c r="C3084" t="s">
        <v>54</v>
      </c>
      <c r="D3084">
        <v>2024</v>
      </c>
      <c r="E3084">
        <v>6</v>
      </c>
      <c r="F3084">
        <v>68</v>
      </c>
      <c r="G3084" t="s">
        <v>15</v>
      </c>
      <c r="H3084" t="s">
        <v>11</v>
      </c>
      <c r="I3084" s="1" t="s">
        <v>16</v>
      </c>
      <c r="J3084">
        <v>4.0000000000000002E-4</v>
      </c>
    </row>
    <row r="3085" spans="1:10" hidden="1" x14ac:dyDescent="0.35">
      <c r="A3085" t="str">
        <f t="shared" si="48"/>
        <v>Novo Oriente de Minas20242.1</v>
      </c>
      <c r="B3085">
        <v>3145356</v>
      </c>
      <c r="C3085" t="s">
        <v>54</v>
      </c>
      <c r="D3085">
        <v>2024</v>
      </c>
      <c r="E3085">
        <v>6</v>
      </c>
      <c r="F3085">
        <v>28</v>
      </c>
      <c r="G3085" t="s">
        <v>17</v>
      </c>
      <c r="H3085" t="s">
        <v>18</v>
      </c>
      <c r="I3085" s="1" t="s">
        <v>19</v>
      </c>
      <c r="J3085">
        <v>0.1077</v>
      </c>
    </row>
    <row r="3086" spans="1:10" hidden="1" x14ac:dyDescent="0.35">
      <c r="A3086" t="str">
        <f t="shared" si="48"/>
        <v>Novo Oriente de Minas20242.2</v>
      </c>
      <c r="B3086">
        <v>3145356</v>
      </c>
      <c r="C3086" t="s">
        <v>54</v>
      </c>
      <c r="D3086">
        <v>2024</v>
      </c>
      <c r="E3086">
        <v>6</v>
      </c>
      <c r="F3086">
        <v>29</v>
      </c>
      <c r="G3086" t="s">
        <v>20</v>
      </c>
      <c r="H3086" t="s">
        <v>18</v>
      </c>
      <c r="I3086" s="1" t="s">
        <v>21</v>
      </c>
      <c r="J3086">
        <v>0.86040000000000005</v>
      </c>
    </row>
    <row r="3087" spans="1:10" hidden="1" x14ac:dyDescent="0.35">
      <c r="A3087" t="str">
        <f t="shared" si="48"/>
        <v>Novo Oriente de Minas20242.4</v>
      </c>
      <c r="B3087">
        <v>3145356</v>
      </c>
      <c r="C3087" t="s">
        <v>54</v>
      </c>
      <c r="D3087">
        <v>2024</v>
      </c>
      <c r="E3087">
        <v>6</v>
      </c>
      <c r="F3087">
        <v>31</v>
      </c>
      <c r="G3087" t="s">
        <v>22</v>
      </c>
      <c r="H3087" t="s">
        <v>18</v>
      </c>
      <c r="I3087" s="1" t="s">
        <v>23</v>
      </c>
      <c r="J3087">
        <v>7.0999999999999994E-2</v>
      </c>
    </row>
    <row r="3088" spans="1:10" hidden="1" x14ac:dyDescent="0.35">
      <c r="A3088" t="str">
        <f t="shared" si="48"/>
        <v>Novo Oriente de Minas20242.5</v>
      </c>
      <c r="B3088">
        <v>3145356</v>
      </c>
      <c r="C3088" t="s">
        <v>54</v>
      </c>
      <c r="D3088">
        <v>2024</v>
      </c>
      <c r="E3088">
        <v>6</v>
      </c>
      <c r="F3088">
        <v>32</v>
      </c>
      <c r="G3088" t="s">
        <v>24</v>
      </c>
      <c r="H3088" t="s">
        <v>18</v>
      </c>
      <c r="I3088" s="1" t="s">
        <v>25</v>
      </c>
      <c r="J3088">
        <v>0.62290000000000001</v>
      </c>
    </row>
    <row r="3089" spans="1:10" hidden="1" x14ac:dyDescent="0.35">
      <c r="A3089" t="str">
        <f t="shared" si="48"/>
        <v>Novo Oriente de Minas20242.8</v>
      </c>
      <c r="B3089">
        <v>3145356</v>
      </c>
      <c r="C3089" t="s">
        <v>54</v>
      </c>
      <c r="D3089">
        <v>2024</v>
      </c>
      <c r="E3089">
        <v>6</v>
      </c>
      <c r="F3089">
        <v>35</v>
      </c>
      <c r="G3089" t="s">
        <v>26</v>
      </c>
      <c r="H3089" t="s">
        <v>18</v>
      </c>
      <c r="I3089" s="1" t="s">
        <v>27</v>
      </c>
      <c r="J3089">
        <v>0.30520000000000003</v>
      </c>
    </row>
    <row r="3090" spans="1:10" hidden="1" x14ac:dyDescent="0.35">
      <c r="A3090" t="str">
        <f t="shared" si="48"/>
        <v>Novo Oriente de Minas20244.1</v>
      </c>
      <c r="B3090">
        <v>3145356</v>
      </c>
      <c r="C3090" t="s">
        <v>54</v>
      </c>
      <c r="D3090">
        <v>2024</v>
      </c>
      <c r="E3090">
        <v>6</v>
      </c>
      <c r="F3090">
        <v>44</v>
      </c>
      <c r="G3090" t="s">
        <v>28</v>
      </c>
      <c r="H3090" t="s">
        <v>29</v>
      </c>
      <c r="I3090" s="1" t="s">
        <v>30</v>
      </c>
      <c r="J3090">
        <v>3220.03</v>
      </c>
    </row>
    <row r="3091" spans="1:10" hidden="1" x14ac:dyDescent="0.35">
      <c r="A3091" t="str">
        <f t="shared" si="48"/>
        <v>Novo Oriente de Minas20244.10</v>
      </c>
      <c r="B3091">
        <v>3145356</v>
      </c>
      <c r="C3091" t="s">
        <v>54</v>
      </c>
      <c r="D3091">
        <v>2024</v>
      </c>
      <c r="E3091">
        <v>6</v>
      </c>
      <c r="F3091">
        <v>58</v>
      </c>
      <c r="G3091" t="s">
        <v>31</v>
      </c>
      <c r="H3091" t="s">
        <v>29</v>
      </c>
      <c r="I3091" s="1" t="s">
        <v>32</v>
      </c>
      <c r="J3091">
        <v>8990.27</v>
      </c>
    </row>
    <row r="3092" spans="1:10" hidden="1" x14ac:dyDescent="0.35">
      <c r="A3092" t="str">
        <f t="shared" si="48"/>
        <v>Novo Oriente de Minas20244.11</v>
      </c>
      <c r="B3092">
        <v>3145356</v>
      </c>
      <c r="C3092" t="s">
        <v>54</v>
      </c>
      <c r="D3092">
        <v>2024</v>
      </c>
      <c r="E3092">
        <v>6</v>
      </c>
      <c r="F3092">
        <v>59</v>
      </c>
      <c r="G3092" t="s">
        <v>33</v>
      </c>
      <c r="H3092" t="s">
        <v>29</v>
      </c>
      <c r="I3092" s="1" t="s">
        <v>34</v>
      </c>
      <c r="J3092">
        <v>3.82</v>
      </c>
    </row>
    <row r="3093" spans="1:10" hidden="1" x14ac:dyDescent="0.35">
      <c r="A3093" t="str">
        <f t="shared" si="48"/>
        <v>Novo Oriente de Minas20244.2</v>
      </c>
      <c r="B3093">
        <v>3145356</v>
      </c>
      <c r="C3093" t="s">
        <v>54</v>
      </c>
      <c r="D3093">
        <v>2024</v>
      </c>
      <c r="E3093">
        <v>6</v>
      </c>
      <c r="F3093">
        <v>45</v>
      </c>
      <c r="G3093" t="s">
        <v>35</v>
      </c>
      <c r="H3093" t="s">
        <v>29</v>
      </c>
      <c r="I3093" s="1" t="s">
        <v>36</v>
      </c>
      <c r="J3093">
        <v>19144.5</v>
      </c>
    </row>
    <row r="3094" spans="1:10" hidden="1" x14ac:dyDescent="0.35">
      <c r="A3094" t="str">
        <f t="shared" si="48"/>
        <v>Novo Oriente de Minas20244.8</v>
      </c>
      <c r="B3094">
        <v>3145356</v>
      </c>
      <c r="C3094" t="s">
        <v>54</v>
      </c>
      <c r="D3094">
        <v>2024</v>
      </c>
      <c r="E3094">
        <v>6</v>
      </c>
      <c r="F3094">
        <v>56</v>
      </c>
      <c r="G3094" t="s">
        <v>37</v>
      </c>
      <c r="H3094" t="s">
        <v>29</v>
      </c>
      <c r="I3094" s="1" t="s">
        <v>38</v>
      </c>
      <c r="J3094">
        <v>17796.48</v>
      </c>
    </row>
    <row r="3095" spans="1:10" hidden="1" x14ac:dyDescent="0.35">
      <c r="A3095" t="str">
        <f t="shared" si="48"/>
        <v>Novo Oriente de Minas20244.9</v>
      </c>
      <c r="B3095">
        <v>3145356</v>
      </c>
      <c r="C3095" t="s">
        <v>54</v>
      </c>
      <c r="D3095">
        <v>2024</v>
      </c>
      <c r="E3095">
        <v>6</v>
      </c>
      <c r="F3095">
        <v>57</v>
      </c>
      <c r="G3095" t="s">
        <v>39</v>
      </c>
      <c r="H3095" t="s">
        <v>29</v>
      </c>
      <c r="I3095" s="1" t="s">
        <v>40</v>
      </c>
      <c r="J3095">
        <v>17796.48</v>
      </c>
    </row>
    <row r="3096" spans="1:10" hidden="1" x14ac:dyDescent="0.35">
      <c r="A3096" t="str">
        <f t="shared" si="48"/>
        <v>Ouro Verde de Minas20241.1</v>
      </c>
      <c r="B3096">
        <v>3146206</v>
      </c>
      <c r="C3096" t="s">
        <v>55</v>
      </c>
      <c r="D3096">
        <v>2024</v>
      </c>
      <c r="E3096">
        <v>6</v>
      </c>
      <c r="F3096">
        <v>24</v>
      </c>
      <c r="G3096" t="s">
        <v>10</v>
      </c>
      <c r="H3096" t="s">
        <v>11</v>
      </c>
      <c r="I3096" s="1" t="s">
        <v>12</v>
      </c>
      <c r="J3096">
        <v>0.25669999999999998</v>
      </c>
    </row>
    <row r="3097" spans="1:10" hidden="1" x14ac:dyDescent="0.35">
      <c r="A3097" t="str">
        <f t="shared" si="48"/>
        <v>Ouro Verde de Minas20241.2</v>
      </c>
      <c r="B3097">
        <v>3146206</v>
      </c>
      <c r="C3097" t="s">
        <v>55</v>
      </c>
      <c r="D3097">
        <v>2024</v>
      </c>
      <c r="E3097">
        <v>6</v>
      </c>
      <c r="F3097">
        <v>67</v>
      </c>
      <c r="G3097" t="s">
        <v>13</v>
      </c>
      <c r="H3097" t="s">
        <v>11</v>
      </c>
      <c r="I3097" s="1" t="s">
        <v>14</v>
      </c>
      <c r="J3097">
        <v>0.70379999999999998</v>
      </c>
    </row>
    <row r="3098" spans="1:10" hidden="1" x14ac:dyDescent="0.35">
      <c r="A3098" t="str">
        <f t="shared" si="48"/>
        <v>Ouro Verde de Minas20241.3</v>
      </c>
      <c r="B3098">
        <v>3146206</v>
      </c>
      <c r="C3098" t="s">
        <v>55</v>
      </c>
      <c r="D3098">
        <v>2024</v>
      </c>
      <c r="E3098">
        <v>6</v>
      </c>
      <c r="F3098">
        <v>68</v>
      </c>
      <c r="G3098" t="s">
        <v>15</v>
      </c>
      <c r="H3098" t="s">
        <v>11</v>
      </c>
      <c r="I3098" s="1" t="s">
        <v>16</v>
      </c>
      <c r="J3098">
        <v>0.2883</v>
      </c>
    </row>
    <row r="3099" spans="1:10" hidden="1" x14ac:dyDescent="0.35">
      <c r="A3099" t="str">
        <f t="shared" si="48"/>
        <v>Ouro Verde de Minas20242.1</v>
      </c>
      <c r="B3099">
        <v>3146206</v>
      </c>
      <c r="C3099" t="s">
        <v>55</v>
      </c>
      <c r="D3099">
        <v>2024</v>
      </c>
      <c r="E3099">
        <v>6</v>
      </c>
      <c r="F3099">
        <v>28</v>
      </c>
      <c r="G3099" t="s">
        <v>17</v>
      </c>
      <c r="H3099" t="s">
        <v>18</v>
      </c>
      <c r="I3099" s="1" t="s">
        <v>19</v>
      </c>
      <c r="J3099">
        <v>0.25209999999999999</v>
      </c>
    </row>
    <row r="3100" spans="1:10" hidden="1" x14ac:dyDescent="0.35">
      <c r="A3100" t="str">
        <f t="shared" si="48"/>
        <v>Ouro Verde de Minas20242.2</v>
      </c>
      <c r="B3100">
        <v>3146206</v>
      </c>
      <c r="C3100" t="s">
        <v>55</v>
      </c>
      <c r="D3100">
        <v>2024</v>
      </c>
      <c r="E3100">
        <v>6</v>
      </c>
      <c r="F3100">
        <v>29</v>
      </c>
      <c r="G3100" t="s">
        <v>20</v>
      </c>
      <c r="H3100" t="s">
        <v>18</v>
      </c>
      <c r="I3100" s="1" t="s">
        <v>21</v>
      </c>
      <c r="J3100">
        <v>0.73570000000000002</v>
      </c>
    </row>
    <row r="3101" spans="1:10" hidden="1" x14ac:dyDescent="0.35">
      <c r="A3101" t="str">
        <f t="shared" si="48"/>
        <v>Ouro Verde de Minas20242.4</v>
      </c>
      <c r="B3101">
        <v>3146206</v>
      </c>
      <c r="C3101" t="s">
        <v>55</v>
      </c>
      <c r="D3101">
        <v>2024</v>
      </c>
      <c r="E3101">
        <v>6</v>
      </c>
      <c r="F3101">
        <v>31</v>
      </c>
      <c r="G3101" t="s">
        <v>22</v>
      </c>
      <c r="H3101" t="s">
        <v>18</v>
      </c>
      <c r="I3101" s="1" t="s">
        <v>23</v>
      </c>
      <c r="J3101">
        <v>0.1482</v>
      </c>
    </row>
    <row r="3102" spans="1:10" hidden="1" x14ac:dyDescent="0.35">
      <c r="A3102" t="str">
        <f t="shared" si="48"/>
        <v>Ouro Verde de Minas20242.5</v>
      </c>
      <c r="B3102">
        <v>3146206</v>
      </c>
      <c r="C3102" t="s">
        <v>55</v>
      </c>
      <c r="D3102">
        <v>2024</v>
      </c>
      <c r="E3102">
        <v>6</v>
      </c>
      <c r="F3102">
        <v>32</v>
      </c>
      <c r="G3102" t="s">
        <v>24</v>
      </c>
      <c r="H3102" t="s">
        <v>18</v>
      </c>
      <c r="I3102" s="1" t="s">
        <v>25</v>
      </c>
      <c r="J3102">
        <v>0.54890000000000005</v>
      </c>
    </row>
    <row r="3103" spans="1:10" hidden="1" x14ac:dyDescent="0.35">
      <c r="A3103" t="str">
        <f t="shared" si="48"/>
        <v>Ouro Verde de Minas20242.8</v>
      </c>
      <c r="B3103">
        <v>3146206</v>
      </c>
      <c r="C3103" t="s">
        <v>55</v>
      </c>
      <c r="D3103">
        <v>2024</v>
      </c>
      <c r="E3103">
        <v>6</v>
      </c>
      <c r="F3103">
        <v>35</v>
      </c>
      <c r="G3103" t="s">
        <v>26</v>
      </c>
      <c r="H3103" t="s">
        <v>18</v>
      </c>
      <c r="I3103" s="1" t="s">
        <v>27</v>
      </c>
      <c r="J3103">
        <v>0.30530000000000002</v>
      </c>
    </row>
    <row r="3104" spans="1:10" hidden="1" x14ac:dyDescent="0.35">
      <c r="A3104" t="str">
        <f t="shared" si="48"/>
        <v>Ouro Verde de Minas20244.1</v>
      </c>
      <c r="B3104">
        <v>3146206</v>
      </c>
      <c r="C3104" t="s">
        <v>55</v>
      </c>
      <c r="D3104">
        <v>2024</v>
      </c>
      <c r="E3104">
        <v>6</v>
      </c>
      <c r="F3104">
        <v>44</v>
      </c>
      <c r="G3104" t="s">
        <v>28</v>
      </c>
      <c r="H3104" t="s">
        <v>29</v>
      </c>
      <c r="I3104" s="1" t="s">
        <v>30</v>
      </c>
      <c r="J3104">
        <v>6292.99</v>
      </c>
    </row>
    <row r="3105" spans="1:10" hidden="1" x14ac:dyDescent="0.35">
      <c r="A3105" t="str">
        <f t="shared" si="48"/>
        <v>Ouro Verde de Minas20244.10</v>
      </c>
      <c r="B3105">
        <v>3146206</v>
      </c>
      <c r="C3105" t="s">
        <v>55</v>
      </c>
      <c r="D3105">
        <v>2024</v>
      </c>
      <c r="E3105">
        <v>6</v>
      </c>
      <c r="F3105">
        <v>58</v>
      </c>
      <c r="G3105" t="s">
        <v>31</v>
      </c>
      <c r="H3105" t="s">
        <v>29</v>
      </c>
      <c r="I3105" s="1" t="s">
        <v>32</v>
      </c>
      <c r="J3105">
        <v>6847.65</v>
      </c>
    </row>
    <row r="3106" spans="1:10" hidden="1" x14ac:dyDescent="0.35">
      <c r="A3106" t="str">
        <f t="shared" si="48"/>
        <v>Ouro Verde de Minas20244.11</v>
      </c>
      <c r="B3106">
        <v>3146206</v>
      </c>
      <c r="C3106" t="s">
        <v>55</v>
      </c>
      <c r="D3106">
        <v>2024</v>
      </c>
      <c r="E3106">
        <v>6</v>
      </c>
      <c r="F3106">
        <v>59</v>
      </c>
      <c r="G3106" t="s">
        <v>33</v>
      </c>
      <c r="H3106" t="s">
        <v>29</v>
      </c>
      <c r="I3106" s="1" t="s">
        <v>34</v>
      </c>
      <c r="J3106">
        <v>1164.18</v>
      </c>
    </row>
    <row r="3107" spans="1:10" hidden="1" x14ac:dyDescent="0.35">
      <c r="A3107" t="str">
        <f t="shared" si="48"/>
        <v>Ouro Verde de Minas20244.2</v>
      </c>
      <c r="B3107">
        <v>3146206</v>
      </c>
      <c r="C3107" t="s">
        <v>55</v>
      </c>
      <c r="D3107">
        <v>2024</v>
      </c>
      <c r="E3107">
        <v>6</v>
      </c>
      <c r="F3107">
        <v>45</v>
      </c>
      <c r="G3107" t="s">
        <v>35</v>
      </c>
      <c r="H3107" t="s">
        <v>29</v>
      </c>
      <c r="I3107" s="1" t="s">
        <v>36</v>
      </c>
      <c r="J3107">
        <v>17195.68</v>
      </c>
    </row>
    <row r="3108" spans="1:10" hidden="1" x14ac:dyDescent="0.35">
      <c r="A3108" t="str">
        <f t="shared" si="48"/>
        <v>Ouro Verde de Minas20244.8</v>
      </c>
      <c r="B3108">
        <v>3146206</v>
      </c>
      <c r="C3108" t="s">
        <v>55</v>
      </c>
      <c r="D3108">
        <v>2024</v>
      </c>
      <c r="E3108">
        <v>6</v>
      </c>
      <c r="F3108">
        <v>56</v>
      </c>
      <c r="G3108" t="s">
        <v>37</v>
      </c>
      <c r="H3108" t="s">
        <v>29</v>
      </c>
      <c r="I3108" s="1" t="s">
        <v>38</v>
      </c>
      <c r="J3108">
        <v>18025.82</v>
      </c>
    </row>
    <row r="3109" spans="1:10" hidden="1" x14ac:dyDescent="0.35">
      <c r="A3109" t="str">
        <f t="shared" si="48"/>
        <v>Ouro Verde de Minas20244.9</v>
      </c>
      <c r="B3109">
        <v>3146206</v>
      </c>
      <c r="C3109" t="s">
        <v>55</v>
      </c>
      <c r="D3109">
        <v>2024</v>
      </c>
      <c r="E3109">
        <v>6</v>
      </c>
      <c r="F3109">
        <v>57</v>
      </c>
      <c r="G3109" t="s">
        <v>39</v>
      </c>
      <c r="H3109" t="s">
        <v>29</v>
      </c>
      <c r="I3109" s="1" t="s">
        <v>40</v>
      </c>
      <c r="J3109">
        <v>18025.82</v>
      </c>
    </row>
    <row r="3110" spans="1:10" hidden="1" x14ac:dyDescent="0.35">
      <c r="A3110" t="str">
        <f t="shared" si="48"/>
        <v>Pavão20241.1</v>
      </c>
      <c r="B3110">
        <v>3148509</v>
      </c>
      <c r="C3110" t="s">
        <v>56</v>
      </c>
      <c r="D3110">
        <v>2024</v>
      </c>
      <c r="E3110">
        <v>6</v>
      </c>
      <c r="F3110">
        <v>24</v>
      </c>
      <c r="G3110" t="s">
        <v>10</v>
      </c>
      <c r="H3110" t="s">
        <v>11</v>
      </c>
      <c r="I3110" s="1" t="s">
        <v>12</v>
      </c>
      <c r="J3110">
        <v>0.25040000000000001</v>
      </c>
    </row>
    <row r="3111" spans="1:10" hidden="1" x14ac:dyDescent="0.35">
      <c r="A3111" t="str">
        <f t="shared" si="48"/>
        <v>Pavão20241.2</v>
      </c>
      <c r="B3111">
        <v>3148509</v>
      </c>
      <c r="C3111" t="s">
        <v>56</v>
      </c>
      <c r="D3111">
        <v>2024</v>
      </c>
      <c r="E3111">
        <v>6</v>
      </c>
      <c r="F3111">
        <v>67</v>
      </c>
      <c r="G3111" t="s">
        <v>13</v>
      </c>
      <c r="H3111" t="s">
        <v>11</v>
      </c>
      <c r="I3111" s="1" t="s">
        <v>14</v>
      </c>
      <c r="J3111">
        <v>0.92479999999999996</v>
      </c>
    </row>
    <row r="3112" spans="1:10" hidden="1" x14ac:dyDescent="0.35">
      <c r="A3112" t="str">
        <f t="shared" si="48"/>
        <v>Pavão20241.3</v>
      </c>
      <c r="B3112">
        <v>3148509</v>
      </c>
      <c r="C3112" t="s">
        <v>56</v>
      </c>
      <c r="D3112">
        <v>2024</v>
      </c>
      <c r="E3112">
        <v>6</v>
      </c>
      <c r="F3112">
        <v>68</v>
      </c>
      <c r="G3112" t="s">
        <v>15</v>
      </c>
      <c r="H3112" t="s">
        <v>11</v>
      </c>
      <c r="I3112" s="1" t="s">
        <v>16</v>
      </c>
      <c r="J3112">
        <v>2.1700000000000001E-2</v>
      </c>
    </row>
    <row r="3113" spans="1:10" hidden="1" x14ac:dyDescent="0.35">
      <c r="A3113" t="str">
        <f t="shared" si="48"/>
        <v>Pavão20242.1</v>
      </c>
      <c r="B3113">
        <v>3148509</v>
      </c>
      <c r="C3113" t="s">
        <v>56</v>
      </c>
      <c r="D3113">
        <v>2024</v>
      </c>
      <c r="E3113">
        <v>6</v>
      </c>
      <c r="F3113">
        <v>28</v>
      </c>
      <c r="G3113" t="s">
        <v>17</v>
      </c>
      <c r="H3113" t="s">
        <v>18</v>
      </c>
      <c r="I3113" s="1" t="s">
        <v>19</v>
      </c>
      <c r="J3113">
        <v>0.182</v>
      </c>
    </row>
    <row r="3114" spans="1:10" hidden="1" x14ac:dyDescent="0.35">
      <c r="A3114" t="str">
        <f t="shared" si="48"/>
        <v>Pavão20242.2</v>
      </c>
      <c r="B3114">
        <v>3148509</v>
      </c>
      <c r="C3114" t="s">
        <v>56</v>
      </c>
      <c r="D3114">
        <v>2024</v>
      </c>
      <c r="E3114">
        <v>6</v>
      </c>
      <c r="F3114">
        <v>29</v>
      </c>
      <c r="G3114" t="s">
        <v>20</v>
      </c>
      <c r="H3114" t="s">
        <v>18</v>
      </c>
      <c r="I3114" s="1" t="s">
        <v>21</v>
      </c>
      <c r="J3114">
        <v>0.70920000000000005</v>
      </c>
    </row>
    <row r="3115" spans="1:10" hidden="1" x14ac:dyDescent="0.35">
      <c r="A3115" t="str">
        <f t="shared" si="48"/>
        <v>Pavão20242.4</v>
      </c>
      <c r="B3115">
        <v>3148509</v>
      </c>
      <c r="C3115" t="s">
        <v>56</v>
      </c>
      <c r="D3115">
        <v>2024</v>
      </c>
      <c r="E3115">
        <v>6</v>
      </c>
      <c r="F3115">
        <v>31</v>
      </c>
      <c r="G3115" t="s">
        <v>22</v>
      </c>
      <c r="H3115" t="s">
        <v>18</v>
      </c>
      <c r="I3115" s="1" t="s">
        <v>23</v>
      </c>
      <c r="J3115">
        <v>0.17949999999999999</v>
      </c>
    </row>
    <row r="3116" spans="1:10" hidden="1" x14ac:dyDescent="0.35">
      <c r="A3116" t="str">
        <f t="shared" si="48"/>
        <v>Pavão20242.5</v>
      </c>
      <c r="B3116">
        <v>3148509</v>
      </c>
      <c r="C3116" t="s">
        <v>56</v>
      </c>
      <c r="D3116">
        <v>2024</v>
      </c>
      <c r="E3116">
        <v>6</v>
      </c>
      <c r="F3116">
        <v>32</v>
      </c>
      <c r="G3116" t="s">
        <v>24</v>
      </c>
      <c r="H3116" t="s">
        <v>18</v>
      </c>
      <c r="I3116" s="1" t="s">
        <v>25</v>
      </c>
      <c r="J3116">
        <v>0.43759999999999999</v>
      </c>
    </row>
    <row r="3117" spans="1:10" hidden="1" x14ac:dyDescent="0.35">
      <c r="A3117" t="str">
        <f t="shared" si="48"/>
        <v>Pavão20242.8</v>
      </c>
      <c r="B3117">
        <v>3148509</v>
      </c>
      <c r="C3117" t="s">
        <v>56</v>
      </c>
      <c r="D3117">
        <v>2024</v>
      </c>
      <c r="E3117">
        <v>6</v>
      </c>
      <c r="F3117">
        <v>35</v>
      </c>
      <c r="G3117" t="s">
        <v>26</v>
      </c>
      <c r="H3117" t="s">
        <v>18</v>
      </c>
      <c r="I3117" s="1" t="s">
        <v>27</v>
      </c>
      <c r="J3117">
        <v>0.24940000000000001</v>
      </c>
    </row>
    <row r="3118" spans="1:10" hidden="1" x14ac:dyDescent="0.35">
      <c r="A3118" t="str">
        <f t="shared" si="48"/>
        <v>Pavão20244.1</v>
      </c>
      <c r="B3118">
        <v>3148509</v>
      </c>
      <c r="C3118" t="s">
        <v>56</v>
      </c>
      <c r="D3118">
        <v>2024</v>
      </c>
      <c r="E3118">
        <v>6</v>
      </c>
      <c r="F3118">
        <v>44</v>
      </c>
      <c r="G3118" t="s">
        <v>28</v>
      </c>
      <c r="H3118" t="s">
        <v>29</v>
      </c>
      <c r="I3118" s="1" t="s">
        <v>30</v>
      </c>
      <c r="J3118">
        <v>7367.73</v>
      </c>
    </row>
    <row r="3119" spans="1:10" hidden="1" x14ac:dyDescent="0.35">
      <c r="A3119" t="str">
        <f t="shared" si="48"/>
        <v>Pavão20244.10</v>
      </c>
      <c r="B3119">
        <v>3148509</v>
      </c>
      <c r="C3119" t="s">
        <v>56</v>
      </c>
      <c r="D3119">
        <v>2024</v>
      </c>
      <c r="E3119">
        <v>6</v>
      </c>
      <c r="F3119">
        <v>58</v>
      </c>
      <c r="G3119" t="s">
        <v>31</v>
      </c>
      <c r="H3119" t="s">
        <v>29</v>
      </c>
      <c r="I3119" s="1" t="s">
        <v>32</v>
      </c>
      <c r="J3119">
        <v>8233.6200000000008</v>
      </c>
    </row>
    <row r="3120" spans="1:10" hidden="1" x14ac:dyDescent="0.35">
      <c r="A3120" t="str">
        <f t="shared" si="48"/>
        <v>Pavão20244.11</v>
      </c>
      <c r="B3120">
        <v>3148509</v>
      </c>
      <c r="C3120" t="s">
        <v>56</v>
      </c>
      <c r="D3120">
        <v>2024</v>
      </c>
      <c r="E3120">
        <v>6</v>
      </c>
      <c r="F3120">
        <v>59</v>
      </c>
      <c r="G3120" t="s">
        <v>33</v>
      </c>
      <c r="H3120" t="s">
        <v>29</v>
      </c>
      <c r="I3120" s="1" t="s">
        <v>34</v>
      </c>
      <c r="J3120">
        <v>172.75</v>
      </c>
    </row>
    <row r="3121" spans="1:10" hidden="1" x14ac:dyDescent="0.35">
      <c r="A3121" t="str">
        <f t="shared" si="48"/>
        <v>Pavão20244.2</v>
      </c>
      <c r="B3121">
        <v>3148509</v>
      </c>
      <c r="C3121" t="s">
        <v>56</v>
      </c>
      <c r="D3121">
        <v>2024</v>
      </c>
      <c r="E3121">
        <v>6</v>
      </c>
      <c r="F3121">
        <v>45</v>
      </c>
      <c r="G3121" t="s">
        <v>35</v>
      </c>
      <c r="H3121" t="s">
        <v>29</v>
      </c>
      <c r="I3121" s="1" t="s">
        <v>36</v>
      </c>
      <c r="J3121">
        <v>17820.96</v>
      </c>
    </row>
    <row r="3122" spans="1:10" hidden="1" x14ac:dyDescent="0.35">
      <c r="A3122" t="str">
        <f t="shared" si="48"/>
        <v>Pavão20244.8</v>
      </c>
      <c r="B3122">
        <v>3148509</v>
      </c>
      <c r="C3122" t="s">
        <v>56</v>
      </c>
      <c r="D3122">
        <v>2024</v>
      </c>
      <c r="E3122">
        <v>6</v>
      </c>
      <c r="F3122">
        <v>56</v>
      </c>
      <c r="G3122" t="s">
        <v>37</v>
      </c>
      <c r="H3122" t="s">
        <v>29</v>
      </c>
      <c r="I3122" s="1" t="s">
        <v>38</v>
      </c>
      <c r="J3122">
        <v>20442.05</v>
      </c>
    </row>
    <row r="3123" spans="1:10" hidden="1" x14ac:dyDescent="0.35">
      <c r="A3123" t="str">
        <f t="shared" si="48"/>
        <v>Pavão20244.9</v>
      </c>
      <c r="B3123">
        <v>3148509</v>
      </c>
      <c r="C3123" t="s">
        <v>56</v>
      </c>
      <c r="D3123">
        <v>2024</v>
      </c>
      <c r="E3123">
        <v>6</v>
      </c>
      <c r="F3123">
        <v>57</v>
      </c>
      <c r="G3123" t="s">
        <v>39</v>
      </c>
      <c r="H3123" t="s">
        <v>29</v>
      </c>
      <c r="I3123" s="1" t="s">
        <v>40</v>
      </c>
      <c r="J3123">
        <v>20442.05</v>
      </c>
    </row>
    <row r="3124" spans="1:10" hidden="1" x14ac:dyDescent="0.35">
      <c r="A3124" t="str">
        <f t="shared" si="48"/>
        <v>Poté20241.1</v>
      </c>
      <c r="B3124">
        <v>3152402</v>
      </c>
      <c r="C3124" t="s">
        <v>57</v>
      </c>
      <c r="D3124">
        <v>2024</v>
      </c>
      <c r="E3124">
        <v>6</v>
      </c>
      <c r="F3124">
        <v>24</v>
      </c>
      <c r="G3124" t="s">
        <v>10</v>
      </c>
      <c r="H3124" t="s">
        <v>11</v>
      </c>
      <c r="I3124" s="1" t="s">
        <v>12</v>
      </c>
      <c r="J3124">
        <v>0.30759999999999998</v>
      </c>
    </row>
    <row r="3125" spans="1:10" hidden="1" x14ac:dyDescent="0.35">
      <c r="A3125" t="str">
        <f t="shared" si="48"/>
        <v>Poté20241.2</v>
      </c>
      <c r="B3125">
        <v>3152402</v>
      </c>
      <c r="C3125" t="s">
        <v>57</v>
      </c>
      <c r="D3125">
        <v>2024</v>
      </c>
      <c r="E3125">
        <v>6</v>
      </c>
      <c r="F3125">
        <v>67</v>
      </c>
      <c r="G3125" t="s">
        <v>13</v>
      </c>
      <c r="H3125" t="s">
        <v>11</v>
      </c>
      <c r="I3125" s="1" t="s">
        <v>14</v>
      </c>
      <c r="J3125">
        <v>0.9103</v>
      </c>
    </row>
    <row r="3126" spans="1:10" hidden="1" x14ac:dyDescent="0.35">
      <c r="A3126" t="str">
        <f t="shared" si="48"/>
        <v>Poté20241.3</v>
      </c>
      <c r="B3126">
        <v>3152402</v>
      </c>
      <c r="C3126" t="s">
        <v>57</v>
      </c>
      <c r="D3126">
        <v>2024</v>
      </c>
      <c r="E3126">
        <v>6</v>
      </c>
      <c r="F3126">
        <v>68</v>
      </c>
      <c r="G3126" t="s">
        <v>15</v>
      </c>
      <c r="H3126" t="s">
        <v>11</v>
      </c>
      <c r="I3126" s="1" t="s">
        <v>16</v>
      </c>
      <c r="J3126">
        <v>1.95E-2</v>
      </c>
    </row>
    <row r="3127" spans="1:10" hidden="1" x14ac:dyDescent="0.35">
      <c r="A3127" t="str">
        <f t="shared" si="48"/>
        <v>Poté20242.1</v>
      </c>
      <c r="B3127">
        <v>3152402</v>
      </c>
      <c r="C3127" t="s">
        <v>57</v>
      </c>
      <c r="D3127">
        <v>2024</v>
      </c>
      <c r="E3127">
        <v>6</v>
      </c>
      <c r="F3127">
        <v>28</v>
      </c>
      <c r="G3127" t="s">
        <v>17</v>
      </c>
      <c r="H3127" t="s">
        <v>18</v>
      </c>
      <c r="I3127" s="1" t="s">
        <v>19</v>
      </c>
      <c r="J3127">
        <v>0.16059999999999999</v>
      </c>
    </row>
    <row r="3128" spans="1:10" hidden="1" x14ac:dyDescent="0.35">
      <c r="A3128" t="str">
        <f t="shared" si="48"/>
        <v>Poté20242.2</v>
      </c>
      <c r="B3128">
        <v>3152402</v>
      </c>
      <c r="C3128" t="s">
        <v>57</v>
      </c>
      <c r="D3128">
        <v>2024</v>
      </c>
      <c r="E3128">
        <v>6</v>
      </c>
      <c r="F3128">
        <v>29</v>
      </c>
      <c r="G3128" t="s">
        <v>20</v>
      </c>
      <c r="H3128" t="s">
        <v>18</v>
      </c>
      <c r="I3128" s="1" t="s">
        <v>21</v>
      </c>
      <c r="J3128">
        <v>0.746</v>
      </c>
    </row>
    <row r="3129" spans="1:10" hidden="1" x14ac:dyDescent="0.35">
      <c r="A3129" t="str">
        <f t="shared" si="48"/>
        <v>Poté20242.4</v>
      </c>
      <c r="B3129">
        <v>3152402</v>
      </c>
      <c r="C3129" t="s">
        <v>57</v>
      </c>
      <c r="D3129">
        <v>2024</v>
      </c>
      <c r="E3129">
        <v>6</v>
      </c>
      <c r="F3129">
        <v>31</v>
      </c>
      <c r="G3129" t="s">
        <v>22</v>
      </c>
      <c r="H3129" t="s">
        <v>18</v>
      </c>
      <c r="I3129" s="1" t="s">
        <v>23</v>
      </c>
      <c r="J3129">
        <v>0.15110000000000001</v>
      </c>
    </row>
    <row r="3130" spans="1:10" hidden="1" x14ac:dyDescent="0.35">
      <c r="A3130" t="str">
        <f t="shared" si="48"/>
        <v>Poté20242.5</v>
      </c>
      <c r="B3130">
        <v>3152402</v>
      </c>
      <c r="C3130" t="s">
        <v>57</v>
      </c>
      <c r="D3130">
        <v>2024</v>
      </c>
      <c r="E3130">
        <v>6</v>
      </c>
      <c r="F3130">
        <v>32</v>
      </c>
      <c r="G3130" t="s">
        <v>24</v>
      </c>
      <c r="H3130" t="s">
        <v>18</v>
      </c>
      <c r="I3130" s="1" t="s">
        <v>25</v>
      </c>
      <c r="J3130">
        <v>0.51480000000000004</v>
      </c>
    </row>
    <row r="3131" spans="1:10" hidden="1" x14ac:dyDescent="0.35">
      <c r="A3131" t="str">
        <f t="shared" si="48"/>
        <v>Poté20242.8</v>
      </c>
      <c r="B3131">
        <v>3152402</v>
      </c>
      <c r="C3131" t="s">
        <v>57</v>
      </c>
      <c r="D3131">
        <v>2024</v>
      </c>
      <c r="E3131">
        <v>6</v>
      </c>
      <c r="F3131">
        <v>35</v>
      </c>
      <c r="G3131" t="s">
        <v>26</v>
      </c>
      <c r="H3131" t="s">
        <v>18</v>
      </c>
      <c r="I3131" s="1" t="s">
        <v>27</v>
      </c>
      <c r="J3131">
        <v>0.27900000000000003</v>
      </c>
    </row>
    <row r="3132" spans="1:10" hidden="1" x14ac:dyDescent="0.35">
      <c r="A3132" t="str">
        <f t="shared" si="48"/>
        <v>Poté20244.1</v>
      </c>
      <c r="B3132">
        <v>3152402</v>
      </c>
      <c r="C3132" t="s">
        <v>57</v>
      </c>
      <c r="D3132">
        <v>2024</v>
      </c>
      <c r="E3132">
        <v>6</v>
      </c>
      <c r="F3132">
        <v>44</v>
      </c>
      <c r="G3132" t="s">
        <v>28</v>
      </c>
      <c r="H3132" t="s">
        <v>29</v>
      </c>
      <c r="I3132" s="1" t="s">
        <v>30</v>
      </c>
      <c r="J3132">
        <v>7250.44</v>
      </c>
    </row>
    <row r="3133" spans="1:10" hidden="1" x14ac:dyDescent="0.35">
      <c r="A3133" t="str">
        <f t="shared" si="48"/>
        <v>Poté20244.10</v>
      </c>
      <c r="B3133">
        <v>3152402</v>
      </c>
      <c r="C3133" t="s">
        <v>57</v>
      </c>
      <c r="D3133">
        <v>2024</v>
      </c>
      <c r="E3133">
        <v>6</v>
      </c>
      <c r="F3133">
        <v>58</v>
      </c>
      <c r="G3133" t="s">
        <v>31</v>
      </c>
      <c r="H3133" t="s">
        <v>29</v>
      </c>
      <c r="I3133" s="1" t="s">
        <v>32</v>
      </c>
      <c r="J3133">
        <v>8176.29</v>
      </c>
    </row>
    <row r="3134" spans="1:10" hidden="1" x14ac:dyDescent="0.35">
      <c r="A3134" t="str">
        <f t="shared" si="48"/>
        <v>Poté20244.11</v>
      </c>
      <c r="B3134">
        <v>3152402</v>
      </c>
      <c r="C3134" t="s">
        <v>57</v>
      </c>
      <c r="D3134">
        <v>2024</v>
      </c>
      <c r="E3134">
        <v>6</v>
      </c>
      <c r="F3134">
        <v>59</v>
      </c>
      <c r="G3134" t="s">
        <v>33</v>
      </c>
      <c r="H3134" t="s">
        <v>29</v>
      </c>
      <c r="I3134" s="1" t="s">
        <v>34</v>
      </c>
      <c r="J3134">
        <v>160.34</v>
      </c>
    </row>
    <row r="3135" spans="1:10" hidden="1" x14ac:dyDescent="0.35">
      <c r="A3135" t="str">
        <f t="shared" si="48"/>
        <v>Poté20244.2</v>
      </c>
      <c r="B3135">
        <v>3152402</v>
      </c>
      <c r="C3135" t="s">
        <v>57</v>
      </c>
      <c r="D3135">
        <v>2024</v>
      </c>
      <c r="E3135">
        <v>6</v>
      </c>
      <c r="F3135">
        <v>45</v>
      </c>
      <c r="G3135" t="s">
        <v>35</v>
      </c>
      <c r="H3135" t="s">
        <v>29</v>
      </c>
      <c r="I3135" s="1" t="s">
        <v>36</v>
      </c>
      <c r="J3135">
        <v>15854.27</v>
      </c>
    </row>
    <row r="3136" spans="1:10" hidden="1" x14ac:dyDescent="0.35">
      <c r="A3136" t="str">
        <f t="shared" si="48"/>
        <v>Poté20244.8</v>
      </c>
      <c r="B3136">
        <v>3152402</v>
      </c>
      <c r="C3136" t="s">
        <v>57</v>
      </c>
      <c r="D3136">
        <v>2024</v>
      </c>
      <c r="E3136">
        <v>6</v>
      </c>
      <c r="F3136">
        <v>56</v>
      </c>
      <c r="G3136" t="s">
        <v>37</v>
      </c>
      <c r="H3136" t="s">
        <v>29</v>
      </c>
      <c r="I3136" s="1" t="s">
        <v>38</v>
      </c>
      <c r="J3136">
        <v>18412.04</v>
      </c>
    </row>
    <row r="3137" spans="1:10" hidden="1" x14ac:dyDescent="0.35">
      <c r="A3137" t="str">
        <f t="shared" si="48"/>
        <v>Poté20244.9</v>
      </c>
      <c r="B3137">
        <v>3152402</v>
      </c>
      <c r="C3137" t="s">
        <v>57</v>
      </c>
      <c r="D3137">
        <v>2024</v>
      </c>
      <c r="E3137">
        <v>6</v>
      </c>
      <c r="F3137">
        <v>57</v>
      </c>
      <c r="G3137" t="s">
        <v>39</v>
      </c>
      <c r="H3137" t="s">
        <v>29</v>
      </c>
      <c r="I3137" s="1" t="s">
        <v>40</v>
      </c>
      <c r="J3137">
        <v>18412.04</v>
      </c>
    </row>
    <row r="3138" spans="1:10" hidden="1" x14ac:dyDescent="0.35">
      <c r="A3138" t="str">
        <f t="shared" si="48"/>
        <v>Santa Helena de Minas20241.1</v>
      </c>
      <c r="B3138">
        <v>3157658</v>
      </c>
      <c r="C3138" t="s">
        <v>58</v>
      </c>
      <c r="D3138">
        <v>2024</v>
      </c>
      <c r="E3138">
        <v>6</v>
      </c>
      <c r="F3138">
        <v>24</v>
      </c>
      <c r="G3138" t="s">
        <v>10</v>
      </c>
      <c r="H3138" t="s">
        <v>11</v>
      </c>
      <c r="I3138" s="1" t="s">
        <v>12</v>
      </c>
      <c r="J3138">
        <v>0.27150000000000002</v>
      </c>
    </row>
    <row r="3139" spans="1:10" hidden="1" x14ac:dyDescent="0.35">
      <c r="A3139" t="str">
        <f t="shared" si="48"/>
        <v>Santa Helena de Minas20241.2</v>
      </c>
      <c r="B3139">
        <v>3157658</v>
      </c>
      <c r="C3139" t="s">
        <v>58</v>
      </c>
      <c r="D3139">
        <v>2024</v>
      </c>
      <c r="E3139">
        <v>6</v>
      </c>
      <c r="F3139">
        <v>67</v>
      </c>
      <c r="G3139" t="s">
        <v>13</v>
      </c>
      <c r="H3139" t="s">
        <v>11</v>
      </c>
      <c r="I3139" s="1" t="s">
        <v>14</v>
      </c>
      <c r="J3139">
        <v>1</v>
      </c>
    </row>
    <row r="3140" spans="1:10" hidden="1" x14ac:dyDescent="0.35">
      <c r="A3140" t="str">
        <f t="shared" ref="A3140:A3203" si="49">C3140&amp;D3140&amp;G3140</f>
        <v>Santa Helena de Minas20241.3</v>
      </c>
      <c r="B3140">
        <v>3157658</v>
      </c>
      <c r="C3140" t="s">
        <v>58</v>
      </c>
      <c r="D3140">
        <v>2024</v>
      </c>
      <c r="E3140">
        <v>6</v>
      </c>
      <c r="F3140">
        <v>68</v>
      </c>
      <c r="G3140" t="s">
        <v>15</v>
      </c>
      <c r="H3140" t="s">
        <v>11</v>
      </c>
      <c r="I3140" s="1" t="s">
        <v>16</v>
      </c>
    </row>
    <row r="3141" spans="1:10" hidden="1" x14ac:dyDescent="0.35">
      <c r="A3141" t="str">
        <f t="shared" si="49"/>
        <v>Santa Helena de Minas20242.1</v>
      </c>
      <c r="B3141">
        <v>3157658</v>
      </c>
      <c r="C3141" t="s">
        <v>58</v>
      </c>
      <c r="D3141">
        <v>2024</v>
      </c>
      <c r="E3141">
        <v>6</v>
      </c>
      <c r="F3141">
        <v>28</v>
      </c>
      <c r="G3141" t="s">
        <v>17</v>
      </c>
      <c r="H3141" t="s">
        <v>18</v>
      </c>
      <c r="I3141" s="1" t="s">
        <v>19</v>
      </c>
      <c r="J3141">
        <v>0.1066</v>
      </c>
    </row>
    <row r="3142" spans="1:10" hidden="1" x14ac:dyDescent="0.35">
      <c r="A3142" t="str">
        <f t="shared" si="49"/>
        <v>Santa Helena de Minas20242.2</v>
      </c>
      <c r="B3142">
        <v>3157658</v>
      </c>
      <c r="C3142" t="s">
        <v>58</v>
      </c>
      <c r="D3142">
        <v>2024</v>
      </c>
      <c r="E3142">
        <v>6</v>
      </c>
      <c r="F3142">
        <v>29</v>
      </c>
      <c r="G3142" t="s">
        <v>20</v>
      </c>
      <c r="H3142" t="s">
        <v>18</v>
      </c>
      <c r="I3142" s="1" t="s">
        <v>21</v>
      </c>
      <c r="J3142">
        <v>0.94410000000000005</v>
      </c>
    </row>
    <row r="3143" spans="1:10" hidden="1" x14ac:dyDescent="0.35">
      <c r="A3143" t="str">
        <f t="shared" si="49"/>
        <v>Santa Helena de Minas20242.4</v>
      </c>
      <c r="B3143">
        <v>3157658</v>
      </c>
      <c r="C3143" t="s">
        <v>58</v>
      </c>
      <c r="D3143">
        <v>2024</v>
      </c>
      <c r="E3143">
        <v>6</v>
      </c>
      <c r="F3143">
        <v>31</v>
      </c>
      <c r="G3143" t="s">
        <v>22</v>
      </c>
      <c r="H3143" t="s">
        <v>18</v>
      </c>
      <c r="I3143" s="1" t="s">
        <v>23</v>
      </c>
      <c r="J3143">
        <v>7.2499999999999995E-2</v>
      </c>
    </row>
    <row r="3144" spans="1:10" hidden="1" x14ac:dyDescent="0.35">
      <c r="A3144" t="str">
        <f t="shared" si="49"/>
        <v>Santa Helena de Minas20242.5</v>
      </c>
      <c r="B3144">
        <v>3157658</v>
      </c>
      <c r="C3144" t="s">
        <v>58</v>
      </c>
      <c r="D3144">
        <v>2024</v>
      </c>
      <c r="E3144">
        <v>6</v>
      </c>
      <c r="F3144">
        <v>32</v>
      </c>
      <c r="G3144" t="s">
        <v>24</v>
      </c>
      <c r="H3144" t="s">
        <v>18</v>
      </c>
      <c r="I3144" s="1" t="s">
        <v>25</v>
      </c>
      <c r="J3144">
        <v>0.71020000000000005</v>
      </c>
    </row>
    <row r="3145" spans="1:10" hidden="1" x14ac:dyDescent="0.35">
      <c r="A3145" t="str">
        <f t="shared" si="49"/>
        <v>Santa Helena de Minas20242.8</v>
      </c>
      <c r="B3145">
        <v>3157658</v>
      </c>
      <c r="C3145" t="s">
        <v>58</v>
      </c>
      <c r="D3145">
        <v>2024</v>
      </c>
      <c r="E3145">
        <v>6</v>
      </c>
      <c r="F3145">
        <v>35</v>
      </c>
      <c r="G3145" t="s">
        <v>26</v>
      </c>
      <c r="H3145" t="s">
        <v>18</v>
      </c>
      <c r="I3145" s="1" t="s">
        <v>27</v>
      </c>
      <c r="J3145">
        <v>0.18429999999999999</v>
      </c>
    </row>
    <row r="3146" spans="1:10" hidden="1" x14ac:dyDescent="0.35">
      <c r="A3146" t="str">
        <f t="shared" si="49"/>
        <v>Santa Helena de Minas20244.1</v>
      </c>
      <c r="B3146">
        <v>3157658</v>
      </c>
      <c r="C3146" t="s">
        <v>58</v>
      </c>
      <c r="D3146">
        <v>2024</v>
      </c>
      <c r="E3146">
        <v>6</v>
      </c>
      <c r="F3146">
        <v>44</v>
      </c>
      <c r="G3146" t="s">
        <v>28</v>
      </c>
      <c r="H3146" t="s">
        <v>29</v>
      </c>
      <c r="I3146" s="1" t="s">
        <v>30</v>
      </c>
      <c r="J3146">
        <v>3394.38</v>
      </c>
    </row>
    <row r="3147" spans="1:10" hidden="1" x14ac:dyDescent="0.35">
      <c r="A3147" t="str">
        <f t="shared" si="49"/>
        <v>Santa Helena de Minas20244.10</v>
      </c>
      <c r="B3147">
        <v>3157658</v>
      </c>
      <c r="C3147" t="s">
        <v>58</v>
      </c>
      <c r="D3147">
        <v>2024</v>
      </c>
      <c r="E3147">
        <v>6</v>
      </c>
      <c r="F3147">
        <v>58</v>
      </c>
      <c r="G3147" t="s">
        <v>31</v>
      </c>
      <c r="H3147" t="s">
        <v>29</v>
      </c>
      <c r="I3147" s="1" t="s">
        <v>32</v>
      </c>
      <c r="J3147">
        <v>7525.81</v>
      </c>
    </row>
    <row r="3148" spans="1:10" hidden="1" x14ac:dyDescent="0.35">
      <c r="A3148" t="str">
        <f t="shared" si="49"/>
        <v>Santa Helena de Minas20244.11</v>
      </c>
      <c r="B3148">
        <v>3157658</v>
      </c>
      <c r="C3148" t="s">
        <v>58</v>
      </c>
      <c r="D3148">
        <v>2024</v>
      </c>
      <c r="E3148">
        <v>6</v>
      </c>
      <c r="F3148">
        <v>59</v>
      </c>
      <c r="G3148" t="s">
        <v>33</v>
      </c>
      <c r="H3148" t="s">
        <v>29</v>
      </c>
      <c r="I3148" s="1" t="s">
        <v>34</v>
      </c>
    </row>
    <row r="3149" spans="1:10" hidden="1" x14ac:dyDescent="0.35">
      <c r="A3149" t="str">
        <f t="shared" si="49"/>
        <v>Santa Helena de Minas20244.2</v>
      </c>
      <c r="B3149">
        <v>3157658</v>
      </c>
      <c r="C3149" t="s">
        <v>58</v>
      </c>
      <c r="D3149">
        <v>2024</v>
      </c>
      <c r="E3149">
        <v>6</v>
      </c>
      <c r="F3149">
        <v>45</v>
      </c>
      <c r="G3149" t="s">
        <v>35</v>
      </c>
      <c r="H3149" t="s">
        <v>29</v>
      </c>
      <c r="I3149" s="1" t="s">
        <v>36</v>
      </c>
      <c r="J3149">
        <v>19622.060000000001</v>
      </c>
    </row>
    <row r="3150" spans="1:10" hidden="1" x14ac:dyDescent="0.35">
      <c r="A3150" t="str">
        <f t="shared" si="49"/>
        <v>Santa Helena de Minas20244.8</v>
      </c>
      <c r="B3150">
        <v>3157658</v>
      </c>
      <c r="C3150" t="s">
        <v>58</v>
      </c>
      <c r="D3150">
        <v>2024</v>
      </c>
      <c r="E3150">
        <v>6</v>
      </c>
      <c r="F3150">
        <v>56</v>
      </c>
      <c r="G3150" t="s">
        <v>37</v>
      </c>
      <c r="H3150" t="s">
        <v>29</v>
      </c>
      <c r="I3150" s="1" t="s">
        <v>38</v>
      </c>
      <c r="J3150">
        <v>17371.62</v>
      </c>
    </row>
    <row r="3151" spans="1:10" hidden="1" x14ac:dyDescent="0.35">
      <c r="A3151" t="str">
        <f t="shared" si="49"/>
        <v>Santa Helena de Minas20244.9</v>
      </c>
      <c r="B3151">
        <v>3157658</v>
      </c>
      <c r="C3151" t="s">
        <v>58</v>
      </c>
      <c r="D3151">
        <v>2024</v>
      </c>
      <c r="E3151">
        <v>6</v>
      </c>
      <c r="F3151">
        <v>57</v>
      </c>
      <c r="G3151" t="s">
        <v>39</v>
      </c>
      <c r="H3151" t="s">
        <v>29</v>
      </c>
      <c r="I3151" s="1" t="s">
        <v>40</v>
      </c>
      <c r="J3151">
        <v>17371.62</v>
      </c>
    </row>
    <row r="3152" spans="1:10" hidden="1" x14ac:dyDescent="0.35">
      <c r="A3152" t="str">
        <f t="shared" si="49"/>
        <v>Serra dos Aimorés20241.1</v>
      </c>
      <c r="B3152">
        <v>3166709</v>
      </c>
      <c r="C3152" t="s">
        <v>59</v>
      </c>
      <c r="D3152">
        <v>2024</v>
      </c>
      <c r="E3152">
        <v>6</v>
      </c>
      <c r="F3152">
        <v>24</v>
      </c>
      <c r="G3152" t="s">
        <v>10</v>
      </c>
      <c r="H3152" t="s">
        <v>11</v>
      </c>
      <c r="I3152" s="1" t="s">
        <v>12</v>
      </c>
      <c r="J3152">
        <v>0.27279999999999999</v>
      </c>
    </row>
    <row r="3153" spans="1:10" hidden="1" x14ac:dyDescent="0.35">
      <c r="A3153" t="str">
        <f t="shared" si="49"/>
        <v>Serra dos Aimorés20241.2</v>
      </c>
      <c r="B3153">
        <v>3166709</v>
      </c>
      <c r="C3153" t="s">
        <v>59</v>
      </c>
      <c r="D3153">
        <v>2024</v>
      </c>
      <c r="E3153">
        <v>6</v>
      </c>
      <c r="F3153">
        <v>67</v>
      </c>
      <c r="G3153" t="s">
        <v>13</v>
      </c>
      <c r="H3153" t="s">
        <v>11</v>
      </c>
      <c r="I3153" s="1" t="s">
        <v>14</v>
      </c>
      <c r="J3153">
        <v>0.91169999999999995</v>
      </c>
    </row>
    <row r="3154" spans="1:10" hidden="1" x14ac:dyDescent="0.35">
      <c r="A3154" t="str">
        <f t="shared" si="49"/>
        <v>Serra dos Aimorés20241.3</v>
      </c>
      <c r="B3154">
        <v>3166709</v>
      </c>
      <c r="C3154" t="s">
        <v>59</v>
      </c>
      <c r="D3154">
        <v>2024</v>
      </c>
      <c r="E3154">
        <v>6</v>
      </c>
      <c r="F3154">
        <v>68</v>
      </c>
      <c r="G3154" t="s">
        <v>15</v>
      </c>
      <c r="H3154" t="s">
        <v>11</v>
      </c>
      <c r="I3154" s="1" t="s">
        <v>16</v>
      </c>
      <c r="J3154">
        <v>2.0500000000000001E-2</v>
      </c>
    </row>
    <row r="3155" spans="1:10" hidden="1" x14ac:dyDescent="0.35">
      <c r="A3155" t="str">
        <f t="shared" si="49"/>
        <v>Serra dos Aimorés20242.1</v>
      </c>
      <c r="B3155">
        <v>3166709</v>
      </c>
      <c r="C3155" t="s">
        <v>59</v>
      </c>
      <c r="D3155">
        <v>2024</v>
      </c>
      <c r="E3155">
        <v>6</v>
      </c>
      <c r="F3155">
        <v>28</v>
      </c>
      <c r="G3155" t="s">
        <v>17</v>
      </c>
      <c r="H3155" t="s">
        <v>18</v>
      </c>
      <c r="I3155" s="1" t="s">
        <v>19</v>
      </c>
      <c r="J3155">
        <v>0.41720000000000002</v>
      </c>
    </row>
    <row r="3156" spans="1:10" hidden="1" x14ac:dyDescent="0.35">
      <c r="A3156" t="str">
        <f t="shared" si="49"/>
        <v>Serra dos Aimorés20242.2</v>
      </c>
      <c r="B3156">
        <v>3166709</v>
      </c>
      <c r="C3156" t="s">
        <v>59</v>
      </c>
      <c r="D3156">
        <v>2024</v>
      </c>
      <c r="E3156">
        <v>6</v>
      </c>
      <c r="F3156">
        <v>29</v>
      </c>
      <c r="G3156" t="s">
        <v>20</v>
      </c>
      <c r="H3156" t="s">
        <v>18</v>
      </c>
      <c r="I3156" s="1" t="s">
        <v>21</v>
      </c>
      <c r="J3156">
        <v>0.51500000000000001</v>
      </c>
    </row>
    <row r="3157" spans="1:10" hidden="1" x14ac:dyDescent="0.35">
      <c r="A3157" t="str">
        <f t="shared" si="49"/>
        <v>Serra dos Aimorés20242.4</v>
      </c>
      <c r="B3157">
        <v>3166709</v>
      </c>
      <c r="C3157" t="s">
        <v>59</v>
      </c>
      <c r="D3157">
        <v>2024</v>
      </c>
      <c r="E3157">
        <v>6</v>
      </c>
      <c r="F3157">
        <v>31</v>
      </c>
      <c r="G3157" t="s">
        <v>22</v>
      </c>
      <c r="H3157" t="s">
        <v>18</v>
      </c>
      <c r="I3157" s="1" t="s">
        <v>23</v>
      </c>
      <c r="J3157">
        <v>0.26379999999999998</v>
      </c>
    </row>
    <row r="3158" spans="1:10" hidden="1" x14ac:dyDescent="0.35">
      <c r="A3158" t="str">
        <f t="shared" si="49"/>
        <v>Serra dos Aimorés20242.5</v>
      </c>
      <c r="B3158">
        <v>3166709</v>
      </c>
      <c r="C3158" t="s">
        <v>59</v>
      </c>
      <c r="D3158">
        <v>2024</v>
      </c>
      <c r="E3158">
        <v>6</v>
      </c>
      <c r="F3158">
        <v>32</v>
      </c>
      <c r="G3158" t="s">
        <v>24</v>
      </c>
      <c r="H3158" t="s">
        <v>18</v>
      </c>
      <c r="I3158" s="1" t="s">
        <v>25</v>
      </c>
      <c r="J3158">
        <v>0.50509999999999999</v>
      </c>
    </row>
    <row r="3159" spans="1:10" hidden="1" x14ac:dyDescent="0.35">
      <c r="A3159" t="str">
        <f t="shared" si="49"/>
        <v>Serra dos Aimorés20242.8</v>
      </c>
      <c r="B3159">
        <v>3166709</v>
      </c>
      <c r="C3159" t="s">
        <v>59</v>
      </c>
      <c r="D3159">
        <v>2024</v>
      </c>
      <c r="E3159">
        <v>6</v>
      </c>
      <c r="F3159">
        <v>35</v>
      </c>
      <c r="G3159" t="s">
        <v>26</v>
      </c>
      <c r="H3159" t="s">
        <v>18</v>
      </c>
      <c r="I3159" s="1" t="s">
        <v>27</v>
      </c>
      <c r="J3159">
        <v>0.25609999999999999</v>
      </c>
    </row>
    <row r="3160" spans="1:10" hidden="1" x14ac:dyDescent="0.35">
      <c r="A3160" t="str">
        <f t="shared" si="49"/>
        <v>Serra dos Aimorés20244.1</v>
      </c>
      <c r="B3160">
        <v>3166709</v>
      </c>
      <c r="C3160" t="s">
        <v>59</v>
      </c>
      <c r="D3160">
        <v>2024</v>
      </c>
      <c r="E3160">
        <v>6</v>
      </c>
      <c r="F3160">
        <v>44</v>
      </c>
      <c r="G3160" t="s">
        <v>28</v>
      </c>
      <c r="H3160" t="s">
        <v>29</v>
      </c>
      <c r="I3160" s="1" t="s">
        <v>30</v>
      </c>
      <c r="J3160">
        <v>9624.5499999999993</v>
      </c>
    </row>
    <row r="3161" spans="1:10" hidden="1" x14ac:dyDescent="0.35">
      <c r="A3161" t="str">
        <f t="shared" si="49"/>
        <v>Serra dos Aimorés20244.10</v>
      </c>
      <c r="B3161">
        <v>3166709</v>
      </c>
      <c r="C3161" t="s">
        <v>59</v>
      </c>
      <c r="D3161">
        <v>2024</v>
      </c>
      <c r="E3161">
        <v>6</v>
      </c>
      <c r="F3161">
        <v>58</v>
      </c>
      <c r="G3161" t="s">
        <v>31</v>
      </c>
      <c r="H3161" t="s">
        <v>29</v>
      </c>
      <c r="I3161" s="1" t="s">
        <v>32</v>
      </c>
      <c r="J3161">
        <v>7876.19</v>
      </c>
    </row>
    <row r="3162" spans="1:10" hidden="1" x14ac:dyDescent="0.35">
      <c r="A3162" t="str">
        <f t="shared" si="49"/>
        <v>Serra dos Aimorés20244.11</v>
      </c>
      <c r="B3162">
        <v>3166709</v>
      </c>
      <c r="C3162" t="s">
        <v>59</v>
      </c>
      <c r="D3162">
        <v>2024</v>
      </c>
      <c r="E3162">
        <v>6</v>
      </c>
      <c r="F3162">
        <v>59</v>
      </c>
      <c r="G3162" t="s">
        <v>33</v>
      </c>
      <c r="H3162" t="s">
        <v>29</v>
      </c>
      <c r="I3162" s="1" t="s">
        <v>34</v>
      </c>
    </row>
    <row r="3163" spans="1:10" hidden="1" x14ac:dyDescent="0.35">
      <c r="A3163" t="str">
        <f t="shared" si="49"/>
        <v>Serra dos Aimorés20244.2</v>
      </c>
      <c r="B3163">
        <v>3166709</v>
      </c>
      <c r="C3163" t="s">
        <v>59</v>
      </c>
      <c r="D3163">
        <v>2024</v>
      </c>
      <c r="E3163">
        <v>6</v>
      </c>
      <c r="F3163">
        <v>45</v>
      </c>
      <c r="G3163" t="s">
        <v>35</v>
      </c>
      <c r="H3163" t="s">
        <v>29</v>
      </c>
      <c r="I3163" s="1" t="s">
        <v>36</v>
      </c>
      <c r="J3163">
        <v>14667.74</v>
      </c>
    </row>
    <row r="3164" spans="1:10" hidden="1" x14ac:dyDescent="0.35">
      <c r="A3164" t="str">
        <f t="shared" si="49"/>
        <v>Serra dos Aimorés20244.8</v>
      </c>
      <c r="B3164">
        <v>3166709</v>
      </c>
      <c r="C3164" t="s">
        <v>59</v>
      </c>
      <c r="D3164">
        <v>2024</v>
      </c>
      <c r="E3164">
        <v>6</v>
      </c>
      <c r="F3164">
        <v>56</v>
      </c>
      <c r="G3164" t="s">
        <v>37</v>
      </c>
      <c r="H3164" t="s">
        <v>29</v>
      </c>
      <c r="I3164" s="1" t="s">
        <v>38</v>
      </c>
      <c r="J3164">
        <v>16171.39</v>
      </c>
    </row>
    <row r="3165" spans="1:10" hidden="1" x14ac:dyDescent="0.35">
      <c r="A3165" t="str">
        <f t="shared" si="49"/>
        <v>Serra dos Aimorés20244.9</v>
      </c>
      <c r="B3165">
        <v>3166709</v>
      </c>
      <c r="C3165" t="s">
        <v>59</v>
      </c>
      <c r="D3165">
        <v>2024</v>
      </c>
      <c r="E3165">
        <v>6</v>
      </c>
      <c r="F3165">
        <v>57</v>
      </c>
      <c r="G3165" t="s">
        <v>39</v>
      </c>
      <c r="H3165" t="s">
        <v>29</v>
      </c>
      <c r="I3165" s="1" t="s">
        <v>40</v>
      </c>
      <c r="J3165">
        <v>16171.39</v>
      </c>
    </row>
    <row r="3166" spans="1:10" hidden="1" x14ac:dyDescent="0.35">
      <c r="A3166" t="str">
        <f t="shared" si="49"/>
        <v>Setubinha20241.1</v>
      </c>
      <c r="B3166">
        <v>3165552</v>
      </c>
      <c r="C3166" t="s">
        <v>60</v>
      </c>
      <c r="D3166">
        <v>2024</v>
      </c>
      <c r="E3166">
        <v>6</v>
      </c>
      <c r="F3166">
        <v>24</v>
      </c>
      <c r="G3166" t="s">
        <v>10</v>
      </c>
      <c r="H3166" t="s">
        <v>11</v>
      </c>
      <c r="I3166" s="1" t="s">
        <v>12</v>
      </c>
      <c r="J3166">
        <v>0.26490000000000002</v>
      </c>
    </row>
    <row r="3167" spans="1:10" hidden="1" x14ac:dyDescent="0.35">
      <c r="A3167" t="str">
        <f t="shared" si="49"/>
        <v>Setubinha20241.2</v>
      </c>
      <c r="B3167">
        <v>3165552</v>
      </c>
      <c r="C3167" t="s">
        <v>60</v>
      </c>
      <c r="D3167">
        <v>2024</v>
      </c>
      <c r="E3167">
        <v>6</v>
      </c>
      <c r="F3167">
        <v>67</v>
      </c>
      <c r="G3167" t="s">
        <v>13</v>
      </c>
      <c r="H3167" t="s">
        <v>11</v>
      </c>
      <c r="I3167" s="1" t="s">
        <v>14</v>
      </c>
      <c r="J3167">
        <v>0.98360000000000003</v>
      </c>
    </row>
    <row r="3168" spans="1:10" hidden="1" x14ac:dyDescent="0.35">
      <c r="A3168" t="str">
        <f t="shared" si="49"/>
        <v>Setubinha20241.3</v>
      </c>
      <c r="B3168">
        <v>3165552</v>
      </c>
      <c r="C3168" t="s">
        <v>60</v>
      </c>
      <c r="D3168">
        <v>2024</v>
      </c>
      <c r="E3168">
        <v>6</v>
      </c>
      <c r="F3168">
        <v>68</v>
      </c>
      <c r="G3168" t="s">
        <v>15</v>
      </c>
      <c r="H3168" t="s">
        <v>11</v>
      </c>
      <c r="I3168" s="1" t="s">
        <v>16</v>
      </c>
      <c r="J3168">
        <v>4.3E-3</v>
      </c>
    </row>
    <row r="3169" spans="1:10" hidden="1" x14ac:dyDescent="0.35">
      <c r="A3169" t="str">
        <f t="shared" si="49"/>
        <v>Setubinha20242.1</v>
      </c>
      <c r="B3169">
        <v>3165552</v>
      </c>
      <c r="C3169" t="s">
        <v>60</v>
      </c>
      <c r="D3169">
        <v>2024</v>
      </c>
      <c r="E3169">
        <v>6</v>
      </c>
      <c r="F3169">
        <v>28</v>
      </c>
      <c r="G3169" t="s">
        <v>17</v>
      </c>
      <c r="H3169" t="s">
        <v>18</v>
      </c>
      <c r="I3169" s="1" t="s">
        <v>19</v>
      </c>
      <c r="J3169">
        <v>0.92030000000000001</v>
      </c>
    </row>
    <row r="3170" spans="1:10" hidden="1" x14ac:dyDescent="0.35">
      <c r="A3170" t="str">
        <f t="shared" si="49"/>
        <v>Setubinha20242.2</v>
      </c>
      <c r="B3170">
        <v>3165552</v>
      </c>
      <c r="C3170" t="s">
        <v>60</v>
      </c>
      <c r="D3170">
        <v>2024</v>
      </c>
      <c r="E3170">
        <v>6</v>
      </c>
      <c r="F3170">
        <v>29</v>
      </c>
      <c r="G3170" t="s">
        <v>20</v>
      </c>
      <c r="H3170" t="s">
        <v>18</v>
      </c>
      <c r="I3170" s="1" t="s">
        <v>21</v>
      </c>
      <c r="J3170">
        <v>6.7599999999999993E-2</v>
      </c>
    </row>
    <row r="3171" spans="1:10" hidden="1" x14ac:dyDescent="0.35">
      <c r="A3171" t="str">
        <f t="shared" si="49"/>
        <v>Setubinha20242.4</v>
      </c>
      <c r="B3171">
        <v>3165552</v>
      </c>
      <c r="C3171" t="s">
        <v>60</v>
      </c>
      <c r="D3171">
        <v>2024</v>
      </c>
      <c r="E3171">
        <v>6</v>
      </c>
      <c r="F3171">
        <v>31</v>
      </c>
      <c r="G3171" t="s">
        <v>22</v>
      </c>
      <c r="H3171" t="s">
        <v>18</v>
      </c>
      <c r="I3171" s="1" t="s">
        <v>23</v>
      </c>
      <c r="J3171">
        <v>0.3644</v>
      </c>
    </row>
    <row r="3172" spans="1:10" hidden="1" x14ac:dyDescent="0.35">
      <c r="A3172" t="str">
        <f t="shared" si="49"/>
        <v>Setubinha20242.5</v>
      </c>
      <c r="B3172">
        <v>3165552</v>
      </c>
      <c r="C3172" t="s">
        <v>60</v>
      </c>
      <c r="D3172">
        <v>2024</v>
      </c>
      <c r="E3172">
        <v>6</v>
      </c>
      <c r="F3172">
        <v>32</v>
      </c>
      <c r="G3172" t="s">
        <v>24</v>
      </c>
      <c r="H3172" t="s">
        <v>18</v>
      </c>
      <c r="I3172" s="1" t="s">
        <v>25</v>
      </c>
      <c r="J3172">
        <v>0.1772</v>
      </c>
    </row>
    <row r="3173" spans="1:10" hidden="1" x14ac:dyDescent="0.35">
      <c r="A3173" t="str">
        <f t="shared" si="49"/>
        <v>Setubinha20242.8</v>
      </c>
      <c r="B3173">
        <v>3165552</v>
      </c>
      <c r="C3173" t="s">
        <v>60</v>
      </c>
      <c r="D3173">
        <v>2024</v>
      </c>
      <c r="E3173">
        <v>6</v>
      </c>
      <c r="F3173">
        <v>35</v>
      </c>
      <c r="G3173" t="s">
        <v>26</v>
      </c>
      <c r="H3173" t="s">
        <v>18</v>
      </c>
      <c r="I3173" s="1" t="s">
        <v>27</v>
      </c>
      <c r="J3173">
        <v>0.2606</v>
      </c>
    </row>
    <row r="3174" spans="1:10" hidden="1" x14ac:dyDescent="0.35">
      <c r="A3174" t="str">
        <f t="shared" si="49"/>
        <v>Setubinha20244.1</v>
      </c>
      <c r="B3174">
        <v>3165552</v>
      </c>
      <c r="C3174" t="s">
        <v>60</v>
      </c>
      <c r="D3174">
        <v>2024</v>
      </c>
      <c r="E3174">
        <v>6</v>
      </c>
      <c r="F3174">
        <v>44</v>
      </c>
      <c r="G3174" t="s">
        <v>28</v>
      </c>
      <c r="H3174" t="s">
        <v>29</v>
      </c>
      <c r="I3174" s="1" t="s">
        <v>30</v>
      </c>
      <c r="J3174">
        <v>12995.2</v>
      </c>
    </row>
    <row r="3175" spans="1:10" hidden="1" x14ac:dyDescent="0.35">
      <c r="A3175" t="str">
        <f t="shared" si="49"/>
        <v>Setubinha20244.10</v>
      </c>
      <c r="B3175">
        <v>3165552</v>
      </c>
      <c r="C3175" t="s">
        <v>60</v>
      </c>
      <c r="D3175">
        <v>2024</v>
      </c>
      <c r="E3175">
        <v>6</v>
      </c>
      <c r="F3175">
        <v>58</v>
      </c>
      <c r="G3175" t="s">
        <v>31</v>
      </c>
      <c r="H3175" t="s">
        <v>29</v>
      </c>
      <c r="I3175" s="1" t="s">
        <v>32</v>
      </c>
      <c r="J3175">
        <v>8001.17</v>
      </c>
    </row>
    <row r="3176" spans="1:10" hidden="1" x14ac:dyDescent="0.35">
      <c r="A3176" t="str">
        <f t="shared" si="49"/>
        <v>Setubinha20244.11</v>
      </c>
      <c r="B3176">
        <v>3165552</v>
      </c>
      <c r="C3176" t="s">
        <v>60</v>
      </c>
      <c r="D3176">
        <v>2024</v>
      </c>
      <c r="E3176">
        <v>6</v>
      </c>
      <c r="F3176">
        <v>59</v>
      </c>
      <c r="G3176" t="s">
        <v>33</v>
      </c>
      <c r="H3176" t="s">
        <v>29</v>
      </c>
      <c r="I3176" s="1" t="s">
        <v>34</v>
      </c>
      <c r="J3176">
        <v>123</v>
      </c>
    </row>
    <row r="3177" spans="1:10" hidden="1" x14ac:dyDescent="0.35">
      <c r="A3177" t="str">
        <f t="shared" si="49"/>
        <v>Setubinha20244.2</v>
      </c>
      <c r="B3177">
        <v>3165552</v>
      </c>
      <c r="C3177" t="s">
        <v>60</v>
      </c>
      <c r="D3177">
        <v>2024</v>
      </c>
      <c r="E3177">
        <v>6</v>
      </c>
      <c r="F3177">
        <v>45</v>
      </c>
      <c r="G3177" t="s">
        <v>35</v>
      </c>
      <c r="H3177" t="s">
        <v>29</v>
      </c>
      <c r="I3177" s="1" t="s">
        <v>36</v>
      </c>
      <c r="J3177">
        <v>13129.29</v>
      </c>
    </row>
    <row r="3178" spans="1:10" hidden="1" x14ac:dyDescent="0.35">
      <c r="A3178" t="str">
        <f t="shared" si="49"/>
        <v>Setubinha20244.8</v>
      </c>
      <c r="B3178">
        <v>3165552</v>
      </c>
      <c r="C3178" t="s">
        <v>60</v>
      </c>
      <c r="D3178">
        <v>2024</v>
      </c>
      <c r="E3178">
        <v>6</v>
      </c>
      <c r="F3178">
        <v>56</v>
      </c>
      <c r="G3178" t="s">
        <v>37</v>
      </c>
      <c r="H3178" t="s">
        <v>29</v>
      </c>
      <c r="I3178" s="1" t="s">
        <v>38</v>
      </c>
      <c r="J3178">
        <v>23409.16</v>
      </c>
    </row>
    <row r="3179" spans="1:10" hidden="1" x14ac:dyDescent="0.35">
      <c r="A3179" t="str">
        <f t="shared" si="49"/>
        <v>Setubinha20244.9</v>
      </c>
      <c r="B3179">
        <v>3165552</v>
      </c>
      <c r="C3179" t="s">
        <v>60</v>
      </c>
      <c r="D3179">
        <v>2024</v>
      </c>
      <c r="E3179">
        <v>6</v>
      </c>
      <c r="F3179">
        <v>57</v>
      </c>
      <c r="G3179" t="s">
        <v>39</v>
      </c>
      <c r="H3179" t="s">
        <v>29</v>
      </c>
      <c r="I3179" s="1" t="s">
        <v>40</v>
      </c>
      <c r="J3179">
        <v>23409.16</v>
      </c>
    </row>
    <row r="3180" spans="1:10" hidden="1" x14ac:dyDescent="0.35">
      <c r="A3180" t="str">
        <f t="shared" si="49"/>
        <v>Teófilo Otoni20241.1</v>
      </c>
      <c r="B3180">
        <v>3168606</v>
      </c>
      <c r="C3180" t="s">
        <v>61</v>
      </c>
      <c r="D3180">
        <v>2024</v>
      </c>
      <c r="E3180">
        <v>6</v>
      </c>
      <c r="F3180">
        <v>24</v>
      </c>
      <c r="G3180" t="s">
        <v>10</v>
      </c>
      <c r="H3180" t="s">
        <v>11</v>
      </c>
      <c r="I3180" s="1" t="s">
        <v>12</v>
      </c>
      <c r="J3180">
        <v>0.23480000000000001</v>
      </c>
    </row>
    <row r="3181" spans="1:10" hidden="1" x14ac:dyDescent="0.35">
      <c r="A3181" t="str">
        <f t="shared" si="49"/>
        <v>Teófilo Otoni20241.2</v>
      </c>
      <c r="B3181">
        <v>3168606</v>
      </c>
      <c r="C3181" t="s">
        <v>61</v>
      </c>
      <c r="D3181">
        <v>2024</v>
      </c>
      <c r="E3181">
        <v>6</v>
      </c>
      <c r="F3181">
        <v>67</v>
      </c>
      <c r="G3181" t="s">
        <v>13</v>
      </c>
      <c r="H3181" t="s">
        <v>11</v>
      </c>
      <c r="I3181" s="1" t="s">
        <v>14</v>
      </c>
      <c r="J3181">
        <v>0.87890000000000001</v>
      </c>
    </row>
    <row r="3182" spans="1:10" hidden="1" x14ac:dyDescent="0.35">
      <c r="A3182" t="str">
        <f t="shared" si="49"/>
        <v>Teófilo Otoni20241.3</v>
      </c>
      <c r="B3182">
        <v>3168606</v>
      </c>
      <c r="C3182" t="s">
        <v>61</v>
      </c>
      <c r="D3182">
        <v>2024</v>
      </c>
      <c r="E3182">
        <v>6</v>
      </c>
      <c r="F3182">
        <v>68</v>
      </c>
      <c r="G3182" t="s">
        <v>15</v>
      </c>
      <c r="H3182" t="s">
        <v>11</v>
      </c>
      <c r="I3182" s="1" t="s">
        <v>16</v>
      </c>
      <c r="J3182">
        <v>0.1113</v>
      </c>
    </row>
    <row r="3183" spans="1:10" hidden="1" x14ac:dyDescent="0.35">
      <c r="A3183" t="str">
        <f t="shared" si="49"/>
        <v>Teófilo Otoni20242.1</v>
      </c>
      <c r="B3183">
        <v>3168606</v>
      </c>
      <c r="C3183" t="s">
        <v>61</v>
      </c>
      <c r="D3183">
        <v>2024</v>
      </c>
      <c r="E3183">
        <v>6</v>
      </c>
      <c r="F3183">
        <v>28</v>
      </c>
      <c r="G3183" t="s">
        <v>17</v>
      </c>
      <c r="H3183" t="s">
        <v>18</v>
      </c>
      <c r="I3183" s="1" t="s">
        <v>19</v>
      </c>
      <c r="J3183">
        <v>0.44829999999999998</v>
      </c>
    </row>
    <row r="3184" spans="1:10" hidden="1" x14ac:dyDescent="0.35">
      <c r="A3184" t="str">
        <f t="shared" si="49"/>
        <v>Teófilo Otoni20242.2</v>
      </c>
      <c r="B3184">
        <v>3168606</v>
      </c>
      <c r="C3184" t="s">
        <v>61</v>
      </c>
      <c r="D3184">
        <v>2024</v>
      </c>
      <c r="E3184">
        <v>6</v>
      </c>
      <c r="F3184">
        <v>29</v>
      </c>
      <c r="G3184" t="s">
        <v>20</v>
      </c>
      <c r="H3184" t="s">
        <v>18</v>
      </c>
      <c r="I3184" s="1" t="s">
        <v>21</v>
      </c>
      <c r="J3184">
        <v>0.48799999999999999</v>
      </c>
    </row>
    <row r="3185" spans="1:10" hidden="1" x14ac:dyDescent="0.35">
      <c r="A3185" t="str">
        <f t="shared" si="49"/>
        <v>Teófilo Otoni20242.4</v>
      </c>
      <c r="B3185">
        <v>3168606</v>
      </c>
      <c r="C3185" t="s">
        <v>61</v>
      </c>
      <c r="D3185">
        <v>2024</v>
      </c>
      <c r="E3185">
        <v>6</v>
      </c>
      <c r="F3185">
        <v>31</v>
      </c>
      <c r="G3185" t="s">
        <v>22</v>
      </c>
      <c r="H3185" t="s">
        <v>18</v>
      </c>
      <c r="I3185" s="1" t="s">
        <v>23</v>
      </c>
      <c r="J3185">
        <v>0.33279999999999998</v>
      </c>
    </row>
    <row r="3186" spans="1:10" hidden="1" x14ac:dyDescent="0.35">
      <c r="A3186" t="str">
        <f t="shared" si="49"/>
        <v>Teófilo Otoni20242.5</v>
      </c>
      <c r="B3186">
        <v>3168606</v>
      </c>
      <c r="C3186" t="s">
        <v>61</v>
      </c>
      <c r="D3186">
        <v>2024</v>
      </c>
      <c r="E3186">
        <v>6</v>
      </c>
      <c r="F3186">
        <v>32</v>
      </c>
      <c r="G3186" t="s">
        <v>24</v>
      </c>
      <c r="H3186" t="s">
        <v>18</v>
      </c>
      <c r="I3186" s="1" t="s">
        <v>25</v>
      </c>
      <c r="J3186">
        <v>0.49370000000000003</v>
      </c>
    </row>
    <row r="3187" spans="1:10" hidden="1" x14ac:dyDescent="0.35">
      <c r="A3187" t="str">
        <f t="shared" si="49"/>
        <v>Teófilo Otoni20242.8</v>
      </c>
      <c r="B3187">
        <v>3168606</v>
      </c>
      <c r="C3187" t="s">
        <v>61</v>
      </c>
      <c r="D3187">
        <v>2024</v>
      </c>
      <c r="E3187">
        <v>6</v>
      </c>
      <c r="F3187">
        <v>35</v>
      </c>
      <c r="G3187" t="s">
        <v>26</v>
      </c>
      <c r="H3187" t="s">
        <v>18</v>
      </c>
      <c r="I3187" s="1" t="s">
        <v>27</v>
      </c>
      <c r="J3187">
        <v>0.14699999999999999</v>
      </c>
    </row>
    <row r="3188" spans="1:10" hidden="1" x14ac:dyDescent="0.35">
      <c r="A3188" t="str">
        <f t="shared" si="49"/>
        <v>Teófilo Otoni20244.1</v>
      </c>
      <c r="B3188">
        <v>3168606</v>
      </c>
      <c r="C3188" t="s">
        <v>61</v>
      </c>
      <c r="D3188">
        <v>2024</v>
      </c>
      <c r="E3188">
        <v>6</v>
      </c>
      <c r="F3188">
        <v>44</v>
      </c>
      <c r="G3188" t="s">
        <v>28</v>
      </c>
      <c r="H3188" t="s">
        <v>29</v>
      </c>
      <c r="I3188" s="1" t="s">
        <v>30</v>
      </c>
      <c r="J3188">
        <v>9998.19</v>
      </c>
    </row>
    <row r="3189" spans="1:10" hidden="1" x14ac:dyDescent="0.35">
      <c r="A3189" t="str">
        <f t="shared" si="49"/>
        <v>Teófilo Otoni20244.10</v>
      </c>
      <c r="B3189">
        <v>3168606</v>
      </c>
      <c r="C3189" t="s">
        <v>61</v>
      </c>
      <c r="D3189">
        <v>2024</v>
      </c>
      <c r="E3189">
        <v>6</v>
      </c>
      <c r="F3189">
        <v>58</v>
      </c>
      <c r="G3189" t="s">
        <v>31</v>
      </c>
      <c r="H3189" t="s">
        <v>29</v>
      </c>
      <c r="I3189" s="1" t="s">
        <v>32</v>
      </c>
      <c r="J3189">
        <v>6730.72</v>
      </c>
    </row>
    <row r="3190" spans="1:10" hidden="1" x14ac:dyDescent="0.35">
      <c r="A3190" t="str">
        <f t="shared" si="49"/>
        <v>Teófilo Otoni20244.11</v>
      </c>
      <c r="B3190">
        <v>3168606</v>
      </c>
      <c r="C3190" t="s">
        <v>61</v>
      </c>
      <c r="D3190">
        <v>2024</v>
      </c>
      <c r="E3190">
        <v>6</v>
      </c>
      <c r="F3190">
        <v>59</v>
      </c>
      <c r="G3190" t="s">
        <v>33</v>
      </c>
      <c r="H3190" t="s">
        <v>29</v>
      </c>
      <c r="I3190" s="1" t="s">
        <v>34</v>
      </c>
      <c r="J3190">
        <v>211.83</v>
      </c>
    </row>
    <row r="3191" spans="1:10" hidden="1" x14ac:dyDescent="0.35">
      <c r="A3191" t="str">
        <f t="shared" si="49"/>
        <v>Teófilo Otoni20244.2</v>
      </c>
      <c r="B3191">
        <v>3168606</v>
      </c>
      <c r="C3191" t="s">
        <v>61</v>
      </c>
      <c r="D3191">
        <v>2024</v>
      </c>
      <c r="E3191">
        <v>6</v>
      </c>
      <c r="F3191">
        <v>45</v>
      </c>
      <c r="G3191" t="s">
        <v>35</v>
      </c>
      <c r="H3191" t="s">
        <v>29</v>
      </c>
      <c r="I3191" s="1" t="s">
        <v>36</v>
      </c>
      <c r="J3191">
        <v>12768.34</v>
      </c>
    </row>
    <row r="3192" spans="1:10" hidden="1" x14ac:dyDescent="0.35">
      <c r="A3192" t="str">
        <f t="shared" si="49"/>
        <v>Teófilo Otoni20244.8</v>
      </c>
      <c r="B3192">
        <v>3168606</v>
      </c>
      <c r="C3192" t="s">
        <v>61</v>
      </c>
      <c r="D3192">
        <v>2024</v>
      </c>
      <c r="E3192">
        <v>6</v>
      </c>
      <c r="F3192">
        <v>56</v>
      </c>
      <c r="G3192" t="s">
        <v>37</v>
      </c>
      <c r="H3192" t="s">
        <v>29</v>
      </c>
      <c r="I3192" s="1" t="s">
        <v>38</v>
      </c>
      <c r="J3192">
        <v>13527.24</v>
      </c>
    </row>
    <row r="3193" spans="1:10" hidden="1" x14ac:dyDescent="0.35">
      <c r="A3193" t="str">
        <f t="shared" si="49"/>
        <v>Teófilo Otoni20244.9</v>
      </c>
      <c r="B3193">
        <v>3168606</v>
      </c>
      <c r="C3193" t="s">
        <v>61</v>
      </c>
      <c r="D3193">
        <v>2024</v>
      </c>
      <c r="E3193">
        <v>6</v>
      </c>
      <c r="F3193">
        <v>57</v>
      </c>
      <c r="G3193" t="s">
        <v>39</v>
      </c>
      <c r="H3193" t="s">
        <v>29</v>
      </c>
      <c r="I3193" s="1" t="s">
        <v>40</v>
      </c>
      <c r="J3193">
        <v>13527.24</v>
      </c>
    </row>
    <row r="3194" spans="1:10" hidden="1" x14ac:dyDescent="0.35">
      <c r="A3194" t="str">
        <f t="shared" si="49"/>
        <v>Umburatiba20241.1</v>
      </c>
      <c r="B3194">
        <v>3170305</v>
      </c>
      <c r="C3194" t="s">
        <v>62</v>
      </c>
      <c r="D3194">
        <v>2024</v>
      </c>
      <c r="E3194">
        <v>6</v>
      </c>
      <c r="F3194">
        <v>24</v>
      </c>
      <c r="G3194" t="s">
        <v>10</v>
      </c>
      <c r="H3194" t="s">
        <v>11</v>
      </c>
      <c r="I3194" s="1" t="s">
        <v>12</v>
      </c>
      <c r="J3194">
        <v>0.2878</v>
      </c>
    </row>
    <row r="3195" spans="1:10" hidden="1" x14ac:dyDescent="0.35">
      <c r="A3195" t="str">
        <f t="shared" si="49"/>
        <v>Umburatiba20241.2</v>
      </c>
      <c r="B3195">
        <v>3170305</v>
      </c>
      <c r="C3195" t="s">
        <v>62</v>
      </c>
      <c r="D3195">
        <v>2024</v>
      </c>
      <c r="E3195">
        <v>6</v>
      </c>
      <c r="F3195">
        <v>67</v>
      </c>
      <c r="G3195" t="s">
        <v>13</v>
      </c>
      <c r="H3195" t="s">
        <v>11</v>
      </c>
      <c r="I3195" s="1" t="s">
        <v>14</v>
      </c>
      <c r="J3195">
        <v>0.93769999999999998</v>
      </c>
    </row>
    <row r="3196" spans="1:10" hidden="1" x14ac:dyDescent="0.35">
      <c r="A3196" t="str">
        <f t="shared" si="49"/>
        <v>Umburatiba20241.3</v>
      </c>
      <c r="B3196">
        <v>3170305</v>
      </c>
      <c r="C3196" t="s">
        <v>62</v>
      </c>
      <c r="D3196">
        <v>2024</v>
      </c>
      <c r="E3196">
        <v>6</v>
      </c>
      <c r="F3196">
        <v>68</v>
      </c>
      <c r="G3196" t="s">
        <v>15</v>
      </c>
      <c r="H3196" t="s">
        <v>11</v>
      </c>
      <c r="I3196" s="1" t="s">
        <v>16</v>
      </c>
      <c r="J3196">
        <v>1.8499999999999999E-2</v>
      </c>
    </row>
    <row r="3197" spans="1:10" hidden="1" x14ac:dyDescent="0.35">
      <c r="A3197" t="str">
        <f t="shared" si="49"/>
        <v>Umburatiba20242.1</v>
      </c>
      <c r="B3197">
        <v>3170305</v>
      </c>
      <c r="C3197" t="s">
        <v>62</v>
      </c>
      <c r="D3197">
        <v>2024</v>
      </c>
      <c r="E3197">
        <v>6</v>
      </c>
      <c r="F3197">
        <v>28</v>
      </c>
      <c r="G3197" t="s">
        <v>17</v>
      </c>
      <c r="H3197" t="s">
        <v>18</v>
      </c>
      <c r="I3197" s="1" t="s">
        <v>19</v>
      </c>
      <c r="J3197">
        <v>0.15310000000000001</v>
      </c>
    </row>
    <row r="3198" spans="1:10" hidden="1" x14ac:dyDescent="0.35">
      <c r="A3198" t="str">
        <f t="shared" si="49"/>
        <v>Umburatiba20242.2</v>
      </c>
      <c r="B3198">
        <v>3170305</v>
      </c>
      <c r="C3198" t="s">
        <v>62</v>
      </c>
      <c r="D3198">
        <v>2024</v>
      </c>
      <c r="E3198">
        <v>6</v>
      </c>
      <c r="F3198">
        <v>29</v>
      </c>
      <c r="G3198" t="s">
        <v>20</v>
      </c>
      <c r="H3198" t="s">
        <v>18</v>
      </c>
      <c r="I3198" s="1" t="s">
        <v>21</v>
      </c>
      <c r="J3198">
        <v>0.78459999999999996</v>
      </c>
    </row>
    <row r="3199" spans="1:10" hidden="1" x14ac:dyDescent="0.35">
      <c r="A3199" t="str">
        <f t="shared" si="49"/>
        <v>Umburatiba20242.4</v>
      </c>
      <c r="B3199">
        <v>3170305</v>
      </c>
      <c r="C3199" t="s">
        <v>62</v>
      </c>
      <c r="D3199">
        <v>2024</v>
      </c>
      <c r="E3199">
        <v>6</v>
      </c>
      <c r="F3199">
        <v>31</v>
      </c>
      <c r="G3199" t="s">
        <v>22</v>
      </c>
      <c r="H3199" t="s">
        <v>18</v>
      </c>
      <c r="I3199" s="1" t="s">
        <v>23</v>
      </c>
      <c r="J3199">
        <v>5.6399999999999999E-2</v>
      </c>
    </row>
    <row r="3200" spans="1:10" hidden="1" x14ac:dyDescent="0.35">
      <c r="A3200" t="str">
        <f t="shared" si="49"/>
        <v>Umburatiba20242.5</v>
      </c>
      <c r="B3200">
        <v>3170305</v>
      </c>
      <c r="C3200" t="s">
        <v>62</v>
      </c>
      <c r="D3200">
        <v>2024</v>
      </c>
      <c r="E3200">
        <v>6</v>
      </c>
      <c r="F3200">
        <v>32</v>
      </c>
      <c r="G3200" t="s">
        <v>24</v>
      </c>
      <c r="H3200" t="s">
        <v>18</v>
      </c>
      <c r="I3200" s="1" t="s">
        <v>25</v>
      </c>
      <c r="J3200">
        <v>0.71260000000000001</v>
      </c>
    </row>
    <row r="3201" spans="1:10" hidden="1" x14ac:dyDescent="0.35">
      <c r="A3201" t="str">
        <f t="shared" si="49"/>
        <v>Umburatiba20242.8</v>
      </c>
      <c r="B3201">
        <v>3170305</v>
      </c>
      <c r="C3201" t="s">
        <v>62</v>
      </c>
      <c r="D3201">
        <v>2024</v>
      </c>
      <c r="E3201">
        <v>6</v>
      </c>
      <c r="F3201">
        <v>35</v>
      </c>
      <c r="G3201" t="s">
        <v>26</v>
      </c>
      <c r="H3201" t="s">
        <v>18</v>
      </c>
      <c r="I3201" s="1" t="s">
        <v>27</v>
      </c>
      <c r="J3201">
        <v>0.21049999999999999</v>
      </c>
    </row>
    <row r="3202" spans="1:10" hidden="1" x14ac:dyDescent="0.35">
      <c r="A3202" t="str">
        <f t="shared" si="49"/>
        <v>Umburatiba20244.1</v>
      </c>
      <c r="B3202">
        <v>3170305</v>
      </c>
      <c r="C3202" t="s">
        <v>62</v>
      </c>
      <c r="D3202">
        <v>2024</v>
      </c>
      <c r="E3202">
        <v>6</v>
      </c>
      <c r="F3202">
        <v>44</v>
      </c>
      <c r="G3202" t="s">
        <v>28</v>
      </c>
      <c r="H3202" t="s">
        <v>29</v>
      </c>
      <c r="I3202" s="1" t="s">
        <v>30</v>
      </c>
      <c r="J3202">
        <v>4645.91</v>
      </c>
    </row>
    <row r="3203" spans="1:10" hidden="1" x14ac:dyDescent="0.35">
      <c r="A3203" t="str">
        <f t="shared" si="49"/>
        <v>Umburatiba20244.10</v>
      </c>
      <c r="B3203">
        <v>3170305</v>
      </c>
      <c r="C3203" t="s">
        <v>62</v>
      </c>
      <c r="D3203">
        <v>2024</v>
      </c>
      <c r="E3203">
        <v>6</v>
      </c>
      <c r="F3203">
        <v>58</v>
      </c>
      <c r="G3203" t="s">
        <v>31</v>
      </c>
      <c r="H3203" t="s">
        <v>29</v>
      </c>
      <c r="I3203" s="1" t="s">
        <v>32</v>
      </c>
      <c r="J3203">
        <v>6799.87</v>
      </c>
    </row>
    <row r="3204" spans="1:10" hidden="1" x14ac:dyDescent="0.35">
      <c r="A3204" t="str">
        <f>C3204&amp;D3204&amp;G3204</f>
        <v>Umburatiba20244.11</v>
      </c>
      <c r="B3204">
        <v>3170305</v>
      </c>
      <c r="C3204" t="s">
        <v>62</v>
      </c>
      <c r="D3204">
        <v>2024</v>
      </c>
      <c r="E3204">
        <v>6</v>
      </c>
      <c r="F3204">
        <v>59</v>
      </c>
      <c r="G3204" t="s">
        <v>33</v>
      </c>
      <c r="H3204" t="s">
        <v>29</v>
      </c>
      <c r="I3204" s="1" t="s">
        <v>34</v>
      </c>
    </row>
    <row r="3205" spans="1:10" hidden="1" x14ac:dyDescent="0.35">
      <c r="A3205" t="str">
        <f>C3205&amp;D3205&amp;G3205</f>
        <v>Umburatiba20244.2</v>
      </c>
      <c r="B3205">
        <v>3170305</v>
      </c>
      <c r="C3205" t="s">
        <v>62</v>
      </c>
      <c r="D3205">
        <v>2024</v>
      </c>
      <c r="E3205">
        <v>6</v>
      </c>
      <c r="F3205">
        <v>45</v>
      </c>
      <c r="G3205" t="s">
        <v>35</v>
      </c>
      <c r="H3205" t="s">
        <v>29</v>
      </c>
      <c r="I3205" s="1" t="s">
        <v>36</v>
      </c>
      <c r="J3205">
        <v>19156.93</v>
      </c>
    </row>
    <row r="3206" spans="1:10" hidden="1" x14ac:dyDescent="0.35">
      <c r="A3206" t="str">
        <f>C3206&amp;D3206&amp;G3206</f>
        <v>Umburatiba20244.8</v>
      </c>
      <c r="B3206">
        <v>3170305</v>
      </c>
      <c r="C3206" t="s">
        <v>62</v>
      </c>
      <c r="D3206">
        <v>2024</v>
      </c>
      <c r="E3206">
        <v>6</v>
      </c>
      <c r="F3206">
        <v>56</v>
      </c>
      <c r="G3206" t="s">
        <v>37</v>
      </c>
      <c r="H3206" t="s">
        <v>29</v>
      </c>
      <c r="I3206" s="1" t="s">
        <v>38</v>
      </c>
      <c r="J3206">
        <v>20266.849999999999</v>
      </c>
    </row>
    <row r="3207" spans="1:10" hidden="1" x14ac:dyDescent="0.35">
      <c r="A3207" t="str">
        <f>C3207&amp;D3207&amp;G3207</f>
        <v>Umburatiba20244.9</v>
      </c>
      <c r="B3207">
        <v>3170305</v>
      </c>
      <c r="C3207" t="s">
        <v>62</v>
      </c>
      <c r="D3207">
        <v>2024</v>
      </c>
      <c r="E3207">
        <v>6</v>
      </c>
      <c r="F3207">
        <v>57</v>
      </c>
      <c r="G3207" t="s">
        <v>39</v>
      </c>
      <c r="H3207" t="s">
        <v>29</v>
      </c>
      <c r="I3207" s="1" t="s">
        <v>40</v>
      </c>
      <c r="J3207">
        <v>20266.849999999999</v>
      </c>
    </row>
  </sheetData>
  <autoFilter ref="A2:J3207" xr:uid="{77E647D0-A34C-4FC4-8D0E-7E191AC98DAE}">
    <filterColumn colId="2">
      <filters>
        <filter val="Águas Formosas"/>
        <filter val="Ataléia"/>
        <filter val="Carlos Chagas"/>
        <filter val="Frei Gaspar"/>
        <filter val="Fronteira dos Vales"/>
        <filter val="Itaipé"/>
        <filter val="Malacacheta"/>
        <filter val="Nanuque"/>
        <filter val="Novo Oriente de Minas"/>
        <filter val="Poté"/>
        <filter val="Santa Helena de Minas"/>
        <filter val="Teófilo Otoni"/>
        <filter val="Umburatiba"/>
      </filters>
    </filterColumn>
    <filterColumn colId="3">
      <filters>
        <filter val="2017"/>
      </filters>
    </filterColumn>
    <filterColumn colId="8">
      <filters>
        <filter val="4.2 - Investimento educacional por aluno do ensino fundamental"/>
      </filters>
    </filterColumn>
  </autoFilter>
  <mergeCells count="1">
    <mergeCell ref="B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9089-FA94-4321-815A-0F5C27FA8ACA}">
  <sheetPr filterMode="1"/>
  <dimension ref="A1:EK26"/>
  <sheetViews>
    <sheetView zoomScale="90" zoomScaleNormal="90" workbookViewId="0">
      <selection activeCell="B2" sqref="B2:K2"/>
    </sheetView>
  </sheetViews>
  <sheetFormatPr defaultRowHeight="14.5" x14ac:dyDescent="0.35"/>
  <cols>
    <col min="1" max="1" width="19.26953125" bestFit="1" customWidth="1"/>
    <col min="2" max="2" width="5" bestFit="1" customWidth="1"/>
    <col min="3" max="98" width="4.81640625" bestFit="1" customWidth="1"/>
    <col min="99" max="101" width="4.90625" customWidth="1"/>
    <col min="102" max="110" width="4.81640625" bestFit="1" customWidth="1"/>
    <col min="111" max="111" width="9" bestFit="1" customWidth="1"/>
    <col min="112" max="120" width="4.81640625" bestFit="1" customWidth="1"/>
    <col min="121" max="121" width="9" bestFit="1" customWidth="1"/>
    <col min="122" max="141" width="4.81640625" bestFit="1" customWidth="1"/>
  </cols>
  <sheetData>
    <row r="1" spans="1:141" x14ac:dyDescent="0.35">
      <c r="B1" t="s">
        <v>10</v>
      </c>
      <c r="C1" t="s">
        <v>10</v>
      </c>
      <c r="D1" t="s">
        <v>10</v>
      </c>
      <c r="E1" t="s">
        <v>10</v>
      </c>
      <c r="F1" t="s">
        <v>10</v>
      </c>
      <c r="G1" t="s">
        <v>10</v>
      </c>
      <c r="H1" t="s">
        <v>10</v>
      </c>
      <c r="I1" t="s">
        <v>10</v>
      </c>
      <c r="J1" t="s">
        <v>10</v>
      </c>
      <c r="K1" t="s">
        <v>10</v>
      </c>
      <c r="L1" t="s">
        <v>13</v>
      </c>
      <c r="M1" t="s">
        <v>13</v>
      </c>
      <c r="N1" t="s">
        <v>13</v>
      </c>
      <c r="O1" t="s">
        <v>13</v>
      </c>
      <c r="P1" t="s">
        <v>13</v>
      </c>
      <c r="Q1" t="s">
        <v>13</v>
      </c>
      <c r="R1" t="s">
        <v>13</v>
      </c>
      <c r="S1" t="s">
        <v>13</v>
      </c>
      <c r="T1" t="s">
        <v>13</v>
      </c>
      <c r="U1" t="s">
        <v>13</v>
      </c>
      <c r="V1" t="s">
        <v>15</v>
      </c>
      <c r="W1" t="s">
        <v>15</v>
      </c>
      <c r="X1" t="s">
        <v>15</v>
      </c>
      <c r="Y1" t="s">
        <v>15</v>
      </c>
      <c r="Z1" t="s">
        <v>15</v>
      </c>
      <c r="AA1" t="s">
        <v>15</v>
      </c>
      <c r="AB1" t="s">
        <v>15</v>
      </c>
      <c r="AC1" t="s">
        <v>15</v>
      </c>
      <c r="AD1" t="s">
        <v>15</v>
      </c>
      <c r="AE1" t="s">
        <v>15</v>
      </c>
      <c r="AF1" t="s">
        <v>17</v>
      </c>
      <c r="AG1" t="s">
        <v>17</v>
      </c>
      <c r="AH1" t="s">
        <v>17</v>
      </c>
      <c r="AI1" t="s">
        <v>17</v>
      </c>
      <c r="AJ1" t="s">
        <v>17</v>
      </c>
      <c r="AK1" t="s">
        <v>17</v>
      </c>
      <c r="AL1" t="s">
        <v>17</v>
      </c>
      <c r="AM1" t="s">
        <v>17</v>
      </c>
      <c r="AN1" t="s">
        <v>17</v>
      </c>
      <c r="AO1" t="s">
        <v>17</v>
      </c>
      <c r="AP1" t="s">
        <v>20</v>
      </c>
      <c r="AQ1" t="s">
        <v>20</v>
      </c>
      <c r="AR1" t="s">
        <v>20</v>
      </c>
      <c r="AS1" t="s">
        <v>20</v>
      </c>
      <c r="AT1" t="s">
        <v>20</v>
      </c>
      <c r="AU1" t="s">
        <v>20</v>
      </c>
      <c r="AV1" t="s">
        <v>20</v>
      </c>
      <c r="AW1" t="s">
        <v>20</v>
      </c>
      <c r="AX1" t="s">
        <v>20</v>
      </c>
      <c r="AY1" t="s">
        <v>20</v>
      </c>
      <c r="AZ1" t="s">
        <v>22</v>
      </c>
      <c r="BA1" t="s">
        <v>22</v>
      </c>
      <c r="BB1" t="s">
        <v>22</v>
      </c>
      <c r="BC1" t="s">
        <v>22</v>
      </c>
      <c r="BD1" t="s">
        <v>22</v>
      </c>
      <c r="BE1" t="s">
        <v>22</v>
      </c>
      <c r="BF1" t="s">
        <v>22</v>
      </c>
      <c r="BG1" t="s">
        <v>22</v>
      </c>
      <c r="BH1" t="s">
        <v>22</v>
      </c>
      <c r="BI1" t="s">
        <v>22</v>
      </c>
      <c r="BJ1" t="s">
        <v>24</v>
      </c>
      <c r="BK1" t="s">
        <v>24</v>
      </c>
      <c r="BL1" t="s">
        <v>24</v>
      </c>
      <c r="BM1" t="s">
        <v>24</v>
      </c>
      <c r="BN1" t="s">
        <v>24</v>
      </c>
      <c r="BO1" t="s">
        <v>24</v>
      </c>
      <c r="BP1" t="s">
        <v>24</v>
      </c>
      <c r="BQ1" t="s">
        <v>24</v>
      </c>
      <c r="BR1" t="s">
        <v>24</v>
      </c>
      <c r="BS1" t="s">
        <v>24</v>
      </c>
      <c r="BT1" t="s">
        <v>26</v>
      </c>
      <c r="BU1" t="s">
        <v>26</v>
      </c>
      <c r="BV1" t="s">
        <v>26</v>
      </c>
      <c r="BW1" t="s">
        <v>26</v>
      </c>
      <c r="BX1" t="s">
        <v>26</v>
      </c>
      <c r="BY1" t="s">
        <v>26</v>
      </c>
      <c r="BZ1" t="s">
        <v>26</v>
      </c>
      <c r="CA1" t="s">
        <v>26</v>
      </c>
      <c r="CB1" t="s">
        <v>26</v>
      </c>
      <c r="CC1" t="s">
        <v>26</v>
      </c>
      <c r="CD1" t="s">
        <v>28</v>
      </c>
      <c r="CE1" t="s">
        <v>28</v>
      </c>
      <c r="CF1" t="s">
        <v>28</v>
      </c>
      <c r="CG1" t="s">
        <v>28</v>
      </c>
      <c r="CH1" t="s">
        <v>28</v>
      </c>
      <c r="CI1" t="s">
        <v>28</v>
      </c>
      <c r="CJ1" t="s">
        <v>28</v>
      </c>
      <c r="CK1" t="s">
        <v>28</v>
      </c>
      <c r="CL1" t="s">
        <v>28</v>
      </c>
      <c r="CM1" t="s">
        <v>28</v>
      </c>
      <c r="CN1" t="s">
        <v>35</v>
      </c>
      <c r="CO1" t="s">
        <v>35</v>
      </c>
      <c r="CP1" t="s">
        <v>35</v>
      </c>
      <c r="CQ1" t="s">
        <v>35</v>
      </c>
      <c r="CR1" t="s">
        <v>35</v>
      </c>
      <c r="CS1" t="s">
        <v>35</v>
      </c>
      <c r="CT1" t="s">
        <v>35</v>
      </c>
      <c r="CU1" t="s">
        <v>35</v>
      </c>
      <c r="CV1" t="s">
        <v>35</v>
      </c>
      <c r="CW1" t="s">
        <v>35</v>
      </c>
      <c r="CX1" t="s">
        <v>37</v>
      </c>
      <c r="CY1" t="s">
        <v>37</v>
      </c>
      <c r="CZ1" t="s">
        <v>37</v>
      </c>
      <c r="DA1" t="s">
        <v>37</v>
      </c>
      <c r="DB1" t="s">
        <v>37</v>
      </c>
      <c r="DC1" t="s">
        <v>37</v>
      </c>
      <c r="DD1" t="s">
        <v>37</v>
      </c>
      <c r="DE1" t="s">
        <v>37</v>
      </c>
      <c r="DF1" t="s">
        <v>37</v>
      </c>
      <c r="DG1" t="s">
        <v>37</v>
      </c>
      <c r="DH1" t="s">
        <v>39</v>
      </c>
      <c r="DI1" t="s">
        <v>39</v>
      </c>
      <c r="DJ1" t="s">
        <v>39</v>
      </c>
      <c r="DK1" t="s">
        <v>39</v>
      </c>
      <c r="DL1" t="s">
        <v>39</v>
      </c>
      <c r="DM1" t="s">
        <v>39</v>
      </c>
      <c r="DN1" t="s">
        <v>39</v>
      </c>
      <c r="DO1" t="s">
        <v>39</v>
      </c>
      <c r="DP1" t="s">
        <v>39</v>
      </c>
      <c r="DQ1" t="s">
        <v>39</v>
      </c>
      <c r="DR1" t="s">
        <v>31</v>
      </c>
      <c r="DS1" t="s">
        <v>31</v>
      </c>
      <c r="DT1" t="s">
        <v>31</v>
      </c>
      <c r="DU1" t="s">
        <v>31</v>
      </c>
      <c r="DV1" t="s">
        <v>31</v>
      </c>
      <c r="DW1" t="s">
        <v>31</v>
      </c>
      <c r="DX1" t="s">
        <v>31</v>
      </c>
      <c r="DY1" t="s">
        <v>31</v>
      </c>
      <c r="DZ1" t="s">
        <v>31</v>
      </c>
      <c r="EA1" t="s">
        <v>31</v>
      </c>
      <c r="EB1" t="s">
        <v>33</v>
      </c>
      <c r="EC1" t="s">
        <v>33</v>
      </c>
      <c r="ED1" t="s">
        <v>33</v>
      </c>
      <c r="EE1" t="s">
        <v>33</v>
      </c>
      <c r="EF1" t="s">
        <v>33</v>
      </c>
      <c r="EG1" t="s">
        <v>33</v>
      </c>
      <c r="EH1" t="s">
        <v>33</v>
      </c>
      <c r="EI1" t="s">
        <v>33</v>
      </c>
      <c r="EJ1" t="s">
        <v>33</v>
      </c>
      <c r="EK1" t="s">
        <v>33</v>
      </c>
    </row>
    <row r="2" spans="1:141" x14ac:dyDescent="0.35">
      <c r="B2" s="15" t="s">
        <v>12</v>
      </c>
      <c r="C2" s="15"/>
      <c r="D2" s="15"/>
      <c r="E2" s="15"/>
      <c r="F2" s="15"/>
      <c r="G2" s="15"/>
      <c r="H2" s="15"/>
      <c r="I2" s="15"/>
      <c r="J2" s="15"/>
      <c r="K2" s="15"/>
      <c r="L2" s="16" t="s">
        <v>14</v>
      </c>
      <c r="M2" s="16"/>
      <c r="N2" s="16"/>
      <c r="O2" s="16"/>
      <c r="P2" s="16"/>
      <c r="Q2" s="16"/>
      <c r="R2" s="16"/>
      <c r="S2" s="16"/>
      <c r="T2" s="16"/>
      <c r="U2" s="16"/>
      <c r="V2" s="17" t="s">
        <v>16</v>
      </c>
      <c r="W2" s="17"/>
      <c r="X2" s="17"/>
      <c r="Y2" s="17"/>
      <c r="Z2" s="17"/>
      <c r="AA2" s="17"/>
      <c r="AB2" s="17"/>
      <c r="AC2" s="17"/>
      <c r="AD2" s="17"/>
      <c r="AE2" s="17"/>
      <c r="AF2" s="14" t="s">
        <v>19</v>
      </c>
      <c r="AG2" s="14"/>
      <c r="AH2" s="14"/>
      <c r="AI2" s="14"/>
      <c r="AJ2" s="14"/>
      <c r="AK2" s="14"/>
      <c r="AL2" s="14"/>
      <c r="AM2" s="14"/>
      <c r="AN2" s="14"/>
      <c r="AO2" s="14"/>
      <c r="AP2" s="16" t="s">
        <v>21</v>
      </c>
      <c r="AQ2" s="16"/>
      <c r="AR2" s="16"/>
      <c r="AS2" s="16"/>
      <c r="AT2" s="16"/>
      <c r="AU2" s="16"/>
      <c r="AV2" s="16"/>
      <c r="AW2" s="16"/>
      <c r="AX2" s="16"/>
      <c r="AY2" s="16"/>
      <c r="AZ2" s="14" t="s">
        <v>23</v>
      </c>
      <c r="BA2" s="14"/>
      <c r="BB2" s="14"/>
      <c r="BC2" s="14"/>
      <c r="BD2" s="14"/>
      <c r="BE2" s="14"/>
      <c r="BF2" s="14"/>
      <c r="BG2" s="14"/>
      <c r="BH2" s="14"/>
      <c r="BI2" s="14"/>
      <c r="BJ2" s="13" t="s">
        <v>25</v>
      </c>
      <c r="BK2" s="13"/>
      <c r="BL2" s="13"/>
      <c r="BM2" s="13"/>
      <c r="BN2" s="13"/>
      <c r="BO2" s="13"/>
      <c r="BP2" s="13"/>
      <c r="BQ2" s="13"/>
      <c r="BR2" s="13"/>
      <c r="BS2" s="13"/>
      <c r="BT2" s="14" t="s">
        <v>27</v>
      </c>
      <c r="BU2" s="14"/>
      <c r="BV2" s="14"/>
      <c r="BW2" s="14"/>
      <c r="BX2" s="14"/>
      <c r="BY2" s="14"/>
      <c r="BZ2" s="14"/>
      <c r="CA2" s="14"/>
      <c r="CB2" s="14"/>
      <c r="CC2" s="14"/>
      <c r="CD2" s="15" t="s">
        <v>30</v>
      </c>
      <c r="CE2" s="15"/>
      <c r="CF2" s="15"/>
      <c r="CG2" s="15"/>
      <c r="CH2" s="15"/>
      <c r="CI2" s="15"/>
      <c r="CJ2" s="15"/>
      <c r="CK2" s="15"/>
      <c r="CL2" s="15"/>
      <c r="CM2" s="15"/>
      <c r="CN2" s="16" t="s">
        <v>36</v>
      </c>
      <c r="CO2" s="16"/>
      <c r="CP2" s="16"/>
      <c r="CQ2" s="16"/>
      <c r="CR2" s="16"/>
      <c r="CS2" s="16"/>
      <c r="CT2" s="16"/>
      <c r="CU2" s="16"/>
      <c r="CV2" s="16"/>
      <c r="CW2" s="16"/>
      <c r="CX2" s="15" t="s">
        <v>38</v>
      </c>
      <c r="CY2" s="15"/>
      <c r="CZ2" s="15"/>
      <c r="DA2" s="15"/>
      <c r="DB2" s="15"/>
      <c r="DC2" s="15"/>
      <c r="DD2" s="15"/>
      <c r="DE2" s="15"/>
      <c r="DF2" s="15"/>
      <c r="DG2" s="15"/>
      <c r="DH2" s="16" t="s">
        <v>40</v>
      </c>
      <c r="DI2" s="16"/>
      <c r="DJ2" s="16"/>
      <c r="DK2" s="16"/>
      <c r="DL2" s="16"/>
      <c r="DM2" s="16"/>
      <c r="DN2" s="16"/>
      <c r="DO2" s="16"/>
      <c r="DP2" s="16"/>
      <c r="DQ2" s="16"/>
      <c r="DR2" s="13" t="s">
        <v>32</v>
      </c>
      <c r="DS2" s="13"/>
      <c r="DT2" s="13"/>
      <c r="DU2" s="13"/>
      <c r="DV2" s="13"/>
      <c r="DW2" s="13"/>
      <c r="DX2" s="13"/>
      <c r="DY2" s="13"/>
      <c r="DZ2" s="13"/>
      <c r="EA2" s="13"/>
      <c r="EB2" s="14" t="s">
        <v>34</v>
      </c>
      <c r="EC2" s="14"/>
      <c r="ED2" s="14"/>
      <c r="EE2" s="14"/>
      <c r="EF2" s="14"/>
      <c r="EG2" s="14"/>
      <c r="EH2" s="14"/>
      <c r="EI2" s="14"/>
      <c r="EJ2" s="14"/>
      <c r="EK2" s="14"/>
    </row>
    <row r="3" spans="1:141" x14ac:dyDescent="0.35">
      <c r="A3" t="s">
        <v>64</v>
      </c>
      <c r="B3" s="2">
        <v>2015</v>
      </c>
      <c r="C3" s="2">
        <v>2016</v>
      </c>
      <c r="D3" s="2">
        <v>2017</v>
      </c>
      <c r="E3" s="2">
        <v>2018</v>
      </c>
      <c r="F3" s="2">
        <v>2019</v>
      </c>
      <c r="G3" s="2">
        <v>2020</v>
      </c>
      <c r="H3" s="2">
        <v>2021</v>
      </c>
      <c r="I3" s="2">
        <v>2022</v>
      </c>
      <c r="J3" s="2">
        <v>2023</v>
      </c>
      <c r="K3" s="2">
        <v>2024</v>
      </c>
      <c r="L3">
        <v>2015</v>
      </c>
      <c r="M3">
        <v>2016</v>
      </c>
      <c r="N3">
        <v>2017</v>
      </c>
      <c r="O3">
        <v>2018</v>
      </c>
      <c r="P3">
        <v>2019</v>
      </c>
      <c r="Q3">
        <v>2020</v>
      </c>
      <c r="R3">
        <v>2021</v>
      </c>
      <c r="S3">
        <v>2022</v>
      </c>
      <c r="T3">
        <v>2023</v>
      </c>
      <c r="U3">
        <v>2024</v>
      </c>
      <c r="V3" s="2">
        <v>2015</v>
      </c>
      <c r="W3" s="2">
        <v>2016</v>
      </c>
      <c r="X3" s="2">
        <v>2017</v>
      </c>
      <c r="Y3" s="2">
        <v>2018</v>
      </c>
      <c r="Z3" s="2">
        <v>2019</v>
      </c>
      <c r="AA3" s="2">
        <v>2020</v>
      </c>
      <c r="AB3" s="2">
        <v>2021</v>
      </c>
      <c r="AC3" s="2">
        <v>2022</v>
      </c>
      <c r="AD3" s="2">
        <v>2023</v>
      </c>
      <c r="AE3" s="2">
        <v>2024</v>
      </c>
      <c r="AF3">
        <v>2015</v>
      </c>
      <c r="AG3">
        <v>2016</v>
      </c>
      <c r="AH3">
        <v>2017</v>
      </c>
      <c r="AI3">
        <v>2018</v>
      </c>
      <c r="AJ3">
        <v>2019</v>
      </c>
      <c r="AK3">
        <v>2020</v>
      </c>
      <c r="AL3">
        <v>2021</v>
      </c>
      <c r="AM3">
        <v>2022</v>
      </c>
      <c r="AN3">
        <v>2023</v>
      </c>
      <c r="AO3">
        <v>2024</v>
      </c>
      <c r="AP3" s="2">
        <v>2015</v>
      </c>
      <c r="AQ3" s="2">
        <v>2016</v>
      </c>
      <c r="AR3" s="2">
        <v>2017</v>
      </c>
      <c r="AS3" s="2">
        <v>2018</v>
      </c>
      <c r="AT3" s="2">
        <v>2019</v>
      </c>
      <c r="AU3" s="2">
        <v>2020</v>
      </c>
      <c r="AV3" s="2">
        <v>2021</v>
      </c>
      <c r="AW3" s="2">
        <v>2022</v>
      </c>
      <c r="AX3" s="2">
        <v>2023</v>
      </c>
      <c r="AY3" s="2">
        <v>2024</v>
      </c>
      <c r="AZ3">
        <v>2015</v>
      </c>
      <c r="BA3">
        <v>2016</v>
      </c>
      <c r="BB3">
        <v>2017</v>
      </c>
      <c r="BC3">
        <v>2018</v>
      </c>
      <c r="BD3">
        <v>2019</v>
      </c>
      <c r="BE3">
        <v>2020</v>
      </c>
      <c r="BF3">
        <v>2021</v>
      </c>
      <c r="BG3">
        <v>2022</v>
      </c>
      <c r="BH3">
        <v>2023</v>
      </c>
      <c r="BI3">
        <v>2024</v>
      </c>
      <c r="BJ3" s="2">
        <v>2015</v>
      </c>
      <c r="BK3" s="2">
        <v>2016</v>
      </c>
      <c r="BL3" s="2">
        <v>2017</v>
      </c>
      <c r="BM3" s="2">
        <v>2018</v>
      </c>
      <c r="BN3" s="2">
        <v>2019</v>
      </c>
      <c r="BO3" s="2">
        <v>2020</v>
      </c>
      <c r="BP3" s="2">
        <v>2021</v>
      </c>
      <c r="BQ3" s="2">
        <v>2022</v>
      </c>
      <c r="BR3" s="2">
        <v>2023</v>
      </c>
      <c r="BS3" s="2">
        <v>2024</v>
      </c>
      <c r="BT3">
        <v>2015</v>
      </c>
      <c r="BU3">
        <v>2016</v>
      </c>
      <c r="BV3">
        <v>2017</v>
      </c>
      <c r="BW3">
        <v>2018</v>
      </c>
      <c r="BX3">
        <v>2019</v>
      </c>
      <c r="BY3">
        <v>2020</v>
      </c>
      <c r="BZ3">
        <v>2021</v>
      </c>
      <c r="CA3">
        <v>2022</v>
      </c>
      <c r="CB3">
        <v>2023</v>
      </c>
      <c r="CC3">
        <v>2024</v>
      </c>
      <c r="CD3" s="2">
        <v>2015</v>
      </c>
      <c r="CE3" s="2">
        <v>2016</v>
      </c>
      <c r="CF3" s="2">
        <v>2017</v>
      </c>
      <c r="CG3" s="2">
        <v>2018</v>
      </c>
      <c r="CH3" s="2">
        <v>2019</v>
      </c>
      <c r="CI3" s="2">
        <v>2020</v>
      </c>
      <c r="CJ3" s="2">
        <v>2021</v>
      </c>
      <c r="CK3" s="2">
        <v>2022</v>
      </c>
      <c r="CL3" s="2">
        <v>2023</v>
      </c>
      <c r="CM3" s="2">
        <v>2024</v>
      </c>
      <c r="CN3">
        <v>2015</v>
      </c>
      <c r="CO3">
        <v>2016</v>
      </c>
      <c r="CP3">
        <v>2017</v>
      </c>
      <c r="CQ3">
        <v>2018</v>
      </c>
      <c r="CR3">
        <v>2019</v>
      </c>
      <c r="CS3">
        <v>2020</v>
      </c>
      <c r="CT3">
        <v>2021</v>
      </c>
      <c r="CU3">
        <v>2022</v>
      </c>
      <c r="CV3">
        <v>2023</v>
      </c>
      <c r="CW3">
        <v>2024</v>
      </c>
      <c r="CX3" s="2">
        <v>2015</v>
      </c>
      <c r="CY3" s="2">
        <v>2016</v>
      </c>
      <c r="CZ3" s="2">
        <v>2017</v>
      </c>
      <c r="DA3" s="2">
        <v>2018</v>
      </c>
      <c r="DB3" s="2">
        <v>2019</v>
      </c>
      <c r="DC3" s="2">
        <v>2020</v>
      </c>
      <c r="DD3" s="2">
        <v>2021</v>
      </c>
      <c r="DE3" s="2">
        <v>2022</v>
      </c>
      <c r="DF3" s="2">
        <v>2023</v>
      </c>
      <c r="DG3" s="2">
        <v>2024</v>
      </c>
      <c r="DH3">
        <v>2015</v>
      </c>
      <c r="DI3">
        <v>2016</v>
      </c>
      <c r="DJ3">
        <v>2017</v>
      </c>
      <c r="DK3">
        <v>2018</v>
      </c>
      <c r="DL3">
        <v>2019</v>
      </c>
      <c r="DM3">
        <v>2020</v>
      </c>
      <c r="DN3">
        <v>2021</v>
      </c>
      <c r="DO3">
        <v>2022</v>
      </c>
      <c r="DP3">
        <v>2023</v>
      </c>
      <c r="DQ3">
        <v>2024</v>
      </c>
      <c r="DR3" s="2">
        <v>2015</v>
      </c>
      <c r="DS3" s="2">
        <v>2016</v>
      </c>
      <c r="DT3" s="2">
        <v>2017</v>
      </c>
      <c r="DU3" s="2">
        <v>2018</v>
      </c>
      <c r="DV3" s="2">
        <v>2019</v>
      </c>
      <c r="DW3" s="2">
        <v>2020</v>
      </c>
      <c r="DX3" s="2">
        <v>2021</v>
      </c>
      <c r="DY3" s="2">
        <v>2022</v>
      </c>
      <c r="DZ3" s="2">
        <v>2023</v>
      </c>
      <c r="EA3" s="2">
        <v>2024</v>
      </c>
      <c r="EB3">
        <v>2015</v>
      </c>
      <c r="EC3">
        <v>2016</v>
      </c>
      <c r="ED3">
        <v>2017</v>
      </c>
      <c r="EE3">
        <v>2018</v>
      </c>
      <c r="EF3">
        <v>2019</v>
      </c>
      <c r="EG3">
        <v>2020</v>
      </c>
      <c r="EH3">
        <v>2021</v>
      </c>
      <c r="EI3">
        <v>2022</v>
      </c>
      <c r="EJ3">
        <v>2023</v>
      </c>
      <c r="EK3">
        <v>2024</v>
      </c>
    </row>
    <row r="4" spans="1:141" hidden="1" x14ac:dyDescent="0.35">
      <c r="A4" t="s">
        <v>9</v>
      </c>
      <c r="B4">
        <f>VLOOKUP($A4&amp;B$3&amp;B$1,DB!$A:$J,10,0)</f>
        <v>0.28199999999999997</v>
      </c>
      <c r="C4">
        <f>VLOOKUP($A4&amp;C$3&amp;C$1,DB!$A:$J,10,0)</f>
        <v>0.25790000000000002</v>
      </c>
      <c r="D4">
        <f>VLOOKUP($A4&amp;D$3&amp;D$1,DB!$A:$J,10,0)</f>
        <v>0.28139999999999998</v>
      </c>
      <c r="E4">
        <f>VLOOKUP($A4&amp;E$3&amp;E$1,DB!$A:$J,10,0)</f>
        <v>0.29649999999999999</v>
      </c>
      <c r="F4">
        <f>VLOOKUP($A4&amp;F$3&amp;F$1,DB!$A:$J,10,0)</f>
        <v>0.28770000000000001</v>
      </c>
      <c r="G4">
        <f>VLOOKUP($A4&amp;G$3&amp;G$1,DB!$A:$J,10,0)</f>
        <v>0.29060000000000002</v>
      </c>
      <c r="H4">
        <f>VLOOKUP($A4&amp;H$3&amp;H$1,DB!$A:$J,10,0)</f>
        <v>0.2092</v>
      </c>
      <c r="I4">
        <f>VLOOKUP($A4&amp;I$3&amp;I$1,DB!$A:$J,10,0)</f>
        <v>0.26100000000000001</v>
      </c>
      <c r="J4">
        <f>VLOOKUP($A4&amp;J$3&amp;J$1,DB!$A:$J,10,0)</f>
        <v>0.2722</v>
      </c>
      <c r="K4">
        <f>VLOOKUP($A4&amp;K$3&amp;K$1,DB!$A:$J,10,0)</f>
        <v>0.26</v>
      </c>
      <c r="L4">
        <f>VLOOKUP($A4&amp;L$3&amp;L$1,DB!$A:$J,10,0)</f>
        <v>0.71940000000000004</v>
      </c>
      <c r="M4">
        <f>VLOOKUP($A4&amp;M$3&amp;M$1,DB!$A:$J,10,0)</f>
        <v>0.67100000000000004</v>
      </c>
      <c r="N4">
        <f>VLOOKUP($A4&amp;N$3&amp;N$1,DB!$A:$J,10,0)</f>
        <v>0.79730000000000001</v>
      </c>
      <c r="O4">
        <f>VLOOKUP($A4&amp;O$3&amp;O$1,DB!$A:$J,10,0)</f>
        <v>0.74460000000000004</v>
      </c>
      <c r="P4">
        <f>VLOOKUP($A4&amp;P$3&amp;P$1,DB!$A:$J,10,0)</f>
        <v>0.74160000000000004</v>
      </c>
      <c r="Q4">
        <f>VLOOKUP($A4&amp;Q$3&amp;Q$1,DB!$A:$J,10,0)</f>
        <v>0.75819999999999999</v>
      </c>
      <c r="R4">
        <f>VLOOKUP($A4&amp;R$3&amp;R$1,DB!$A:$J,10,0)</f>
        <v>0.76429999999999998</v>
      </c>
      <c r="S4">
        <f>VLOOKUP($A4&amp;S$3&amp;S$1,DB!$A:$J,10,0)</f>
        <v>0.97629999999999995</v>
      </c>
      <c r="T4">
        <f>VLOOKUP($A4&amp;T$3&amp;T$1,DB!$A:$J,10,0)</f>
        <v>0.97470000000000001</v>
      </c>
      <c r="U4">
        <f>VLOOKUP($A4&amp;U$3&amp;U$1,DB!$A:$J,10,0)</f>
        <v>0.89629999999999999</v>
      </c>
      <c r="V4">
        <f>VLOOKUP($A4&amp;V$3&amp;V$1,DB!$A:$J,10,0)</f>
        <v>0.27279999999999999</v>
      </c>
      <c r="W4">
        <f>VLOOKUP($A4&amp;W$3&amp;W$1,DB!$A:$J,10,0)</f>
        <v>0.32900000000000001</v>
      </c>
      <c r="X4">
        <f>VLOOKUP($A4&amp;X$3&amp;X$1,DB!$A:$J,10,0)</f>
        <v>0.20269999999999999</v>
      </c>
      <c r="Y4">
        <f>VLOOKUP($A4&amp;Y$3&amp;Y$1,DB!$A:$J,10,0)</f>
        <v>0.25540000000000002</v>
      </c>
      <c r="Z4">
        <f>VLOOKUP($A4&amp;Z$3&amp;Z$1,DB!$A:$J,10,0)</f>
        <v>0.25840000000000002</v>
      </c>
      <c r="AA4">
        <f>VLOOKUP($A4&amp;AA$3&amp;AA$1,DB!$A:$J,10,0)</f>
        <v>0.24179999999999999</v>
      </c>
      <c r="AB4">
        <f>VLOOKUP($A4&amp;AB$3&amp;AB$1,DB!$A:$J,10,0)</f>
        <v>0.2316</v>
      </c>
      <c r="AC4">
        <f>VLOOKUP($A4&amp;AC$3&amp;AC$1,DB!$A:$J,10,0)</f>
        <v>2.3699999999999999E-2</v>
      </c>
      <c r="AD4">
        <f>VLOOKUP($A4&amp;AD$3&amp;AD$1,DB!$A:$J,10,0)</f>
        <v>2.53E-2</v>
      </c>
      <c r="AE4">
        <f>VLOOKUP($A4&amp;AE$3&amp;AE$1,DB!$A:$J,10,0)</f>
        <v>3.0099999999999998E-2</v>
      </c>
      <c r="AF4">
        <f>VLOOKUP($A4&amp;AF$3&amp;AF$1,DB!$A:$J,10,0)</f>
        <v>0.22059999999999999</v>
      </c>
      <c r="AG4">
        <f>VLOOKUP($A4&amp;AG$3&amp;AG$1,DB!$A:$J,10,0)</f>
        <v>0.10680000000000001</v>
      </c>
      <c r="AH4">
        <f>VLOOKUP($A4&amp;AH$3&amp;AH$1,DB!$A:$J,10,0)</f>
        <v>0.6391</v>
      </c>
      <c r="AI4">
        <f>VLOOKUP($A4&amp;AI$3&amp;AI$1,DB!$A:$J,10,0)</f>
        <v>0</v>
      </c>
      <c r="AJ4">
        <f>VLOOKUP($A4&amp;AJ$3&amp;AJ$1,DB!$A:$J,10,0)</f>
        <v>0</v>
      </c>
      <c r="AK4">
        <f>VLOOKUP($A4&amp;AK$3&amp;AK$1,DB!$A:$J,10,0)</f>
        <v>0</v>
      </c>
      <c r="AL4">
        <f>VLOOKUP($A4&amp;AL$3&amp;AL$1,DB!$A:$J,10,0)</f>
        <v>0.35639999999999999</v>
      </c>
      <c r="AM4">
        <f>VLOOKUP($A4&amp;AM$3&amp;AM$1,DB!$A:$J,10,0)</f>
        <v>0.54769999999999996</v>
      </c>
      <c r="AN4">
        <f>VLOOKUP($A4&amp;AN$3&amp;AN$1,DB!$A:$J,10,0)</f>
        <v>0.72119999999999995</v>
      </c>
      <c r="AO4">
        <f>VLOOKUP($A4&amp;AO$3&amp;AO$1,DB!$A:$J,10,0)</f>
        <v>0.59589999999999999</v>
      </c>
      <c r="AP4">
        <f>VLOOKUP($A4&amp;AP$3&amp;AP$1,DB!$A:$J,10,0)</f>
        <v>0.67469999999999997</v>
      </c>
      <c r="AQ4">
        <f>VLOOKUP($A4&amp;AQ$3&amp;AQ$1,DB!$A:$J,10,0)</f>
        <v>0.60470000000000002</v>
      </c>
      <c r="AR4">
        <f>VLOOKUP($A4&amp;AR$3&amp;AR$1,DB!$A:$J,10,0)</f>
        <v>0.57589999999999997</v>
      </c>
      <c r="AS4">
        <f>VLOOKUP($A4&amp;AS$3&amp;AS$1,DB!$A:$J,10,0)</f>
        <v>0.47199999999999998</v>
      </c>
      <c r="AT4">
        <f>VLOOKUP($A4&amp;AT$3&amp;AT$1,DB!$A:$J,10,0)</f>
        <v>0.57399999999999995</v>
      </c>
      <c r="AU4">
        <f>VLOOKUP($A4&amp;AU$3&amp;AU$1,DB!$A:$J,10,0)</f>
        <v>0.56920000000000004</v>
      </c>
      <c r="AV4">
        <f>VLOOKUP($A4&amp;AV$3&amp;AV$1,DB!$A:$J,10,0)</f>
        <v>0.63959999999999995</v>
      </c>
      <c r="AW4">
        <f>VLOOKUP($A4&amp;AW$3&amp;AW$1,DB!$A:$J,10,0)</f>
        <v>0.47470000000000001</v>
      </c>
      <c r="AX4">
        <f>VLOOKUP($A4&amp;AX$3&amp;AX$1,DB!$A:$J,10,0)</f>
        <v>0.23350000000000001</v>
      </c>
      <c r="AY4">
        <f>VLOOKUP($A4&amp;AY$3&amp;AY$1,DB!$A:$J,10,0)</f>
        <v>0.30180000000000001</v>
      </c>
      <c r="AZ4">
        <f>VLOOKUP($A4&amp;AZ$3&amp;AZ$1,DB!$A:$J,10,0)</f>
        <v>0.37109999999999999</v>
      </c>
      <c r="BA4">
        <f>VLOOKUP($A4&amp;BA$3&amp;BA$1,DB!$A:$J,10,0)</f>
        <v>0.30130000000000001</v>
      </c>
      <c r="BB4">
        <f>VLOOKUP($A4&amp;BB$3&amp;BB$1,DB!$A:$J,10,0)</f>
        <v>0.43830000000000002</v>
      </c>
      <c r="BC4">
        <f>VLOOKUP($A4&amp;BC$3&amp;BC$1,DB!$A:$J,10,0)</f>
        <v>0.36749999999999999</v>
      </c>
      <c r="BD4">
        <f>VLOOKUP($A4&amp;BD$3&amp;BD$1,DB!$A:$J,10,0)</f>
        <v>0.33029999999999998</v>
      </c>
      <c r="BE4">
        <f>VLOOKUP($A4&amp;BE$3&amp;BE$1,DB!$A:$J,10,0)</f>
        <v>0.42180000000000001</v>
      </c>
      <c r="BF4">
        <f>VLOOKUP($A4&amp;BF$3&amp;BF$1,DB!$A:$J,10,0)</f>
        <v>0.33129999999999998</v>
      </c>
      <c r="BG4">
        <f>VLOOKUP($A4&amp;BG$3&amp;BG$1,DB!$A:$J,10,0)</f>
        <v>0.32129999999999997</v>
      </c>
      <c r="BH4">
        <f>VLOOKUP($A4&amp;BH$3&amp;BH$1,DB!$A:$J,10,0)</f>
        <v>0.2571</v>
      </c>
      <c r="BI4">
        <f>VLOOKUP($A4&amp;BI$3&amp;BI$1,DB!$A:$J,10,0)</f>
        <v>0.53639999999999999</v>
      </c>
      <c r="BJ4">
        <f>VLOOKUP($A4&amp;BJ$3&amp;BJ$1,DB!$A:$J,10,0)</f>
        <v>0.59850000000000003</v>
      </c>
      <c r="BK4">
        <f>VLOOKUP($A4&amp;BK$3&amp;BK$1,DB!$A:$J,10,0)</f>
        <v>0.38140000000000002</v>
      </c>
      <c r="BL4">
        <f>VLOOKUP($A4&amp;BL$3&amp;BL$1,DB!$A:$J,10,0)</f>
        <v>0.38100000000000001</v>
      </c>
      <c r="BM4">
        <f>VLOOKUP($A4&amp;BM$3&amp;BM$1,DB!$A:$J,10,0)</f>
        <v>0.38879999999999998</v>
      </c>
      <c r="BN4">
        <f>VLOOKUP($A4&amp;BN$3&amp;BN$1,DB!$A:$J,10,0)</f>
        <v>0.47470000000000001</v>
      </c>
      <c r="BO4">
        <f>VLOOKUP($A4&amp;BO$3&amp;BO$1,DB!$A:$J,10,0)</f>
        <v>0.51819999999999999</v>
      </c>
      <c r="BP4">
        <f>VLOOKUP($A4&amp;BP$3&amp;BP$1,DB!$A:$J,10,0)</f>
        <v>0.48039999999999999</v>
      </c>
      <c r="BQ4">
        <f>VLOOKUP($A4&amp;BQ$3&amp;BQ$1,DB!$A:$J,10,0)</f>
        <v>0.314</v>
      </c>
      <c r="BR4">
        <f>VLOOKUP($A4&amp;BR$3&amp;BR$1,DB!$A:$J,10,0)</f>
        <v>0.154</v>
      </c>
      <c r="BS4">
        <f>VLOOKUP($A4&amp;BS$3&amp;BS$1,DB!$A:$J,10,0)</f>
        <v>0.27089999999999997</v>
      </c>
      <c r="BT4">
        <f>VLOOKUP($A4&amp;BT$3&amp;BT$1,DB!$A:$J,10,0)</f>
        <v>0.30869999999999997</v>
      </c>
      <c r="BU4">
        <f>VLOOKUP($A4&amp;BU$3&amp;BU$1,DB!$A:$J,10,0)</f>
        <v>0.2475</v>
      </c>
      <c r="BV4">
        <f>VLOOKUP($A4&amp;BV$3&amp;BV$1,DB!$A:$J,10,0)</f>
        <v>0.2387</v>
      </c>
      <c r="BW4">
        <f>VLOOKUP($A4&amp;BW$3&amp;BW$1,DB!$A:$J,10,0)</f>
        <v>0.20549999999999999</v>
      </c>
      <c r="BX4">
        <f>VLOOKUP($A4&amp;BX$3&amp;BX$1,DB!$A:$J,10,0)</f>
        <v>0.25390000000000001</v>
      </c>
      <c r="BY4">
        <f>VLOOKUP($A4&amp;BY$3&amp;BY$1,DB!$A:$J,10,0)</f>
        <v>0.20669999999999999</v>
      </c>
      <c r="BZ4">
        <f>VLOOKUP($A4&amp;BZ$3&amp;BZ$1,DB!$A:$J,10,0)</f>
        <v>0.17549999999999999</v>
      </c>
      <c r="CA4">
        <f>VLOOKUP($A4&amp;CA$3&amp;CA$1,DB!$A:$J,10,0)</f>
        <v>0</v>
      </c>
      <c r="CB4">
        <f>VLOOKUP($A4&amp;CB$3&amp;CB$1,DB!$A:$J,10,0)</f>
        <v>0</v>
      </c>
      <c r="CC4">
        <f>VLOOKUP($A4&amp;CC$3&amp;CC$1,DB!$A:$J,10,0)</f>
        <v>0.18060000000000001</v>
      </c>
      <c r="CD4">
        <f>VLOOKUP($A4&amp;CD$3&amp;CD$1,DB!$A:$J,10,0)</f>
        <v>4090.75</v>
      </c>
      <c r="CE4">
        <f>VLOOKUP($A4&amp;CE$3&amp;CE$1,DB!$A:$J,10,0)</f>
        <v>3649.61</v>
      </c>
      <c r="CF4">
        <f>VLOOKUP($A4&amp;CF$3&amp;CF$1,DB!$A:$J,10,0)</f>
        <v>5320.03</v>
      </c>
      <c r="CG4">
        <f>VLOOKUP($A4&amp;CG$3&amp;CG$1,DB!$A:$J,10,0)</f>
        <v>3948.21</v>
      </c>
      <c r="CH4">
        <f>VLOOKUP($A4&amp;CH$3&amp;CH$1,DB!$A:$J,10,0)</f>
        <v>4647.1400000000003</v>
      </c>
      <c r="CI4">
        <f>VLOOKUP($A4&amp;CI$3&amp;CI$1,DB!$A:$J,10,0)</f>
        <v>5822.83</v>
      </c>
      <c r="CJ4">
        <f>VLOOKUP($A4&amp;CJ$3&amp;CJ$1,DB!$A:$J,10,0)</f>
        <v>4217.8999999999996</v>
      </c>
      <c r="CK4">
        <f>VLOOKUP($A4&amp;CK$3&amp;CK$1,DB!$A:$J,10,0)</f>
        <v>7782.12</v>
      </c>
      <c r="CL4">
        <f>VLOOKUP($A4&amp;CL$3&amp;CL$1,DB!$A:$J,10,0)</f>
        <v>11058.28</v>
      </c>
      <c r="CM4">
        <f>VLOOKUP($A4&amp;CM$3&amp;CM$1,DB!$A:$J,10,0)</f>
        <v>10948.62</v>
      </c>
      <c r="CN4">
        <f>VLOOKUP($A4&amp;CN$3&amp;CN$1,DB!$A:$J,10,0)</f>
        <v>10390.98</v>
      </c>
      <c r="CO4">
        <f>VLOOKUP($A4&amp;CO$3&amp;CO$1,DB!$A:$J,10,0)</f>
        <v>8375.81</v>
      </c>
      <c r="CP4">
        <f>VLOOKUP($A4&amp;CP$3&amp;CP$1,DB!$A:$J,10,0)</f>
        <v>7284.54</v>
      </c>
      <c r="CQ4">
        <f>VLOOKUP($A4&amp;CQ$3&amp;CQ$1,DB!$A:$J,10,0)</f>
        <v>5867.06</v>
      </c>
      <c r="CR4">
        <f>VLOOKUP($A4&amp;CR$3&amp;CR$1,DB!$A:$J,10,0)</f>
        <v>11934.34</v>
      </c>
      <c r="CS4">
        <f>VLOOKUP($A4&amp;CS$3&amp;CS$1,DB!$A:$J,10,0)</f>
        <v>11394.84</v>
      </c>
      <c r="CT4">
        <f>VLOOKUP($A4&amp;CT$3&amp;CT$1,DB!$A:$J,10,0)</f>
        <v>13726.29</v>
      </c>
      <c r="CU4">
        <f>VLOOKUP($A4&amp;CU$3&amp;CU$1,DB!$A:$J,10,0)</f>
        <v>18699.62</v>
      </c>
      <c r="CV4">
        <f>VLOOKUP($A4&amp;CV$3&amp;CV$1,DB!$A:$J,10,0)</f>
        <v>16982.009999999998</v>
      </c>
      <c r="CW4">
        <f>VLOOKUP($A4&amp;CW$3&amp;CW$1,DB!$A:$J,10,0)</f>
        <v>18970.990000000002</v>
      </c>
      <c r="CX4">
        <f>VLOOKUP($A4&amp;CX$3&amp;CX$1,DB!$A:$J,10,0)</f>
        <v>6113.04</v>
      </c>
      <c r="CY4">
        <f>VLOOKUP($A4&amp;CY$3&amp;CY$1,DB!$A:$J,10,0)</f>
        <v>5087.68</v>
      </c>
      <c r="CZ4">
        <f>VLOOKUP($A4&amp;CZ$3&amp;CZ$1,DB!$A:$J,10,0)</f>
        <v>5649.81</v>
      </c>
      <c r="DA4">
        <f>VLOOKUP($A4&amp;DA$3&amp;DA$1,DB!$A:$J,10,0)</f>
        <v>4616.41</v>
      </c>
      <c r="DB4">
        <f>VLOOKUP($A4&amp;DB$3&amp;DB$1,DB!$A:$J,10,0)</f>
        <v>7074.29</v>
      </c>
      <c r="DC4">
        <f>VLOOKUP($A4&amp;DC$3&amp;DC$1,DB!$A:$J,10,0)</f>
        <v>7805.51</v>
      </c>
      <c r="DD4">
        <f>VLOOKUP($A4&amp;DD$3&amp;DD$1,DB!$A:$J,10,0)</f>
        <v>7911.75</v>
      </c>
      <c r="DE4">
        <f>VLOOKUP($A4&amp;DE$3&amp;DE$1,DB!$A:$J,10,0)</f>
        <v>15643.55</v>
      </c>
      <c r="DF4">
        <f>VLOOKUP($A4&amp;DF$3&amp;DF$1,DB!$A:$J,10,0)</f>
        <v>29094.16</v>
      </c>
      <c r="DG4">
        <f>VLOOKUP($A4&amp;DG$3&amp;DG$1,DB!$A:$J,10,0)</f>
        <v>15239.19</v>
      </c>
      <c r="DH4">
        <f>VLOOKUP($A4&amp;DH$3&amp;DH$1,DB!$A:$J,10,0)</f>
        <v>6113.04</v>
      </c>
      <c r="DI4">
        <f>VLOOKUP($A4&amp;DI$3&amp;DI$1,DB!$A:$J,10,0)</f>
        <v>5088.82</v>
      </c>
      <c r="DJ4">
        <f>VLOOKUP($A4&amp;DJ$3&amp;DJ$1,DB!$A:$J,10,0)</f>
        <v>5667.43</v>
      </c>
      <c r="DK4">
        <f>VLOOKUP($A4&amp;DK$3&amp;DK$1,DB!$A:$J,10,0)</f>
        <v>4616.41</v>
      </c>
      <c r="DL4">
        <f>VLOOKUP($A4&amp;DL$3&amp;DL$1,DB!$A:$J,10,0)</f>
        <v>7074.29</v>
      </c>
      <c r="DM4">
        <f>VLOOKUP($A4&amp;DM$3&amp;DM$1,DB!$A:$J,10,0)</f>
        <v>7805.51</v>
      </c>
      <c r="DN4">
        <f>VLOOKUP($A4&amp;DN$3&amp;DN$1,DB!$A:$J,10,0)</f>
        <v>7911.75</v>
      </c>
      <c r="DO4">
        <f>VLOOKUP($A4&amp;DO$3&amp;DO$1,DB!$A:$J,10,0)</f>
        <v>15643.55</v>
      </c>
      <c r="DP4">
        <f>VLOOKUP($A4&amp;DP$3&amp;DP$1,DB!$A:$J,10,0)</f>
        <v>29094.16</v>
      </c>
      <c r="DQ4">
        <f>VLOOKUP($A4&amp;DQ$3&amp;DQ$1,DB!$A:$J,10,0)</f>
        <v>15239.19</v>
      </c>
      <c r="DR4">
        <f>VLOOKUP($A4&amp;DR$3&amp;DR$1,DB!$A:$J,10,0)</f>
        <v>2413.48</v>
      </c>
      <c r="DS4">
        <f>VLOOKUP($A4&amp;DS$3&amp;DS$1,DB!$A:$J,10,0)</f>
        <v>2177.71</v>
      </c>
      <c r="DT4">
        <f>VLOOKUP($A4&amp;DT$3&amp;DT$1,DB!$A:$J,10,0)</f>
        <v>3329.57</v>
      </c>
      <c r="DU4">
        <f>VLOOKUP($A4&amp;DU$3&amp;DU$1,DB!$A:$J,10,0)</f>
        <v>3129.79</v>
      </c>
      <c r="DV4">
        <f>VLOOKUP($A4&amp;DV$3&amp;DV$1,DB!$A:$J,10,0)</f>
        <v>4284</v>
      </c>
      <c r="DW4">
        <f>VLOOKUP($A4&amp;DW$3&amp;DW$1,DB!$A:$J,10,0)</f>
        <v>5231.13</v>
      </c>
      <c r="DX4">
        <f>VLOOKUP($A4&amp;DX$3&amp;DX$1,DB!$A:$J,10,0)</f>
        <v>4098.7299999999996</v>
      </c>
      <c r="DY4">
        <f>VLOOKUP($A4&amp;DY$3&amp;DY$1,DB!$A:$J,10,0)</f>
        <v>6601.83</v>
      </c>
      <c r="DZ4">
        <f>VLOOKUP($A4&amp;DZ$3&amp;DZ$1,DB!$A:$J,10,0)</f>
        <v>6300.01</v>
      </c>
      <c r="EA4">
        <f>VLOOKUP($A4&amp;EA$3&amp;EA$1,DB!$A:$J,10,0)</f>
        <v>7045.98</v>
      </c>
      <c r="EB4">
        <f>VLOOKUP($A4&amp;EB$3&amp;EB$1,DB!$A:$J,10,0)</f>
        <v>1824.29</v>
      </c>
      <c r="EC4">
        <f>VLOOKUP($A4&amp;EC$3&amp;EC$1,DB!$A:$J,10,0)</f>
        <v>2448.81</v>
      </c>
      <c r="ED4">
        <f>VLOOKUP($A4&amp;ED$3&amp;ED$1,DB!$A:$J,10,0)</f>
        <v>1406.71</v>
      </c>
      <c r="EE4">
        <f>VLOOKUP($A4&amp;EE$3&amp;EE$1,DB!$A:$J,10,0)</f>
        <v>1129.43</v>
      </c>
      <c r="EF4">
        <f>VLOOKUP($A4&amp;EF$3&amp;EF$1,DB!$A:$J,10,0)</f>
        <v>1656.2</v>
      </c>
      <c r="EG4">
        <f>VLOOKUP($A4&amp;EG$3&amp;EG$1,DB!$A:$J,10,0)</f>
        <v>1842.51</v>
      </c>
      <c r="EH4">
        <f>VLOOKUP($A4&amp;EH$3&amp;EH$1,DB!$A:$J,10,0)</f>
        <v>1010.55</v>
      </c>
      <c r="EI4">
        <f>VLOOKUP($A4&amp;EI$3&amp;EI$1,DB!$A:$J,10,0)</f>
        <v>8.61</v>
      </c>
      <c r="EJ4">
        <f>VLOOKUP($A4&amp;EJ$3&amp;EJ$1,DB!$A:$J,10,0)</f>
        <v>0</v>
      </c>
      <c r="EK4">
        <f>VLOOKUP($A4&amp;EK$3&amp;EK$1,DB!$A:$J,10,0)</f>
        <v>130.72</v>
      </c>
    </row>
    <row r="5" spans="1:141" hidden="1" x14ac:dyDescent="0.35">
      <c r="A5" t="s">
        <v>41</v>
      </c>
      <c r="B5">
        <f>VLOOKUP($A5&amp;B$3&amp;B$1,DB!$A:$J,10,0)</f>
        <v>0.308</v>
      </c>
      <c r="C5">
        <f>VLOOKUP($A5&amp;C$3&amp;C$1,DB!$A:$J,10,0)</f>
        <v>0.28760000000000002</v>
      </c>
      <c r="D5">
        <f>VLOOKUP($A5&amp;D$3&amp;D$1,DB!$A:$J,10,0)</f>
        <v>0.25209999999999999</v>
      </c>
      <c r="E5">
        <f>VLOOKUP($A5&amp;E$3&amp;E$1,DB!$A:$J,10,0)</f>
        <v>0.34510000000000002</v>
      </c>
      <c r="F5">
        <f>VLOOKUP($A5&amp;F$3&amp;F$1,DB!$A:$J,10,0)</f>
        <v>0.28920000000000001</v>
      </c>
      <c r="G5">
        <f>VLOOKUP($A5&amp;G$3&amp;G$1,DB!$A:$J,10,0)</f>
        <v>0.315</v>
      </c>
      <c r="H5">
        <f>VLOOKUP($A5&amp;H$3&amp;H$1,DB!$A:$J,10,0)</f>
        <v>0.2389</v>
      </c>
      <c r="I5">
        <f>VLOOKUP($A5&amp;I$3&amp;I$1,DB!$A:$J,10,0)</f>
        <v>0.25059999999999999</v>
      </c>
      <c r="J5">
        <f>VLOOKUP($A5&amp;J$3&amp;J$1,DB!$A:$J,10,0)</f>
        <v>0.27789999999999998</v>
      </c>
      <c r="K5">
        <f>VLOOKUP($A5&amp;K$3&amp;K$1,DB!$A:$J,10,0)</f>
        <v>0.25600000000000001</v>
      </c>
      <c r="L5">
        <f>VLOOKUP($A5&amp;L$3&amp;L$1,DB!$A:$J,10,0)</f>
        <v>0.95440000000000003</v>
      </c>
      <c r="M5">
        <f>VLOOKUP($A5&amp;M$3&amp;M$1,DB!$A:$J,10,0)</f>
        <v>1</v>
      </c>
      <c r="N5">
        <f>VLOOKUP($A5&amp;N$3&amp;N$1,DB!$A:$J,10,0)</f>
        <v>1</v>
      </c>
      <c r="O5">
        <f>VLOOKUP($A5&amp;O$3&amp;O$1,DB!$A:$J,10,0)</f>
        <v>0.76749999999999996</v>
      </c>
      <c r="P5">
        <f>VLOOKUP($A5&amp;P$3&amp;P$1,DB!$A:$J,10,0)</f>
        <v>1</v>
      </c>
      <c r="Q5">
        <f>VLOOKUP($A5&amp;Q$3&amp;Q$1,DB!$A:$J,10,0)</f>
        <v>1</v>
      </c>
      <c r="R5">
        <f>VLOOKUP($A5&amp;R$3&amp;R$1,DB!$A:$J,10,0)</f>
        <v>0.87949999999999995</v>
      </c>
      <c r="S5">
        <f>VLOOKUP($A5&amp;S$3&amp;S$1,DB!$A:$J,10,0)</f>
        <v>0.97430000000000005</v>
      </c>
      <c r="T5">
        <f>VLOOKUP($A5&amp;T$3&amp;T$1,DB!$A:$J,10,0)</f>
        <v>0.91420000000000001</v>
      </c>
      <c r="U5">
        <f>VLOOKUP($A5&amp;U$3&amp;U$1,DB!$A:$J,10,0)</f>
        <v>0.99</v>
      </c>
      <c r="V5">
        <f>VLOOKUP($A5&amp;V$3&amp;V$1,DB!$A:$J,10,0)</f>
        <v>4.5499999999999999E-2</v>
      </c>
      <c r="W5">
        <f>VLOOKUP($A5&amp;W$3&amp;W$1,DB!$A:$J,10,0)</f>
        <v>0</v>
      </c>
      <c r="X5">
        <f>VLOOKUP($A5&amp;X$3&amp;X$1,DB!$A:$J,10,0)</f>
        <v>0</v>
      </c>
      <c r="Y5">
        <f>VLOOKUP($A5&amp;Y$3&amp;Y$1,DB!$A:$J,10,0)</f>
        <v>0</v>
      </c>
      <c r="Z5">
        <f>VLOOKUP($A5&amp;Z$3&amp;Z$1,DB!$A:$J,10,0)</f>
        <v>0</v>
      </c>
      <c r="AA5">
        <f>VLOOKUP($A5&amp;AA$3&amp;AA$1,DB!$A:$J,10,0)</f>
        <v>0</v>
      </c>
      <c r="AB5">
        <f>VLOOKUP($A5&amp;AB$3&amp;AB$1,DB!$A:$J,10,0)</f>
        <v>8.4099999999999994E-2</v>
      </c>
      <c r="AC5">
        <f>VLOOKUP($A5&amp;AC$3&amp;AC$1,DB!$A:$J,10,0)</f>
        <v>1.34E-2</v>
      </c>
      <c r="AD5">
        <f>VLOOKUP($A5&amp;AD$3&amp;AD$1,DB!$A:$J,10,0)</f>
        <v>4.5999999999999999E-2</v>
      </c>
      <c r="AE5">
        <f>VLOOKUP($A5&amp;AE$3&amp;AE$1,DB!$A:$J,10,0)</f>
        <v>0.01</v>
      </c>
      <c r="AF5">
        <f>VLOOKUP($A5&amp;AF$3&amp;AF$1,DB!$A:$J,10,0)</f>
        <v>0.12820000000000001</v>
      </c>
      <c r="AG5">
        <f>VLOOKUP($A5&amp;AG$3&amp;AG$1,DB!$A:$J,10,0)</f>
        <v>6.9699999999999998E-2</v>
      </c>
      <c r="AH5">
        <f>VLOOKUP($A5&amp;AH$3&amp;AH$1,DB!$A:$J,10,0)</f>
        <v>0.2031</v>
      </c>
      <c r="AI5">
        <f>VLOOKUP($A5&amp;AI$3&amp;AI$1,DB!$A:$J,10,0)</f>
        <v>0</v>
      </c>
      <c r="AJ5">
        <f>VLOOKUP($A5&amp;AJ$3&amp;AJ$1,DB!$A:$J,10,0)</f>
        <v>0</v>
      </c>
      <c r="AK5">
        <f>VLOOKUP($A5&amp;AK$3&amp;AK$1,DB!$A:$J,10,0)</f>
        <v>0</v>
      </c>
      <c r="AL5">
        <f>VLOOKUP($A5&amp;AL$3&amp;AL$1,DB!$A:$J,10,0)</f>
        <v>0.2286</v>
      </c>
      <c r="AM5">
        <f>VLOOKUP($A5&amp;AM$3&amp;AM$1,DB!$A:$J,10,0)</f>
        <v>0.25369999999999998</v>
      </c>
      <c r="AN5">
        <f>VLOOKUP($A5&amp;AN$3&amp;AN$1,DB!$A:$J,10,0)</f>
        <v>4.2700000000000002E-2</v>
      </c>
      <c r="AO5">
        <f>VLOOKUP($A5&amp;AO$3&amp;AO$1,DB!$A:$J,10,0)</f>
        <v>0.1187</v>
      </c>
      <c r="AP5">
        <f>VLOOKUP($A5&amp;AP$3&amp;AP$1,DB!$A:$J,10,0)</f>
        <v>0.7863</v>
      </c>
      <c r="AQ5">
        <f>VLOOKUP($A5&amp;AQ$3&amp;AQ$1,DB!$A:$J,10,0)</f>
        <v>0.77229999999999999</v>
      </c>
      <c r="AR5">
        <f>VLOOKUP($A5&amp;AR$3&amp;AR$1,DB!$A:$J,10,0)</f>
        <v>0.79690000000000005</v>
      </c>
      <c r="AS5">
        <f>VLOOKUP($A5&amp;AS$3&amp;AS$1,DB!$A:$J,10,0)</f>
        <v>1.3816999999999999</v>
      </c>
      <c r="AT5">
        <f>VLOOKUP($A5&amp;AT$3&amp;AT$1,DB!$A:$J,10,0)</f>
        <v>0.84230000000000005</v>
      </c>
      <c r="AU5">
        <f>VLOOKUP($A5&amp;AU$3&amp;AU$1,DB!$A:$J,10,0)</f>
        <v>1</v>
      </c>
      <c r="AV5">
        <f>VLOOKUP($A5&amp;AV$3&amp;AV$1,DB!$A:$J,10,0)</f>
        <v>0.7349</v>
      </c>
      <c r="AW5">
        <f>VLOOKUP($A5&amp;AW$3&amp;AW$1,DB!$A:$J,10,0)</f>
        <v>0.73360000000000003</v>
      </c>
      <c r="AX5">
        <f>VLOOKUP($A5&amp;AX$3&amp;AX$1,DB!$A:$J,10,0)</f>
        <v>0.91420000000000001</v>
      </c>
      <c r="AY5">
        <f>VLOOKUP($A5&amp;AY$3&amp;AY$1,DB!$A:$J,10,0)</f>
        <v>0.89980000000000004</v>
      </c>
      <c r="AZ5">
        <f>VLOOKUP($A5&amp;AZ$3&amp;AZ$1,DB!$A:$J,10,0)</f>
        <v>0.15029999999999999</v>
      </c>
      <c r="BA5">
        <f>VLOOKUP($A5&amp;BA$3&amp;BA$1,DB!$A:$J,10,0)</f>
        <v>0.21329999999999999</v>
      </c>
      <c r="BB5">
        <f>VLOOKUP($A5&amp;BB$3&amp;BB$1,DB!$A:$J,10,0)</f>
        <v>0.2019</v>
      </c>
      <c r="BC5">
        <f>VLOOKUP($A5&amp;BC$3&amp;BC$1,DB!$A:$J,10,0)</f>
        <v>0.14050000000000001</v>
      </c>
      <c r="BD5">
        <f>VLOOKUP($A5&amp;BD$3&amp;BD$1,DB!$A:$J,10,0)</f>
        <v>9.7000000000000003E-2</v>
      </c>
      <c r="BE5">
        <f>VLOOKUP($A5&amp;BE$3&amp;BE$1,DB!$A:$J,10,0)</f>
        <v>0</v>
      </c>
      <c r="BF5">
        <f>VLOOKUP($A5&amp;BF$3&amp;BF$1,DB!$A:$J,10,0)</f>
        <v>0.2198</v>
      </c>
      <c r="BG5">
        <f>VLOOKUP($A5&amp;BG$3&amp;BG$1,DB!$A:$J,10,0)</f>
        <v>0.1231</v>
      </c>
      <c r="BH5">
        <f>VLOOKUP($A5&amp;BH$3&amp;BH$1,DB!$A:$J,10,0)</f>
        <v>6.9099999999999995E-2</v>
      </c>
      <c r="BI5">
        <f>VLOOKUP($A5&amp;BI$3&amp;BI$1,DB!$A:$J,10,0)</f>
        <v>0.1542</v>
      </c>
      <c r="BJ5">
        <f>VLOOKUP($A5&amp;BJ$3&amp;BJ$1,DB!$A:$J,10,0)</f>
        <v>0.79530000000000001</v>
      </c>
      <c r="BK5">
        <f>VLOOKUP($A5&amp;BK$3&amp;BK$1,DB!$A:$J,10,0)</f>
        <v>0.68779999999999997</v>
      </c>
      <c r="BL5">
        <f>VLOOKUP($A5&amp;BL$3&amp;BL$1,DB!$A:$J,10,0)</f>
        <v>0.72750000000000004</v>
      </c>
      <c r="BM5">
        <f>VLOOKUP($A5&amp;BM$3&amp;BM$1,DB!$A:$J,10,0)</f>
        <v>0.75409999999999999</v>
      </c>
      <c r="BN5">
        <f>VLOOKUP($A5&amp;BN$3&amp;BN$1,DB!$A:$J,10,0)</f>
        <v>0.81989999999999996</v>
      </c>
      <c r="BO5">
        <f>VLOOKUP($A5&amp;BO$3&amp;BO$1,DB!$A:$J,10,0)</f>
        <v>0</v>
      </c>
      <c r="BP5">
        <f>VLOOKUP($A5&amp;BP$3&amp;BP$1,DB!$A:$J,10,0)</f>
        <v>0.64500000000000002</v>
      </c>
      <c r="BQ5">
        <f>VLOOKUP($A5&amp;BQ$3&amp;BQ$1,DB!$A:$J,10,0)</f>
        <v>0.53300000000000003</v>
      </c>
      <c r="BR5">
        <f>VLOOKUP($A5&amp;BR$3&amp;BR$1,DB!$A:$J,10,0)</f>
        <v>0.55230000000000001</v>
      </c>
      <c r="BS5">
        <f>VLOOKUP($A5&amp;BS$3&amp;BS$1,DB!$A:$J,10,0)</f>
        <v>0.51949999999999996</v>
      </c>
      <c r="BT5">
        <f>VLOOKUP($A5&amp;BT$3&amp;BT$1,DB!$A:$J,10,0)</f>
        <v>0.24940000000000001</v>
      </c>
      <c r="BU5">
        <f>VLOOKUP($A5&amp;BU$3&amp;BU$1,DB!$A:$J,10,0)</f>
        <v>0.317</v>
      </c>
      <c r="BV5">
        <f>VLOOKUP($A5&amp;BV$3&amp;BV$1,DB!$A:$J,10,0)</f>
        <v>0.28999999999999998</v>
      </c>
      <c r="BW5">
        <f>VLOOKUP($A5&amp;BW$3&amp;BW$1,DB!$A:$J,10,0)</f>
        <v>0.36570000000000003</v>
      </c>
      <c r="BX5">
        <f>VLOOKUP($A5&amp;BX$3&amp;BX$1,DB!$A:$J,10,0)</f>
        <v>0.32450000000000001</v>
      </c>
      <c r="BY5">
        <f>VLOOKUP($A5&amp;BY$3&amp;BY$1,DB!$A:$J,10,0)</f>
        <v>0</v>
      </c>
      <c r="BZ5">
        <f>VLOOKUP($A5&amp;BZ$3&amp;BZ$1,DB!$A:$J,10,0)</f>
        <v>0.374</v>
      </c>
      <c r="CA5">
        <f>VLOOKUP($A5&amp;CA$3&amp;CA$1,DB!$A:$J,10,0)</f>
        <v>0.25230000000000002</v>
      </c>
      <c r="CB5">
        <f>VLOOKUP($A5&amp;CB$3&amp;CB$1,DB!$A:$J,10,0)</f>
        <v>0.25269999999999998</v>
      </c>
      <c r="CC5">
        <f>VLOOKUP($A5&amp;CC$3&amp;CC$1,DB!$A:$J,10,0)</f>
        <v>0.25690000000000002</v>
      </c>
      <c r="CD5">
        <f>VLOOKUP($A5&amp;CD$3&amp;CD$1,DB!$A:$J,10,0)</f>
        <v>2701</v>
      </c>
      <c r="CE5">
        <f>VLOOKUP($A5&amp;CE$3&amp;CE$1,DB!$A:$J,10,0)</f>
        <v>4538.1499999999996</v>
      </c>
      <c r="CF5">
        <f>VLOOKUP($A5&amp;CF$3&amp;CF$1,DB!$A:$J,10,0)</f>
        <v>4117.6499999999996</v>
      </c>
      <c r="CG5">
        <f>VLOOKUP($A5&amp;CG$3&amp;CG$1,DB!$A:$J,10,0)</f>
        <v>3823.44</v>
      </c>
      <c r="CH5">
        <f>VLOOKUP($A5&amp;CH$3&amp;CH$1,DB!$A:$J,10,0)</f>
        <v>2021.47</v>
      </c>
      <c r="CI5">
        <f>VLOOKUP($A5&amp;CI$3&amp;CI$1,DB!$A:$J,10,0)</f>
        <v>2218.9299999999998</v>
      </c>
      <c r="CJ5">
        <f>VLOOKUP($A5&amp;CJ$3&amp;CJ$1,DB!$A:$J,10,0)</f>
        <v>4860.7</v>
      </c>
      <c r="CK5">
        <f>VLOOKUP($A5&amp;CK$3&amp;CK$1,DB!$A:$J,10,0)</f>
        <v>4798.88</v>
      </c>
      <c r="CL5">
        <f>VLOOKUP($A5&amp;CL$3&amp;CL$1,DB!$A:$J,10,0)</f>
        <v>3610.6</v>
      </c>
      <c r="CM5">
        <f>VLOOKUP($A5&amp;CM$3&amp;CM$1,DB!$A:$J,10,0)</f>
        <v>7373.47</v>
      </c>
      <c r="CN5">
        <f>VLOOKUP($A5&amp;CN$3&amp;CN$1,DB!$A:$J,10,0)</f>
        <v>7240.53</v>
      </c>
      <c r="CO5">
        <f>VLOOKUP($A5&amp;CO$3&amp;CO$1,DB!$A:$J,10,0)</f>
        <v>10166.299999999999</v>
      </c>
      <c r="CP5">
        <f>VLOOKUP($A5&amp;CP$3&amp;CP$1,DB!$A:$J,10,0)</f>
        <v>9947.9599999999991</v>
      </c>
      <c r="CQ5">
        <f>VLOOKUP($A5&amp;CQ$3&amp;CQ$1,DB!$A:$J,10,0)</f>
        <v>12567.65</v>
      </c>
      <c r="CR5">
        <f>VLOOKUP($A5&amp;CR$3&amp;CR$1,DB!$A:$J,10,0)</f>
        <v>10714.64</v>
      </c>
      <c r="CS5">
        <f>VLOOKUP($A5&amp;CS$3&amp;CS$1,DB!$A:$J,10,0)</f>
        <v>12851.98</v>
      </c>
      <c r="CT5">
        <f>VLOOKUP($A5&amp;CT$3&amp;CT$1,DB!$A:$J,10,0)</f>
        <v>10120.36</v>
      </c>
      <c r="CU5">
        <f>VLOOKUP($A5&amp;CU$3&amp;CU$1,DB!$A:$J,10,0)</f>
        <v>12792.76</v>
      </c>
      <c r="CV5">
        <f>VLOOKUP($A5&amp;CV$3&amp;CV$1,DB!$A:$J,10,0)</f>
        <v>14593.83</v>
      </c>
      <c r="CW5">
        <f>VLOOKUP($A5&amp;CW$3&amp;CW$1,DB!$A:$J,10,0)</f>
        <v>15763.11</v>
      </c>
      <c r="CX5">
        <f>VLOOKUP($A5&amp;CX$3&amp;CX$1,DB!$A:$J,10,0)</f>
        <v>5523.82</v>
      </c>
      <c r="CY5">
        <f>VLOOKUP($A5&amp;CY$3&amp;CY$1,DB!$A:$J,10,0)</f>
        <v>7450.74</v>
      </c>
      <c r="CZ5">
        <f>VLOOKUP($A5&amp;CZ$3&amp;CZ$1,DB!$A:$J,10,0)</f>
        <v>7365.03</v>
      </c>
      <c r="DA5">
        <f>VLOOKUP($A5&amp;DA$3&amp;DA$1,DB!$A:$J,10,0)</f>
        <v>8915.69</v>
      </c>
      <c r="DB5">
        <f>VLOOKUP($A5&amp;DB$3&amp;DB$1,DB!$A:$J,10,0)</f>
        <v>6996.67</v>
      </c>
      <c r="DC5">
        <f>VLOOKUP($A5&amp;DC$3&amp;DC$1,DB!$A:$J,10,0)</f>
        <v>8295.7099999999991</v>
      </c>
      <c r="DD5">
        <f>VLOOKUP($A5&amp;DD$3&amp;DD$1,DB!$A:$J,10,0)</f>
        <v>8903.6</v>
      </c>
      <c r="DE5">
        <f>VLOOKUP($A5&amp;DE$3&amp;DE$1,DB!$A:$J,10,0)</f>
        <v>14502.81</v>
      </c>
      <c r="DF5">
        <f>VLOOKUP($A5&amp;DF$3&amp;DF$1,DB!$A:$J,10,0)</f>
        <v>17034.91</v>
      </c>
      <c r="DG5">
        <f>VLOOKUP($A5&amp;DG$3&amp;DG$1,DB!$A:$J,10,0)</f>
        <v>17984.98</v>
      </c>
      <c r="DH5">
        <f>VLOOKUP($A5&amp;DH$3&amp;DH$1,DB!$A:$J,10,0)</f>
        <v>5523.82</v>
      </c>
      <c r="DI5">
        <f>VLOOKUP($A5&amp;DI$3&amp;DI$1,DB!$A:$J,10,0)</f>
        <v>7450.74</v>
      </c>
      <c r="DJ5">
        <f>VLOOKUP($A5&amp;DJ$3&amp;DJ$1,DB!$A:$J,10,0)</f>
        <v>7365.03</v>
      </c>
      <c r="DK5">
        <f>VLOOKUP($A5&amp;DK$3&amp;DK$1,DB!$A:$J,10,0)</f>
        <v>8915.69</v>
      </c>
      <c r="DL5">
        <f>VLOOKUP($A5&amp;DL$3&amp;DL$1,DB!$A:$J,10,0)</f>
        <v>6996.67</v>
      </c>
      <c r="DM5">
        <f>VLOOKUP($A5&amp;DM$3&amp;DM$1,DB!$A:$J,10,0)</f>
        <v>8295.7099999999991</v>
      </c>
      <c r="DN5">
        <f>VLOOKUP($A5&amp;DN$3&amp;DN$1,DB!$A:$J,10,0)</f>
        <v>8903.6</v>
      </c>
      <c r="DO5">
        <f>VLOOKUP($A5&amp;DO$3&amp;DO$1,DB!$A:$J,10,0)</f>
        <v>14502.81</v>
      </c>
      <c r="DP5">
        <f>VLOOKUP($A5&amp;DP$3&amp;DP$1,DB!$A:$J,10,0)</f>
        <v>17034.91</v>
      </c>
      <c r="DQ5">
        <f>VLOOKUP($A5&amp;DQ$3&amp;DQ$1,DB!$A:$J,10,0)</f>
        <v>17984.98</v>
      </c>
      <c r="DR5">
        <f>VLOOKUP($A5&amp;DR$3&amp;DR$1,DB!$A:$J,10,0)</f>
        <v>4298.71</v>
      </c>
      <c r="DS5">
        <f>VLOOKUP($A5&amp;DS$3&amp;DS$1,DB!$A:$J,10,0)</f>
        <v>5225.2700000000004</v>
      </c>
      <c r="DT5">
        <f>VLOOKUP($A5&amp;DT$3&amp;DT$1,DB!$A:$J,10,0)</f>
        <v>7365.03</v>
      </c>
      <c r="DU5">
        <f>VLOOKUP($A5&amp;DU$3&amp;DU$1,DB!$A:$J,10,0)</f>
        <v>8765.9</v>
      </c>
      <c r="DV5">
        <f>VLOOKUP($A5&amp;DV$3&amp;DV$1,DB!$A:$J,10,0)</f>
        <v>6996.67</v>
      </c>
      <c r="DW5">
        <f>VLOOKUP($A5&amp;DW$3&amp;DW$1,DB!$A:$J,10,0)</f>
        <v>0</v>
      </c>
      <c r="DX5">
        <f>VLOOKUP($A5&amp;DX$3&amp;DX$1,DB!$A:$J,10,0)</f>
        <v>5230.71</v>
      </c>
      <c r="DY5">
        <f>VLOOKUP($A5&amp;DY$3&amp;DY$1,DB!$A:$J,10,0)</f>
        <v>6396.33</v>
      </c>
      <c r="DZ5">
        <f>VLOOKUP($A5&amp;DZ$3&amp;DZ$1,DB!$A:$J,10,0)</f>
        <v>5790.58</v>
      </c>
      <c r="EA5">
        <f>VLOOKUP($A5&amp;EA$3&amp;EA$1,DB!$A:$J,10,0)</f>
        <v>7919.41</v>
      </c>
      <c r="EB5">
        <f>VLOOKUP($A5&amp;EB$3&amp;EB$1,DB!$A:$J,10,0)</f>
        <v>875.58</v>
      </c>
      <c r="EC5">
        <f>VLOOKUP($A5&amp;EC$3&amp;EC$1,DB!$A:$J,10,0)</f>
        <v>1839.72</v>
      </c>
      <c r="ED5">
        <f>VLOOKUP($A5&amp;ED$3&amp;ED$1,DB!$A:$J,10,0)</f>
        <v>0</v>
      </c>
      <c r="EE5">
        <f>VLOOKUP($A5&amp;EE$3&amp;EE$1,DB!$A:$J,10,0)</f>
        <v>149.79</v>
      </c>
      <c r="EF5">
        <f>VLOOKUP($A5&amp;EF$3&amp;EF$1,DB!$A:$J,10,0)</f>
        <v>0</v>
      </c>
      <c r="EG5">
        <f>VLOOKUP($A5&amp;EG$3&amp;EG$1,DB!$A:$J,10,0)</f>
        <v>8295.7099999999991</v>
      </c>
      <c r="EH5">
        <f>VLOOKUP($A5&amp;EH$3&amp;EH$1,DB!$A:$J,10,0)</f>
        <v>461.04</v>
      </c>
      <c r="EI5">
        <f>VLOOKUP($A5&amp;EI$3&amp;EI$1,DB!$A:$J,10,0)</f>
        <v>64.930000000000007</v>
      </c>
      <c r="EJ5">
        <f>VLOOKUP($A5&amp;EJ$3&amp;EJ$1,DB!$A:$J,10,0)</f>
        <v>0</v>
      </c>
      <c r="EK5">
        <f>VLOOKUP($A5&amp;EK$3&amp;EK$1,DB!$A:$J,10,0)</f>
        <v>44.7</v>
      </c>
    </row>
    <row r="6" spans="1:141" hidden="1" x14ac:dyDescent="0.35">
      <c r="A6" t="s">
        <v>42</v>
      </c>
      <c r="B6">
        <f>VLOOKUP($A6&amp;B$3&amp;B$1,DB!$A:$J,10,0)</f>
        <v>0.30320000000000003</v>
      </c>
      <c r="C6">
        <f>VLOOKUP($A6&amp;C$3&amp;C$1,DB!$A:$J,10,0)</f>
        <v>0.25559999999999999</v>
      </c>
      <c r="D6">
        <f>VLOOKUP($A6&amp;D$3&amp;D$1,DB!$A:$J,10,0)</f>
        <v>0.34470000000000001</v>
      </c>
      <c r="E6">
        <f>VLOOKUP($A6&amp;E$3&amp;E$1,DB!$A:$J,10,0)</f>
        <v>0.28589999999999999</v>
      </c>
      <c r="F6">
        <f>VLOOKUP($A6&amp;F$3&amp;F$1,DB!$A:$J,10,0)</f>
        <v>0.27010000000000001</v>
      </c>
      <c r="G6">
        <f>VLOOKUP($A6&amp;G$3&amp;G$1,DB!$A:$J,10,0)</f>
        <v>0.25040000000000001</v>
      </c>
      <c r="H6">
        <f>VLOOKUP($A6&amp;H$3&amp;H$1,DB!$A:$J,10,0)</f>
        <v>0.20649999999999999</v>
      </c>
      <c r="I6">
        <f>VLOOKUP($A6&amp;I$3&amp;I$1,DB!$A:$J,10,0)</f>
        <v>0.25869999999999999</v>
      </c>
      <c r="J6">
        <f>VLOOKUP($A6&amp;J$3&amp;J$1,DB!$A:$J,10,0)</f>
        <v>0.29549999999999998</v>
      </c>
      <c r="K6" t="e">
        <f>VLOOKUP($A6&amp;K$3&amp;K$1,DB!$A:$J,10,0)</f>
        <v>#N/A</v>
      </c>
      <c r="L6">
        <f>VLOOKUP($A6&amp;L$3&amp;L$1,DB!$A:$J,10,0)</f>
        <v>0.8014</v>
      </c>
      <c r="M6">
        <f>VLOOKUP($A6&amp;M$3&amp;M$1,DB!$A:$J,10,0)</f>
        <v>0.93859999999999999</v>
      </c>
      <c r="N6">
        <f>VLOOKUP($A6&amp;N$3&amp;N$1,DB!$A:$J,10,0)</f>
        <v>0.62180000000000002</v>
      </c>
      <c r="O6">
        <f>VLOOKUP($A6&amp;O$3&amp;O$1,DB!$A:$J,10,0)</f>
        <v>0.61339999999999995</v>
      </c>
      <c r="P6">
        <f>VLOOKUP($A6&amp;P$3&amp;P$1,DB!$A:$J,10,0)</f>
        <v>0.60289999999999999</v>
      </c>
      <c r="Q6">
        <f>VLOOKUP($A6&amp;Q$3&amp;Q$1,DB!$A:$J,10,0)</f>
        <v>0.61140000000000005</v>
      </c>
      <c r="R6">
        <f>VLOOKUP($A6&amp;R$3&amp;R$1,DB!$A:$J,10,0)</f>
        <v>0.71350000000000002</v>
      </c>
      <c r="S6">
        <f>VLOOKUP($A6&amp;S$3&amp;S$1,DB!$A:$J,10,0)</f>
        <v>0.99370000000000003</v>
      </c>
      <c r="T6">
        <f>VLOOKUP($A6&amp;T$3&amp;T$1,DB!$A:$J,10,0)</f>
        <v>1</v>
      </c>
      <c r="U6" t="e">
        <f>VLOOKUP($A6&amp;U$3&amp;U$1,DB!$A:$J,10,0)</f>
        <v>#N/A</v>
      </c>
      <c r="V6">
        <f>VLOOKUP($A6&amp;V$3&amp;V$1,DB!$A:$J,10,0)</f>
        <v>0.1565</v>
      </c>
      <c r="W6">
        <f>VLOOKUP($A6&amp;W$3&amp;W$1,DB!$A:$J,10,0)</f>
        <v>6.1400000000000003E-2</v>
      </c>
      <c r="X6">
        <f>VLOOKUP($A6&amp;X$3&amp;X$1,DB!$A:$J,10,0)</f>
        <v>0.37819999999999998</v>
      </c>
      <c r="Y6">
        <f>VLOOKUP($A6&amp;Y$3&amp;Y$1,DB!$A:$J,10,0)</f>
        <v>0.38600000000000001</v>
      </c>
      <c r="Z6">
        <f>VLOOKUP($A6&amp;Z$3&amp;Z$1,DB!$A:$J,10,0)</f>
        <v>0.39710000000000001</v>
      </c>
      <c r="AA6">
        <f>VLOOKUP($A6&amp;AA$3&amp;AA$1,DB!$A:$J,10,0)</f>
        <v>0.38469999999999999</v>
      </c>
      <c r="AB6">
        <f>VLOOKUP($A6&amp;AB$3&amp;AB$1,DB!$A:$J,10,0)</f>
        <v>0.25040000000000001</v>
      </c>
      <c r="AC6">
        <f>VLOOKUP($A6&amp;AC$3&amp;AC$1,DB!$A:$J,10,0)</f>
        <v>6.3E-3</v>
      </c>
      <c r="AD6">
        <f>VLOOKUP($A6&amp;AD$3&amp;AD$1,DB!$A:$J,10,0)</f>
        <v>0</v>
      </c>
      <c r="AE6" t="e">
        <f>VLOOKUP($A6&amp;AE$3&amp;AE$1,DB!$A:$J,10,0)</f>
        <v>#N/A</v>
      </c>
      <c r="AF6">
        <f>VLOOKUP($A6&amp;AF$3&amp;AF$1,DB!$A:$J,10,0)</f>
        <v>0</v>
      </c>
      <c r="AG6">
        <f>VLOOKUP($A6&amp;AG$3&amp;AG$1,DB!$A:$J,10,0)</f>
        <v>0</v>
      </c>
      <c r="AH6">
        <f>VLOOKUP($A6&amp;AH$3&amp;AH$1,DB!$A:$J,10,0)</f>
        <v>0.2243</v>
      </c>
      <c r="AI6">
        <f>VLOOKUP($A6&amp;AI$3&amp;AI$1,DB!$A:$J,10,0)</f>
        <v>0</v>
      </c>
      <c r="AJ6">
        <f>VLOOKUP($A6&amp;AJ$3&amp;AJ$1,DB!$A:$J,10,0)</f>
        <v>0</v>
      </c>
      <c r="AK6">
        <f>VLOOKUP($A6&amp;AK$3&amp;AK$1,DB!$A:$J,10,0)</f>
        <v>0</v>
      </c>
      <c r="AL6">
        <f>VLOOKUP($A6&amp;AL$3&amp;AL$1,DB!$A:$J,10,0)</f>
        <v>0.441</v>
      </c>
      <c r="AM6">
        <f>VLOOKUP($A6&amp;AM$3&amp;AM$1,DB!$A:$J,10,0)</f>
        <v>0.42620000000000002</v>
      </c>
      <c r="AN6">
        <f>VLOOKUP($A6&amp;AN$3&amp;AN$1,DB!$A:$J,10,0)</f>
        <v>0.31240000000000001</v>
      </c>
      <c r="AO6" t="e">
        <f>VLOOKUP($A6&amp;AO$3&amp;AO$1,DB!$A:$J,10,0)</f>
        <v>#N/A</v>
      </c>
      <c r="AP6">
        <f>VLOOKUP($A6&amp;AP$3&amp;AP$1,DB!$A:$J,10,0)</f>
        <v>0.73229999999999995</v>
      </c>
      <c r="AQ6">
        <f>VLOOKUP($A6&amp;AQ$3&amp;AQ$1,DB!$A:$J,10,0)</f>
        <v>0.99990000000000001</v>
      </c>
      <c r="AR6">
        <f>VLOOKUP($A6&amp;AR$3&amp;AR$1,DB!$A:$J,10,0)</f>
        <v>0.77569999999999995</v>
      </c>
      <c r="AS6">
        <f>VLOOKUP($A6&amp;AS$3&amp;AS$1,DB!$A:$J,10,0)</f>
        <v>0.59279999999999999</v>
      </c>
      <c r="AT6">
        <f>VLOOKUP($A6&amp;AT$3&amp;AT$1,DB!$A:$J,10,0)</f>
        <v>0.88049999999999995</v>
      </c>
      <c r="AU6">
        <f>VLOOKUP($A6&amp;AU$3&amp;AU$1,DB!$A:$J,10,0)</f>
        <v>0.99609999999999999</v>
      </c>
      <c r="AV6">
        <f>VLOOKUP($A6&amp;AV$3&amp;AV$1,DB!$A:$J,10,0)</f>
        <v>0.52290000000000003</v>
      </c>
      <c r="AW6">
        <f>VLOOKUP($A6&amp;AW$3&amp;AW$1,DB!$A:$J,10,0)</f>
        <v>0.57699999999999996</v>
      </c>
      <c r="AX6">
        <f>VLOOKUP($A6&amp;AX$3&amp;AX$1,DB!$A:$J,10,0)</f>
        <v>0.85460000000000003</v>
      </c>
      <c r="AY6" t="e">
        <f>VLOOKUP($A6&amp;AY$3&amp;AY$1,DB!$A:$J,10,0)</f>
        <v>#N/A</v>
      </c>
      <c r="AZ6">
        <f>VLOOKUP($A6&amp;AZ$3&amp;AZ$1,DB!$A:$J,10,0)</f>
        <v>0.1928</v>
      </c>
      <c r="BA6">
        <f>VLOOKUP($A6&amp;BA$3&amp;BA$1,DB!$A:$J,10,0)</f>
        <v>0.1232</v>
      </c>
      <c r="BB6">
        <f>VLOOKUP($A6&amp;BB$3&amp;BB$1,DB!$A:$J,10,0)</f>
        <v>0.18859999999999999</v>
      </c>
      <c r="BC6">
        <f>VLOOKUP($A6&amp;BC$3&amp;BC$1,DB!$A:$J,10,0)</f>
        <v>0.1603</v>
      </c>
      <c r="BD6">
        <f>VLOOKUP($A6&amp;BD$3&amp;BD$1,DB!$A:$J,10,0)</f>
        <v>0.1013</v>
      </c>
      <c r="BE6">
        <f>VLOOKUP($A6&amp;BE$3&amp;BE$1,DB!$A:$J,10,0)</f>
        <v>0</v>
      </c>
      <c r="BF6">
        <f>VLOOKUP($A6&amp;BF$3&amp;BF$1,DB!$A:$J,10,0)</f>
        <v>0.36899999999999999</v>
      </c>
      <c r="BG6">
        <f>VLOOKUP($A6&amp;BG$3&amp;BG$1,DB!$A:$J,10,0)</f>
        <v>0.1822</v>
      </c>
      <c r="BH6">
        <f>VLOOKUP($A6&amp;BH$3&amp;BH$1,DB!$A:$J,10,0)</f>
        <v>0.16009999999999999</v>
      </c>
      <c r="BI6" t="e">
        <f>VLOOKUP($A6&amp;BI$3&amp;BI$1,DB!$A:$J,10,0)</f>
        <v>#N/A</v>
      </c>
      <c r="BJ6">
        <f>VLOOKUP($A6&amp;BJ$3&amp;BJ$1,DB!$A:$J,10,0)</f>
        <v>0.7742</v>
      </c>
      <c r="BK6">
        <f>VLOOKUP($A6&amp;BK$3&amp;BK$1,DB!$A:$J,10,0)</f>
        <v>0.62129999999999996</v>
      </c>
      <c r="BL6">
        <f>VLOOKUP($A6&amp;BL$3&amp;BL$1,DB!$A:$J,10,0)</f>
        <v>0.70369999999999999</v>
      </c>
      <c r="BM6">
        <f>VLOOKUP($A6&amp;BM$3&amp;BM$1,DB!$A:$J,10,0)</f>
        <v>0.77259999999999995</v>
      </c>
      <c r="BN6">
        <f>VLOOKUP($A6&amp;BN$3&amp;BN$1,DB!$A:$J,10,0)</f>
        <v>0.84370000000000001</v>
      </c>
      <c r="BO6">
        <f>VLOOKUP($A6&amp;BO$3&amp;BO$1,DB!$A:$J,10,0)</f>
        <v>0</v>
      </c>
      <c r="BP6">
        <f>VLOOKUP($A6&amp;BP$3&amp;BP$1,DB!$A:$J,10,0)</f>
        <v>0.5121</v>
      </c>
      <c r="BQ6">
        <f>VLOOKUP($A6&amp;BQ$3&amp;BQ$1,DB!$A:$J,10,0)</f>
        <v>0.38190000000000002</v>
      </c>
      <c r="BR6">
        <f>VLOOKUP($A6&amp;BR$3&amp;BR$1,DB!$A:$J,10,0)</f>
        <v>0.61919999999999997</v>
      </c>
      <c r="BS6" t="e">
        <f>VLOOKUP($A6&amp;BS$3&amp;BS$1,DB!$A:$J,10,0)</f>
        <v>#N/A</v>
      </c>
      <c r="BT6">
        <f>VLOOKUP($A6&amp;BT$3&amp;BT$1,DB!$A:$J,10,0)</f>
        <v>0.22239999999999999</v>
      </c>
      <c r="BU6">
        <f>VLOOKUP($A6&amp;BU$3&amp;BU$1,DB!$A:$J,10,0)</f>
        <v>0.14460000000000001</v>
      </c>
      <c r="BV6">
        <f>VLOOKUP($A6&amp;BV$3&amp;BV$1,DB!$A:$J,10,0)</f>
        <v>0.26329999999999998</v>
      </c>
      <c r="BW6">
        <f>VLOOKUP($A6&amp;BW$3&amp;BW$1,DB!$A:$J,10,0)</f>
        <v>0.373</v>
      </c>
      <c r="BX6">
        <f>VLOOKUP($A6&amp;BX$3&amp;BX$1,DB!$A:$J,10,0)</f>
        <v>0.23230000000000001</v>
      </c>
      <c r="BY6">
        <f>VLOOKUP($A6&amp;BY$3&amp;BY$1,DB!$A:$J,10,0)</f>
        <v>0</v>
      </c>
      <c r="BZ6">
        <f>VLOOKUP($A6&amp;BZ$3&amp;BZ$1,DB!$A:$J,10,0)</f>
        <v>0.2157</v>
      </c>
      <c r="CA6">
        <f>VLOOKUP($A6&amp;CA$3&amp;CA$1,DB!$A:$J,10,0)</f>
        <v>0</v>
      </c>
      <c r="CB6">
        <f>VLOOKUP($A6&amp;CB$3&amp;CB$1,DB!$A:$J,10,0)</f>
        <v>0.22359999999999999</v>
      </c>
      <c r="CC6" t="e">
        <f>VLOOKUP($A6&amp;CC$3&amp;CC$1,DB!$A:$J,10,0)</f>
        <v>#N/A</v>
      </c>
      <c r="CD6">
        <f>VLOOKUP($A6&amp;CD$3&amp;CD$1,DB!$A:$J,10,0)</f>
        <v>4123.82</v>
      </c>
      <c r="CE6">
        <f>VLOOKUP($A6&amp;CE$3&amp;CE$1,DB!$A:$J,10,0)</f>
        <v>3538.33</v>
      </c>
      <c r="CF6">
        <f>VLOOKUP($A6&amp;CF$3&amp;CF$1,DB!$A:$J,10,0)</f>
        <v>3431.37</v>
      </c>
      <c r="CG6">
        <f>VLOOKUP($A6&amp;CG$3&amp;CG$1,DB!$A:$J,10,0)</f>
        <v>2290.04</v>
      </c>
      <c r="CH6">
        <f>VLOOKUP($A6&amp;CH$3&amp;CH$1,DB!$A:$J,10,0)</f>
        <v>2023.83</v>
      </c>
      <c r="CI6">
        <f>VLOOKUP($A6&amp;CI$3&amp;CI$1,DB!$A:$J,10,0)</f>
        <v>1702.7</v>
      </c>
      <c r="CJ6">
        <f>VLOOKUP($A6&amp;CJ$3&amp;CJ$1,DB!$A:$J,10,0)</f>
        <v>6047.48</v>
      </c>
      <c r="CK6">
        <f>VLOOKUP($A6&amp;CK$3&amp;CK$1,DB!$A:$J,10,0)</f>
        <v>7305.09</v>
      </c>
      <c r="CL6">
        <f>VLOOKUP($A6&amp;CL$3&amp;CL$1,DB!$A:$J,10,0)</f>
        <v>7302.62</v>
      </c>
      <c r="CM6" t="e">
        <f>VLOOKUP($A6&amp;CM$3&amp;CM$1,DB!$A:$J,10,0)</f>
        <v>#N/A</v>
      </c>
      <c r="CN6">
        <f>VLOOKUP($A6&amp;CN$3&amp;CN$1,DB!$A:$J,10,0)</f>
        <v>8207.5</v>
      </c>
      <c r="CO6">
        <f>VLOOKUP($A6&amp;CO$3&amp;CO$1,DB!$A:$J,10,0)</f>
        <v>6828.01</v>
      </c>
      <c r="CP6">
        <f>VLOOKUP($A6&amp;CP$3&amp;CP$1,DB!$A:$J,10,0)</f>
        <v>9715.84</v>
      </c>
      <c r="CQ6">
        <f>VLOOKUP($A6&amp;CQ$3&amp;CQ$1,DB!$A:$J,10,0)</f>
        <v>8841.65</v>
      </c>
      <c r="CR6">
        <f>VLOOKUP($A6&amp;CR$3&amp;CR$1,DB!$A:$J,10,0)</f>
        <v>13768.02</v>
      </c>
      <c r="CS6">
        <f>VLOOKUP($A6&amp;CS$3&amp;CS$1,DB!$A:$J,10,0)</f>
        <v>11491.29</v>
      </c>
      <c r="CT6">
        <f>VLOOKUP($A6&amp;CT$3&amp;CT$1,DB!$A:$J,10,0)</f>
        <v>7469.37</v>
      </c>
      <c r="CU6">
        <f>VLOOKUP($A6&amp;CU$3&amp;CU$1,DB!$A:$J,10,0)</f>
        <v>13733.56</v>
      </c>
      <c r="CV6">
        <f>VLOOKUP($A6&amp;CV$3&amp;CV$1,DB!$A:$J,10,0)</f>
        <v>16553.349999999999</v>
      </c>
      <c r="CW6" t="e">
        <f>VLOOKUP($A6&amp;CW$3&amp;CW$1,DB!$A:$J,10,0)</f>
        <v>#N/A</v>
      </c>
      <c r="CX6">
        <f>VLOOKUP($A6&amp;CX$3&amp;CX$1,DB!$A:$J,10,0)</f>
        <v>6853.99</v>
      </c>
      <c r="CY6">
        <f>VLOOKUP($A6&amp;CY$3&amp;CY$1,DB!$A:$J,10,0)</f>
        <v>5965.47</v>
      </c>
      <c r="CZ6">
        <f>VLOOKUP($A6&amp;CZ$3&amp;CZ$1,DB!$A:$J,10,0)</f>
        <v>6964.53</v>
      </c>
      <c r="DA6">
        <f>VLOOKUP($A6&amp;DA$3&amp;DA$1,DB!$A:$J,10,0)</f>
        <v>5603.36</v>
      </c>
      <c r="DB6">
        <f>VLOOKUP($A6&amp;DB$3&amp;DB$1,DB!$A:$J,10,0)</f>
        <v>7935.28</v>
      </c>
      <c r="DC6">
        <f>VLOOKUP($A6&amp;DC$3&amp;DC$1,DB!$A:$J,10,0)</f>
        <v>6526.83</v>
      </c>
      <c r="DD6">
        <f>VLOOKUP($A6&amp;DD$3&amp;DD$1,DB!$A:$J,10,0)</f>
        <v>7480.16</v>
      </c>
      <c r="DE6">
        <f>VLOOKUP($A6&amp;DE$3&amp;DE$1,DB!$A:$J,10,0)</f>
        <v>17933.13</v>
      </c>
      <c r="DF6">
        <f>VLOOKUP($A6&amp;DF$3&amp;DF$1,DB!$A:$J,10,0)</f>
        <v>16179.16</v>
      </c>
      <c r="DG6" t="e">
        <f>VLOOKUP($A6&amp;DG$3&amp;DG$1,DB!$A:$J,10,0)</f>
        <v>#N/A</v>
      </c>
      <c r="DH6">
        <f>VLOOKUP($A6&amp;DH$3&amp;DH$1,DB!$A:$J,10,0)</f>
        <v>6853.99</v>
      </c>
      <c r="DI6">
        <f>VLOOKUP($A6&amp;DI$3&amp;DI$1,DB!$A:$J,10,0)</f>
        <v>5965.47</v>
      </c>
      <c r="DJ6">
        <f>VLOOKUP($A6&amp;DJ$3&amp;DJ$1,DB!$A:$J,10,0)</f>
        <v>6964.53</v>
      </c>
      <c r="DK6">
        <f>VLOOKUP($A6&amp;DK$3&amp;DK$1,DB!$A:$J,10,0)</f>
        <v>5603.36</v>
      </c>
      <c r="DL6">
        <f>VLOOKUP($A6&amp;DL$3&amp;DL$1,DB!$A:$J,10,0)</f>
        <v>7935.28</v>
      </c>
      <c r="DM6">
        <f>VLOOKUP($A6&amp;DM$3&amp;DM$1,DB!$A:$J,10,0)</f>
        <v>6526.83</v>
      </c>
      <c r="DN6">
        <f>VLOOKUP($A6&amp;DN$3&amp;DN$1,DB!$A:$J,10,0)</f>
        <v>7480.16</v>
      </c>
      <c r="DO6">
        <f>VLOOKUP($A6&amp;DO$3&amp;DO$1,DB!$A:$J,10,0)</f>
        <v>17933.13</v>
      </c>
      <c r="DP6">
        <f>VLOOKUP($A6&amp;DP$3&amp;DP$1,DB!$A:$J,10,0)</f>
        <v>16179.16</v>
      </c>
      <c r="DQ6" t="e">
        <f>VLOOKUP($A6&amp;DQ$3&amp;DQ$1,DB!$A:$J,10,0)</f>
        <v>#N/A</v>
      </c>
      <c r="DR6">
        <f>VLOOKUP($A6&amp;DR$3&amp;DR$1,DB!$A:$J,10,0)</f>
        <v>4240.5200000000004</v>
      </c>
      <c r="DS6">
        <f>VLOOKUP($A6&amp;DS$3&amp;DS$1,DB!$A:$J,10,0)</f>
        <v>2880.9</v>
      </c>
      <c r="DT6">
        <f>VLOOKUP($A6&amp;DT$3&amp;DT$1,DB!$A:$J,10,0)</f>
        <v>4750.7299999999996</v>
      </c>
      <c r="DU6">
        <f>VLOOKUP($A6&amp;DU$3&amp;DU$1,DB!$A:$J,10,0)</f>
        <v>4689.38</v>
      </c>
      <c r="DV6">
        <f>VLOOKUP($A6&amp;DV$3&amp;DV$1,DB!$A:$J,10,0)</f>
        <v>6449.38</v>
      </c>
      <c r="DW6">
        <f>VLOOKUP($A6&amp;DW$3&amp;DW$1,DB!$A:$J,10,0)</f>
        <v>0</v>
      </c>
      <c r="DX6">
        <f>VLOOKUP($A6&amp;DX$3&amp;DX$1,DB!$A:$J,10,0)</f>
        <v>4084.48</v>
      </c>
      <c r="DY6">
        <f>VLOOKUP($A6&amp;DY$3&amp;DY$1,DB!$A:$J,10,0)</f>
        <v>6326.27</v>
      </c>
      <c r="DZ6">
        <f>VLOOKUP($A6&amp;DZ$3&amp;DZ$1,DB!$A:$J,10,0)</f>
        <v>7186.16</v>
      </c>
      <c r="EA6" t="e">
        <f>VLOOKUP($A6&amp;EA$3&amp;EA$1,DB!$A:$J,10,0)</f>
        <v>#N/A</v>
      </c>
      <c r="EB6">
        <f>VLOOKUP($A6&amp;EB$3&amp;EB$1,DB!$A:$J,10,0)</f>
        <v>706.77</v>
      </c>
      <c r="EC6">
        <f>VLOOKUP($A6&amp;EC$3&amp;EC$1,DB!$A:$J,10,0)</f>
        <v>486.91</v>
      </c>
      <c r="ED6">
        <f>VLOOKUP($A6&amp;ED$3&amp;ED$1,DB!$A:$J,10,0)</f>
        <v>2213.8000000000002</v>
      </c>
      <c r="EE6">
        <f>VLOOKUP($A6&amp;EE$3&amp;EE$1,DB!$A:$J,10,0)</f>
        <v>913.98</v>
      </c>
      <c r="EF6">
        <f>VLOOKUP($A6&amp;EF$3&amp;EF$1,DB!$A:$J,10,0)</f>
        <v>1485.9</v>
      </c>
      <c r="EG6">
        <f>VLOOKUP($A6&amp;EG$3&amp;EG$1,DB!$A:$J,10,0)</f>
        <v>4840.54</v>
      </c>
      <c r="EH6">
        <f>VLOOKUP($A6&amp;EH$3&amp;EH$1,DB!$A:$J,10,0)</f>
        <v>1431.88</v>
      </c>
      <c r="EI6">
        <f>VLOOKUP($A6&amp;EI$3&amp;EI$1,DB!$A:$J,10,0)</f>
        <v>0</v>
      </c>
      <c r="EJ6">
        <f>VLOOKUP($A6&amp;EJ$3&amp;EJ$1,DB!$A:$J,10,0)</f>
        <v>0</v>
      </c>
      <c r="EK6" t="e">
        <f>VLOOKUP($A6&amp;EK$3&amp;EK$1,DB!$A:$J,10,0)</f>
        <v>#N/A</v>
      </c>
    </row>
    <row r="7" spans="1:141" hidden="1" x14ac:dyDescent="0.35">
      <c r="A7" t="s">
        <v>43</v>
      </c>
      <c r="B7">
        <f>VLOOKUP($A7&amp;B$3&amp;B$1,DB!$A:$J,10,0)</f>
        <v>0.30209999999999998</v>
      </c>
      <c r="C7">
        <f>VLOOKUP($A7&amp;C$3&amp;C$1,DB!$A:$J,10,0)</f>
        <v>0.30380000000000001</v>
      </c>
      <c r="D7">
        <f>VLOOKUP($A7&amp;D$3&amp;D$1,DB!$A:$J,10,0)</f>
        <v>0.2969</v>
      </c>
      <c r="E7">
        <f>VLOOKUP($A7&amp;E$3&amp;E$1,DB!$A:$J,10,0)</f>
        <v>0.33090000000000003</v>
      </c>
      <c r="F7">
        <f>VLOOKUP($A7&amp;F$3&amp;F$1,DB!$A:$J,10,0)</f>
        <v>0.25800000000000001</v>
      </c>
      <c r="G7">
        <f>VLOOKUP($A7&amp;G$3&amp;G$1,DB!$A:$J,10,0)</f>
        <v>0.24349999999999999</v>
      </c>
      <c r="H7">
        <f>VLOOKUP($A7&amp;H$3&amp;H$1,DB!$A:$J,10,0)</f>
        <v>0.25530000000000003</v>
      </c>
      <c r="I7">
        <f>VLOOKUP($A7&amp;I$3&amp;I$1,DB!$A:$J,10,0)</f>
        <v>0.26</v>
      </c>
      <c r="J7">
        <f>VLOOKUP($A7&amp;J$3&amp;J$1,DB!$A:$J,10,0)</f>
        <v>0.34489999999999998</v>
      </c>
      <c r="K7">
        <f>VLOOKUP($A7&amp;K$3&amp;K$1,DB!$A:$J,10,0)</f>
        <v>0.27060000000000001</v>
      </c>
      <c r="L7">
        <f>VLOOKUP($A7&amp;L$3&amp;L$1,DB!$A:$J,10,0)</f>
        <v>0.87519999999999998</v>
      </c>
      <c r="M7">
        <f>VLOOKUP($A7&amp;M$3&amp;M$1,DB!$A:$J,10,0)</f>
        <v>0.94420000000000004</v>
      </c>
      <c r="N7">
        <f>VLOOKUP($A7&amp;N$3&amp;N$1,DB!$A:$J,10,0)</f>
        <v>0.70089999999999997</v>
      </c>
      <c r="O7">
        <f>VLOOKUP($A7&amp;O$3&amp;O$1,DB!$A:$J,10,0)</f>
        <v>0.75409999999999999</v>
      </c>
      <c r="P7">
        <f>VLOOKUP($A7&amp;P$3&amp;P$1,DB!$A:$J,10,0)</f>
        <v>0.63439999999999996</v>
      </c>
      <c r="Q7">
        <f>VLOOKUP($A7&amp;Q$3&amp;Q$1,DB!$A:$J,10,0)</f>
        <v>0.64629999999999999</v>
      </c>
      <c r="R7">
        <f>VLOOKUP($A7&amp;R$3&amp;R$1,DB!$A:$J,10,0)</f>
        <v>0.71109999999999995</v>
      </c>
      <c r="S7">
        <f>VLOOKUP($A7&amp;S$3&amp;S$1,DB!$A:$J,10,0)</f>
        <v>0.84589999999999999</v>
      </c>
      <c r="T7">
        <f>VLOOKUP($A7&amp;T$3&amp;T$1,DB!$A:$J,10,0)</f>
        <v>0.93779999999999997</v>
      </c>
      <c r="U7">
        <f>VLOOKUP($A7&amp;U$3&amp;U$1,DB!$A:$J,10,0)</f>
        <v>0.9123</v>
      </c>
      <c r="V7">
        <f>VLOOKUP($A7&amp;V$3&amp;V$1,DB!$A:$J,10,0)</f>
        <v>0.1236</v>
      </c>
      <c r="W7">
        <f>VLOOKUP($A7&amp;W$3&amp;W$1,DB!$A:$J,10,0)</f>
        <v>3.4500000000000003E-2</v>
      </c>
      <c r="X7">
        <f>VLOOKUP($A7&amp;X$3&amp;X$1,DB!$A:$J,10,0)</f>
        <v>0.29659999999999997</v>
      </c>
      <c r="Y7">
        <f>VLOOKUP($A7&amp;Y$3&amp;Y$1,DB!$A:$J,10,0)</f>
        <v>0.23499999999999999</v>
      </c>
      <c r="Z7">
        <f>VLOOKUP($A7&amp;Z$3&amp;Z$1,DB!$A:$J,10,0)</f>
        <v>0.3553</v>
      </c>
      <c r="AA7">
        <f>VLOOKUP($A7&amp;AA$3&amp;AA$1,DB!$A:$J,10,0)</f>
        <v>0.3473</v>
      </c>
      <c r="AB7">
        <f>VLOOKUP($A7&amp;AB$3&amp;AB$1,DB!$A:$J,10,0)</f>
        <v>0.27410000000000001</v>
      </c>
      <c r="AC7">
        <f>VLOOKUP($A7&amp;AC$3&amp;AC$1,DB!$A:$J,10,0)</f>
        <v>0.15409999999999999</v>
      </c>
      <c r="AD7">
        <f>VLOOKUP($A7&amp;AD$3&amp;AD$1,DB!$A:$J,10,0)</f>
        <v>6.1699999999999998E-2</v>
      </c>
      <c r="AE7">
        <f>VLOOKUP($A7&amp;AE$3&amp;AE$1,DB!$A:$J,10,0)</f>
        <v>4.1000000000000002E-2</v>
      </c>
      <c r="AF7">
        <f>VLOOKUP($A7&amp;AF$3&amp;AF$1,DB!$A:$J,10,0)</f>
        <v>2.6599999999999999E-2</v>
      </c>
      <c r="AG7">
        <f>VLOOKUP($A7&amp;AG$3&amp;AG$1,DB!$A:$J,10,0)</f>
        <v>5.62E-2</v>
      </c>
      <c r="AH7">
        <f>VLOOKUP($A7&amp;AH$3&amp;AH$1,DB!$A:$J,10,0)</f>
        <v>0.37690000000000001</v>
      </c>
      <c r="AI7">
        <f>VLOOKUP($A7&amp;AI$3&amp;AI$1,DB!$A:$J,10,0)</f>
        <v>0</v>
      </c>
      <c r="AJ7">
        <f>VLOOKUP($A7&amp;AJ$3&amp;AJ$1,DB!$A:$J,10,0)</f>
        <v>0</v>
      </c>
      <c r="AK7">
        <f>VLOOKUP($A7&amp;AK$3&amp;AK$1,DB!$A:$J,10,0)</f>
        <v>0.1255</v>
      </c>
      <c r="AL7">
        <f>VLOOKUP($A7&amp;AL$3&amp;AL$1,DB!$A:$J,10,0)</f>
        <v>7.5700000000000003E-2</v>
      </c>
      <c r="AM7">
        <f>VLOOKUP($A7&amp;AM$3&amp;AM$1,DB!$A:$J,10,0)</f>
        <v>8.8400000000000006E-2</v>
      </c>
      <c r="AN7">
        <f>VLOOKUP($A7&amp;AN$3&amp;AN$1,DB!$A:$J,10,0)</f>
        <v>0.16889999999999999</v>
      </c>
      <c r="AO7">
        <f>VLOOKUP($A7&amp;AO$3&amp;AO$1,DB!$A:$J,10,0)</f>
        <v>0.08</v>
      </c>
      <c r="AP7">
        <f>VLOOKUP($A7&amp;AP$3&amp;AP$1,DB!$A:$J,10,0)</f>
        <v>0.82469999999999999</v>
      </c>
      <c r="AQ7">
        <f>VLOOKUP($A7&amp;AQ$3&amp;AQ$1,DB!$A:$J,10,0)</f>
        <v>0.61890000000000001</v>
      </c>
      <c r="AR7">
        <f>VLOOKUP($A7&amp;AR$3&amp;AR$1,DB!$A:$J,10,0)</f>
        <v>0.62050000000000005</v>
      </c>
      <c r="AS7">
        <f>VLOOKUP($A7&amp;AS$3&amp;AS$1,DB!$A:$J,10,0)</f>
        <v>0.98909999999999998</v>
      </c>
      <c r="AT7">
        <f>VLOOKUP($A7&amp;AT$3&amp;AT$1,DB!$A:$J,10,0)</f>
        <v>0.87670000000000003</v>
      </c>
      <c r="AU7">
        <f>VLOOKUP($A7&amp;AU$3&amp;AU$1,DB!$A:$J,10,0)</f>
        <v>0.86799999999999999</v>
      </c>
      <c r="AV7">
        <f>VLOOKUP($A7&amp;AV$3&amp;AV$1,DB!$A:$J,10,0)</f>
        <v>0.90939999999999999</v>
      </c>
      <c r="AW7">
        <f>VLOOKUP($A7&amp;AW$3&amp;AW$1,DB!$A:$J,10,0)</f>
        <v>0.93740000000000001</v>
      </c>
      <c r="AX7">
        <f>VLOOKUP($A7&amp;AX$3&amp;AX$1,DB!$A:$J,10,0)</f>
        <v>0.75770000000000004</v>
      </c>
      <c r="AY7">
        <f>VLOOKUP($A7&amp;AY$3&amp;AY$1,DB!$A:$J,10,0)</f>
        <v>0.84819999999999995</v>
      </c>
      <c r="AZ7">
        <f>VLOOKUP($A7&amp;AZ$3&amp;AZ$1,DB!$A:$J,10,0)</f>
        <v>0.1075</v>
      </c>
      <c r="BA7">
        <f>VLOOKUP($A7&amp;BA$3&amp;BA$1,DB!$A:$J,10,0)</f>
        <v>0.2253</v>
      </c>
      <c r="BB7">
        <f>VLOOKUP($A7&amp;BB$3&amp;BB$1,DB!$A:$J,10,0)</f>
        <v>0.2054</v>
      </c>
      <c r="BC7">
        <f>VLOOKUP($A7&amp;BC$3&amp;BC$1,DB!$A:$J,10,0)</f>
        <v>9.2999999999999999E-2</v>
      </c>
      <c r="BD7">
        <f>VLOOKUP($A7&amp;BD$3&amp;BD$1,DB!$A:$J,10,0)</f>
        <v>8.2299999999999998E-2</v>
      </c>
      <c r="BE7">
        <f>VLOOKUP($A7&amp;BE$3&amp;BE$1,DB!$A:$J,10,0)</f>
        <v>0</v>
      </c>
      <c r="BF7">
        <f>VLOOKUP($A7&amp;BF$3&amp;BF$1,DB!$A:$J,10,0)</f>
        <v>7.3800000000000004E-2</v>
      </c>
      <c r="BG7">
        <f>VLOOKUP($A7&amp;BG$3&amp;BG$1,DB!$A:$J,10,0)</f>
        <v>6.8699999999999997E-2</v>
      </c>
      <c r="BH7">
        <f>VLOOKUP($A7&amp;BH$3&amp;BH$1,DB!$A:$J,10,0)</f>
        <v>9.3100000000000002E-2</v>
      </c>
      <c r="BI7">
        <f>VLOOKUP($A7&amp;BI$3&amp;BI$1,DB!$A:$J,10,0)</f>
        <v>5.9499999999999997E-2</v>
      </c>
      <c r="BJ7">
        <f>VLOOKUP($A7&amp;BJ$3&amp;BJ$1,DB!$A:$J,10,0)</f>
        <v>0.83420000000000005</v>
      </c>
      <c r="BK7">
        <f>VLOOKUP($A7&amp;BK$3&amp;BK$1,DB!$A:$J,10,0)</f>
        <v>0.64270000000000005</v>
      </c>
      <c r="BL7">
        <f>VLOOKUP($A7&amp;BL$3&amp;BL$1,DB!$A:$J,10,0)</f>
        <v>0.66020000000000001</v>
      </c>
      <c r="BM7">
        <f>VLOOKUP($A7&amp;BM$3&amp;BM$1,DB!$A:$J,10,0)</f>
        <v>0.76280000000000003</v>
      </c>
      <c r="BN7">
        <f>VLOOKUP($A7&amp;BN$3&amp;BN$1,DB!$A:$J,10,0)</f>
        <v>0.75</v>
      </c>
      <c r="BO7">
        <f>VLOOKUP($A7&amp;BO$3&amp;BO$1,DB!$A:$J,10,0)</f>
        <v>0</v>
      </c>
      <c r="BP7">
        <f>VLOOKUP($A7&amp;BP$3&amp;BP$1,DB!$A:$J,10,0)</f>
        <v>0.78649999999999998</v>
      </c>
      <c r="BQ7">
        <f>VLOOKUP($A7&amp;BQ$3&amp;BQ$1,DB!$A:$J,10,0)</f>
        <v>0.70630000000000004</v>
      </c>
      <c r="BR7">
        <f>VLOOKUP($A7&amp;BR$3&amp;BR$1,DB!$A:$J,10,0)</f>
        <v>0.70609999999999995</v>
      </c>
      <c r="BS7">
        <f>VLOOKUP($A7&amp;BS$3&amp;BS$1,DB!$A:$J,10,0)</f>
        <v>0.72850000000000004</v>
      </c>
      <c r="BT7">
        <f>VLOOKUP($A7&amp;BT$3&amp;BT$1,DB!$A:$J,10,0)</f>
        <v>0.29049999999999998</v>
      </c>
      <c r="BU7">
        <f>VLOOKUP($A7&amp;BU$3&amp;BU$1,DB!$A:$J,10,0)</f>
        <v>0.28870000000000001</v>
      </c>
      <c r="BV7">
        <f>VLOOKUP($A7&amp;BV$3&amp;BV$1,DB!$A:$J,10,0)</f>
        <v>0.27389999999999998</v>
      </c>
      <c r="BW7">
        <f>VLOOKUP($A7&amp;BW$3&amp;BW$1,DB!$A:$J,10,0)</f>
        <v>0.30109999999999998</v>
      </c>
      <c r="BX7">
        <f>VLOOKUP($A7&amp;BX$3&amp;BX$1,DB!$A:$J,10,0)</f>
        <v>0.25650000000000001</v>
      </c>
      <c r="BY7">
        <f>VLOOKUP($A7&amp;BY$3&amp;BY$1,DB!$A:$J,10,0)</f>
        <v>0</v>
      </c>
      <c r="BZ7">
        <f>VLOOKUP($A7&amp;BZ$3&amp;BZ$1,DB!$A:$J,10,0)</f>
        <v>0.25890000000000002</v>
      </c>
      <c r="CA7">
        <f>VLOOKUP($A7&amp;CA$3&amp;CA$1,DB!$A:$J,10,0)</f>
        <v>0.3196</v>
      </c>
      <c r="CB7">
        <f>VLOOKUP($A7&amp;CB$3&amp;CB$1,DB!$A:$J,10,0)</f>
        <v>0.2727</v>
      </c>
      <c r="CC7">
        <f>VLOOKUP($A7&amp;CC$3&amp;CC$1,DB!$A:$J,10,0)</f>
        <v>0.27910000000000001</v>
      </c>
      <c r="CD7">
        <f>VLOOKUP($A7&amp;CD$3&amp;CD$1,DB!$A:$J,10,0)</f>
        <v>2468.4899999999998</v>
      </c>
      <c r="CE7">
        <f>VLOOKUP($A7&amp;CE$3&amp;CE$1,DB!$A:$J,10,0)</f>
        <v>6897.6</v>
      </c>
      <c r="CF7">
        <f>VLOOKUP($A7&amp;CF$3&amp;CF$1,DB!$A:$J,10,0)</f>
        <v>5414.71</v>
      </c>
      <c r="CG7">
        <f>VLOOKUP($A7&amp;CG$3&amp;CG$1,DB!$A:$J,10,0)</f>
        <v>2564.08</v>
      </c>
      <c r="CH7">
        <f>VLOOKUP($A7&amp;CH$3&amp;CH$1,DB!$A:$J,10,0)</f>
        <v>2387.1799999999998</v>
      </c>
      <c r="CI7">
        <f>VLOOKUP($A7&amp;CI$3&amp;CI$1,DB!$A:$J,10,0)</f>
        <v>3366.58</v>
      </c>
      <c r="CJ7">
        <f>VLOOKUP($A7&amp;CJ$3&amp;CJ$1,DB!$A:$J,10,0)</f>
        <v>2716.17</v>
      </c>
      <c r="CK7">
        <f>VLOOKUP($A7&amp;CK$3&amp;CK$1,DB!$A:$J,10,0)</f>
        <v>3129.15</v>
      </c>
      <c r="CL7">
        <f>VLOOKUP($A7&amp;CL$3&amp;CL$1,DB!$A:$J,10,0)</f>
        <v>5691.07</v>
      </c>
      <c r="CM7">
        <f>VLOOKUP($A7&amp;CM$3&amp;CM$1,DB!$A:$J,10,0)</f>
        <v>6687.67</v>
      </c>
      <c r="CN7">
        <f>VLOOKUP($A7&amp;CN$3&amp;CN$1,DB!$A:$J,10,0)</f>
        <v>5643.97</v>
      </c>
      <c r="CO7">
        <f>VLOOKUP($A7&amp;CO$3&amp;CO$1,DB!$A:$J,10,0)</f>
        <v>5191.5200000000004</v>
      </c>
      <c r="CP7">
        <f>VLOOKUP($A7&amp;CP$3&amp;CP$1,DB!$A:$J,10,0)</f>
        <v>4786.51</v>
      </c>
      <c r="CQ7">
        <f>VLOOKUP($A7&amp;CQ$3&amp;CQ$1,DB!$A:$J,10,0)</f>
        <v>6058.75</v>
      </c>
      <c r="CR7">
        <f>VLOOKUP($A7&amp;CR$3&amp;CR$1,DB!$A:$J,10,0)</f>
        <v>6557.72</v>
      </c>
      <c r="CS7">
        <f>VLOOKUP($A7&amp;CS$3&amp;CS$1,DB!$A:$J,10,0)</f>
        <v>6214.87</v>
      </c>
      <c r="CT7">
        <f>VLOOKUP($A7&amp;CT$3&amp;CT$1,DB!$A:$J,10,0)</f>
        <v>9195.24</v>
      </c>
      <c r="CU7">
        <f>VLOOKUP($A7&amp;CU$3&amp;CU$1,DB!$A:$J,10,0)</f>
        <v>10609.53</v>
      </c>
      <c r="CV7">
        <f>VLOOKUP($A7&amp;CV$3&amp;CV$1,DB!$A:$J,10,0)</f>
        <v>14419.6</v>
      </c>
      <c r="CW7">
        <f>VLOOKUP($A7&amp;CW$3&amp;CW$1,DB!$A:$J,10,0)</f>
        <v>19077.650000000001</v>
      </c>
      <c r="CX7">
        <f>VLOOKUP($A7&amp;CX$3&amp;CX$1,DB!$A:$J,10,0)</f>
        <v>4790.17</v>
      </c>
      <c r="CY7">
        <f>VLOOKUP($A7&amp;CY$3&amp;CY$1,DB!$A:$J,10,0)</f>
        <v>5559.47</v>
      </c>
      <c r="CZ7">
        <f>VLOOKUP($A7&amp;CZ$3&amp;CZ$1,DB!$A:$J,10,0)</f>
        <v>4742.75</v>
      </c>
      <c r="DA7">
        <f>VLOOKUP($A7&amp;DA$3&amp;DA$1,DB!$A:$J,10,0)</f>
        <v>5234.16</v>
      </c>
      <c r="DB7">
        <f>VLOOKUP($A7&amp;DB$3&amp;DB$1,DB!$A:$J,10,0)</f>
        <v>5351.61</v>
      </c>
      <c r="DC7">
        <f>VLOOKUP($A7&amp;DC$3&amp;DC$1,DB!$A:$J,10,0)</f>
        <v>5626.27</v>
      </c>
      <c r="DD7">
        <f>VLOOKUP($A7&amp;DD$3&amp;DD$1,DB!$A:$J,10,0)</f>
        <v>8527.09</v>
      </c>
      <c r="DE7">
        <f>VLOOKUP($A7&amp;DE$3&amp;DE$1,DB!$A:$J,10,0)</f>
        <v>10813.09</v>
      </c>
      <c r="DF7">
        <f>VLOOKUP($A7&amp;DF$3&amp;DF$1,DB!$A:$J,10,0)</f>
        <v>14688.69</v>
      </c>
      <c r="DG7">
        <f>VLOOKUP($A7&amp;DG$3&amp;DG$1,DB!$A:$J,10,0)</f>
        <v>19927.02</v>
      </c>
      <c r="DH7">
        <f>VLOOKUP($A7&amp;DH$3&amp;DH$1,DB!$A:$J,10,0)</f>
        <v>4790.41</v>
      </c>
      <c r="DI7">
        <f>VLOOKUP($A7&amp;DI$3&amp;DI$1,DB!$A:$J,10,0)</f>
        <v>5559.47</v>
      </c>
      <c r="DJ7">
        <f>VLOOKUP($A7&amp;DJ$3&amp;DJ$1,DB!$A:$J,10,0)</f>
        <v>4742.75</v>
      </c>
      <c r="DK7">
        <f>VLOOKUP($A7&amp;DK$3&amp;DK$1,DB!$A:$J,10,0)</f>
        <v>5234.16</v>
      </c>
      <c r="DL7">
        <f>VLOOKUP($A7&amp;DL$3&amp;DL$1,DB!$A:$J,10,0)</f>
        <v>5351.61</v>
      </c>
      <c r="DM7">
        <f>VLOOKUP($A7&amp;DM$3&amp;DM$1,DB!$A:$J,10,0)</f>
        <v>5626.27</v>
      </c>
      <c r="DN7">
        <f>VLOOKUP($A7&amp;DN$3&amp;DN$1,DB!$A:$J,10,0)</f>
        <v>8527.09</v>
      </c>
      <c r="DO7">
        <f>VLOOKUP($A7&amp;DO$3&amp;DO$1,DB!$A:$J,10,0)</f>
        <v>10813.09</v>
      </c>
      <c r="DP7">
        <f>VLOOKUP($A7&amp;DP$3&amp;DP$1,DB!$A:$J,10,0)</f>
        <v>14688.69</v>
      </c>
      <c r="DQ7">
        <f>VLOOKUP($A7&amp;DQ$3&amp;DQ$1,DB!$A:$J,10,0)</f>
        <v>19927.02</v>
      </c>
      <c r="DR7">
        <f>VLOOKUP($A7&amp;DR$3&amp;DR$1,DB!$A:$J,10,0)</f>
        <v>2768.44</v>
      </c>
      <c r="DS7">
        <f>VLOOKUP($A7&amp;DS$3&amp;DS$1,DB!$A:$J,10,0)</f>
        <v>3511.61</v>
      </c>
      <c r="DT7">
        <f>VLOOKUP($A7&amp;DT$3&amp;DT$1,DB!$A:$J,10,0)</f>
        <v>2563.08</v>
      </c>
      <c r="DU7">
        <f>VLOOKUP($A7&amp;DU$3&amp;DU$1,DB!$A:$J,10,0)</f>
        <v>2580.59</v>
      </c>
      <c r="DV7">
        <f>VLOOKUP($A7&amp;DV$3&amp;DV$1,DB!$A:$J,10,0)</f>
        <v>2522.09</v>
      </c>
      <c r="DW7">
        <f>VLOOKUP($A7&amp;DW$3&amp;DW$1,DB!$A:$J,10,0)</f>
        <v>0</v>
      </c>
      <c r="DX7">
        <f>VLOOKUP($A7&amp;DX$3&amp;DX$1,DB!$A:$J,10,0)</f>
        <v>4046.65</v>
      </c>
      <c r="DY7">
        <f>VLOOKUP($A7&amp;DY$3&amp;DY$1,DB!$A:$J,10,0)</f>
        <v>5335.09</v>
      </c>
      <c r="DZ7">
        <f>VLOOKUP($A7&amp;DZ$3&amp;DZ$1,DB!$A:$J,10,0)</f>
        <v>5869.75</v>
      </c>
      <c r="EA7">
        <f>VLOOKUP($A7&amp;EA$3&amp;EA$1,DB!$A:$J,10,0)</f>
        <v>9569.99</v>
      </c>
      <c r="EB7">
        <f>VLOOKUP($A7&amp;EB$3&amp;EB$1,DB!$A:$J,10,0)</f>
        <v>358.88</v>
      </c>
      <c r="EC7">
        <f>VLOOKUP($A7&amp;EC$3&amp;EC$1,DB!$A:$J,10,0)</f>
        <v>239.38</v>
      </c>
      <c r="ED7">
        <f>VLOOKUP($A7&amp;ED$3&amp;ED$1,DB!$A:$J,10,0)</f>
        <v>746.77</v>
      </c>
      <c r="EE7">
        <f>VLOOKUP($A7&amp;EE$3&amp;EE$1,DB!$A:$J,10,0)</f>
        <v>984.07</v>
      </c>
      <c r="EF7">
        <f>VLOOKUP($A7&amp;EF$3&amp;EF$1,DB!$A:$J,10,0)</f>
        <v>1179.31</v>
      </c>
      <c r="EG7">
        <f>VLOOKUP($A7&amp;EG$3&amp;EG$1,DB!$A:$J,10,0)</f>
        <v>3411.12</v>
      </c>
      <c r="EH7">
        <f>VLOOKUP($A7&amp;EH$3&amp;EH$1,DB!$A:$J,10,0)</f>
        <v>1185.3900000000001</v>
      </c>
      <c r="EI7">
        <f>VLOOKUP($A7&amp;EI$3&amp;EI$1,DB!$A:$J,10,0)</f>
        <v>250.14</v>
      </c>
      <c r="EJ7">
        <f>VLOOKUP($A7&amp;EJ$3&amp;EJ$1,DB!$A:$J,10,0)</f>
        <v>332.88</v>
      </c>
      <c r="EK7">
        <f>VLOOKUP($A7&amp;EK$3&amp;EK$1,DB!$A:$J,10,0)</f>
        <v>519.80999999999995</v>
      </c>
    </row>
    <row r="8" spans="1:141" hidden="1" x14ac:dyDescent="0.35">
      <c r="A8" t="s">
        <v>44</v>
      </c>
      <c r="B8">
        <f>VLOOKUP($A8&amp;B$3&amp;B$1,DB!$A:$J,10,0)</f>
        <v>0.2571</v>
      </c>
      <c r="C8">
        <f>VLOOKUP($A8&amp;C$3&amp;C$1,DB!$A:$J,10,0)</f>
        <v>0.29480000000000001</v>
      </c>
      <c r="D8">
        <f>VLOOKUP($A8&amp;D$3&amp;D$1,DB!$A:$J,10,0)</f>
        <v>0.26319999999999999</v>
      </c>
      <c r="E8">
        <f>VLOOKUP($A8&amp;E$3&amp;E$1,DB!$A:$J,10,0)</f>
        <v>0.29720000000000002</v>
      </c>
      <c r="F8">
        <f>VLOOKUP($A8&amp;F$3&amp;F$1,DB!$A:$J,10,0)</f>
        <v>0.35439999999999999</v>
      </c>
      <c r="G8">
        <f>VLOOKUP($A8&amp;G$3&amp;G$1,DB!$A:$J,10,0)</f>
        <v>0.28120000000000001</v>
      </c>
      <c r="H8">
        <f>VLOOKUP($A8&amp;H$3&amp;H$1,DB!$A:$J,10,0)</f>
        <v>0.26500000000000001</v>
      </c>
      <c r="I8">
        <f>VLOOKUP($A8&amp;I$3&amp;I$1,DB!$A:$J,10,0)</f>
        <v>0.27310000000000001</v>
      </c>
      <c r="J8">
        <f>VLOOKUP($A8&amp;J$3&amp;J$1,DB!$A:$J,10,0)</f>
        <v>0.34079999999999999</v>
      </c>
      <c r="K8">
        <f>VLOOKUP($A8&amp;K$3&amp;K$1,DB!$A:$J,10,0)</f>
        <v>0.27410000000000001</v>
      </c>
      <c r="L8">
        <f>VLOOKUP($A8&amp;L$3&amp;L$1,DB!$A:$J,10,0)</f>
        <v>0.67589999999999995</v>
      </c>
      <c r="M8">
        <f>VLOOKUP($A8&amp;M$3&amp;M$1,DB!$A:$J,10,0)</f>
        <v>0.64349999999999996</v>
      </c>
      <c r="N8">
        <f>VLOOKUP($A8&amp;N$3&amp;N$1,DB!$A:$J,10,0)</f>
        <v>0.66120000000000001</v>
      </c>
      <c r="O8">
        <f>VLOOKUP($A8&amp;O$3&amp;O$1,DB!$A:$J,10,0)</f>
        <v>0.78959999999999997</v>
      </c>
      <c r="P8">
        <f>VLOOKUP($A8&amp;P$3&amp;P$1,DB!$A:$J,10,0)</f>
        <v>0.63919999999999999</v>
      </c>
      <c r="Q8">
        <f>VLOOKUP($A8&amp;Q$3&amp;Q$1,DB!$A:$J,10,0)</f>
        <v>0.61170000000000002</v>
      </c>
      <c r="R8">
        <f>VLOOKUP($A8&amp;R$3&amp;R$1,DB!$A:$J,10,0)</f>
        <v>0.71760000000000002</v>
      </c>
      <c r="S8">
        <f>VLOOKUP($A8&amp;S$3&amp;S$1,DB!$A:$J,10,0)</f>
        <v>0.94479999999999997</v>
      </c>
      <c r="T8">
        <f>VLOOKUP($A8&amp;T$3&amp;T$1,DB!$A:$J,10,0)</f>
        <v>0.96519999999999995</v>
      </c>
      <c r="U8">
        <f>VLOOKUP($A8&amp;U$3&amp;U$1,DB!$A:$J,10,0)</f>
        <v>0.70179999999999998</v>
      </c>
      <c r="V8">
        <f>VLOOKUP($A8&amp;V$3&amp;V$1,DB!$A:$J,10,0)</f>
        <v>0.32400000000000001</v>
      </c>
      <c r="W8">
        <f>VLOOKUP($A8&amp;W$3&amp;W$1,DB!$A:$J,10,0)</f>
        <v>0.35649999999999998</v>
      </c>
      <c r="X8">
        <f>VLOOKUP($A8&amp;X$3&amp;X$1,DB!$A:$J,10,0)</f>
        <v>0.31979999999999997</v>
      </c>
      <c r="Y8">
        <f>VLOOKUP($A8&amp;Y$3&amp;Y$1,DB!$A:$J,10,0)</f>
        <v>0.2104</v>
      </c>
      <c r="Z8">
        <f>VLOOKUP($A8&amp;Z$3&amp;Z$1,DB!$A:$J,10,0)</f>
        <v>0.36080000000000001</v>
      </c>
      <c r="AA8">
        <f>VLOOKUP($A8&amp;AA$3&amp;AA$1,DB!$A:$J,10,0)</f>
        <v>0.35520000000000002</v>
      </c>
      <c r="AB8">
        <f>VLOOKUP($A8&amp;AB$3&amp;AB$1,DB!$A:$J,10,0)</f>
        <v>0.28239999999999998</v>
      </c>
      <c r="AC8">
        <f>VLOOKUP($A8&amp;AC$3&amp;AC$1,DB!$A:$J,10,0)</f>
        <v>5.5100000000000003E-2</v>
      </c>
      <c r="AD8">
        <f>VLOOKUP($A8&amp;AD$3&amp;AD$1,DB!$A:$J,10,0)</f>
        <v>3.4799999999999998E-2</v>
      </c>
      <c r="AE8">
        <f>VLOOKUP($A8&amp;AE$3&amp;AE$1,DB!$A:$J,10,0)</f>
        <v>0.29820000000000002</v>
      </c>
      <c r="AF8">
        <f>VLOOKUP($A8&amp;AF$3&amp;AF$1,DB!$A:$J,10,0)</f>
        <v>5.0900000000000001E-2</v>
      </c>
      <c r="AG8">
        <f>VLOOKUP($A8&amp;AG$3&amp;AG$1,DB!$A:$J,10,0)</f>
        <v>5.6599999999999998E-2</v>
      </c>
      <c r="AH8">
        <f>VLOOKUP($A8&amp;AH$3&amp;AH$1,DB!$A:$J,10,0)</f>
        <v>5.8999999999999997E-2</v>
      </c>
      <c r="AI8">
        <f>VLOOKUP($A8&amp;AI$3&amp;AI$1,DB!$A:$J,10,0)</f>
        <v>0</v>
      </c>
      <c r="AJ8">
        <f>VLOOKUP($A8&amp;AJ$3&amp;AJ$1,DB!$A:$J,10,0)</f>
        <v>0</v>
      </c>
      <c r="AK8">
        <f>VLOOKUP($A8&amp;AK$3&amp;AK$1,DB!$A:$J,10,0)</f>
        <v>9.9400000000000002E-2</v>
      </c>
      <c r="AL8">
        <f>VLOOKUP($A8&amp;AL$3&amp;AL$1,DB!$A:$J,10,0)</f>
        <v>0.4425</v>
      </c>
      <c r="AM8">
        <f>VLOOKUP($A8&amp;AM$3&amp;AM$1,DB!$A:$J,10,0)</f>
        <v>0.39400000000000002</v>
      </c>
      <c r="AN8">
        <f>VLOOKUP($A8&amp;AN$3&amp;AN$1,DB!$A:$J,10,0)</f>
        <v>0.43180000000000002</v>
      </c>
      <c r="AO8">
        <f>VLOOKUP($A8&amp;AO$3&amp;AO$1,DB!$A:$J,10,0)</f>
        <v>0.39479999999999998</v>
      </c>
      <c r="AP8">
        <f>VLOOKUP($A8&amp;AP$3&amp;AP$1,DB!$A:$J,10,0)</f>
        <v>0.78879999999999995</v>
      </c>
      <c r="AQ8">
        <f>VLOOKUP($A8&amp;AQ$3&amp;AQ$1,DB!$A:$J,10,0)</f>
        <v>0.78669999999999995</v>
      </c>
      <c r="AR8">
        <f>VLOOKUP($A8&amp;AR$3&amp;AR$1,DB!$A:$J,10,0)</f>
        <v>0.92200000000000004</v>
      </c>
      <c r="AS8">
        <f>VLOOKUP($A8&amp;AS$3&amp;AS$1,DB!$A:$J,10,0)</f>
        <v>0.73499999999999999</v>
      </c>
      <c r="AT8">
        <f>VLOOKUP($A8&amp;AT$3&amp;AT$1,DB!$A:$J,10,0)</f>
        <v>0.83430000000000004</v>
      </c>
      <c r="AU8">
        <f>VLOOKUP($A8&amp;AU$3&amp;AU$1,DB!$A:$J,10,0)</f>
        <v>0.86750000000000005</v>
      </c>
      <c r="AV8">
        <f>VLOOKUP($A8&amp;AV$3&amp;AV$1,DB!$A:$J,10,0)</f>
        <v>0.56230000000000002</v>
      </c>
      <c r="AW8">
        <f>VLOOKUP($A8&amp;AW$3&amp;AW$1,DB!$A:$J,10,0)</f>
        <v>0.60599999999999998</v>
      </c>
      <c r="AX8">
        <f>VLOOKUP($A8&amp;AX$3&amp;AX$1,DB!$A:$J,10,0)</f>
        <v>0.56830000000000003</v>
      </c>
      <c r="AY8">
        <f>VLOOKUP($A8&amp;AY$3&amp;AY$1,DB!$A:$J,10,0)</f>
        <v>0.54749999999999999</v>
      </c>
      <c r="AZ8">
        <f>VLOOKUP($A8&amp;AZ$3&amp;AZ$1,DB!$A:$J,10,0)</f>
        <v>0.13389999999999999</v>
      </c>
      <c r="BA8">
        <f>VLOOKUP($A8&amp;BA$3&amp;BA$1,DB!$A:$J,10,0)</f>
        <v>8.7300000000000003E-2</v>
      </c>
      <c r="BB8">
        <f>VLOOKUP($A8&amp;BB$3&amp;BB$1,DB!$A:$J,10,0)</f>
        <v>2.9000000000000001E-2</v>
      </c>
      <c r="BC8">
        <f>VLOOKUP($A8&amp;BC$3&amp;BC$1,DB!$A:$J,10,0)</f>
        <v>8.8400000000000006E-2</v>
      </c>
      <c r="BD8">
        <f>VLOOKUP($A8&amp;BD$3&amp;BD$1,DB!$A:$J,10,0)</f>
        <v>7.9799999999999996E-2</v>
      </c>
      <c r="BE8">
        <f>VLOOKUP($A8&amp;BE$3&amp;BE$1,DB!$A:$J,10,0)</f>
        <v>0</v>
      </c>
      <c r="BF8">
        <f>VLOOKUP($A8&amp;BF$3&amp;BF$1,DB!$A:$J,10,0)</f>
        <v>0.30459999999999998</v>
      </c>
      <c r="BG8">
        <f>VLOOKUP($A8&amp;BG$3&amp;BG$1,DB!$A:$J,10,0)</f>
        <v>0.24510000000000001</v>
      </c>
      <c r="BH8">
        <f>VLOOKUP($A8&amp;BH$3&amp;BH$1,DB!$A:$J,10,0)</f>
        <v>0.10580000000000001</v>
      </c>
      <c r="BI8">
        <f>VLOOKUP($A8&amp;BI$3&amp;BI$1,DB!$A:$J,10,0)</f>
        <v>0.25829999999999997</v>
      </c>
      <c r="BJ8">
        <f>VLOOKUP($A8&amp;BJ$3&amp;BJ$1,DB!$A:$J,10,0)</f>
        <v>0.76149999999999995</v>
      </c>
      <c r="BK8">
        <f>VLOOKUP($A8&amp;BK$3&amp;BK$1,DB!$A:$J,10,0)</f>
        <v>0.52470000000000006</v>
      </c>
      <c r="BL8">
        <f>VLOOKUP($A8&amp;BL$3&amp;BL$1,DB!$A:$J,10,0)</f>
        <v>0.75700000000000001</v>
      </c>
      <c r="BM8">
        <f>VLOOKUP($A8&amp;BM$3&amp;BM$1,DB!$A:$J,10,0)</f>
        <v>0.59489999999999998</v>
      </c>
      <c r="BN8">
        <f>VLOOKUP($A8&amp;BN$3&amp;BN$1,DB!$A:$J,10,0)</f>
        <v>0.81720000000000004</v>
      </c>
      <c r="BO8">
        <f>VLOOKUP($A8&amp;BO$3&amp;BO$1,DB!$A:$J,10,0)</f>
        <v>0</v>
      </c>
      <c r="BP8">
        <f>VLOOKUP($A8&amp;BP$3&amp;BP$1,DB!$A:$J,10,0)</f>
        <v>0.51180000000000003</v>
      </c>
      <c r="BQ8">
        <f>VLOOKUP($A8&amp;BQ$3&amp;BQ$1,DB!$A:$J,10,0)</f>
        <v>0.4551</v>
      </c>
      <c r="BR8">
        <f>VLOOKUP($A8&amp;BR$3&amp;BR$1,DB!$A:$J,10,0)</f>
        <v>0.20780000000000001</v>
      </c>
      <c r="BS8">
        <f>VLOOKUP($A8&amp;BS$3&amp;BS$1,DB!$A:$J,10,0)</f>
        <v>0.39650000000000002</v>
      </c>
      <c r="BT8">
        <f>VLOOKUP($A8&amp;BT$3&amp;BT$1,DB!$A:$J,10,0)</f>
        <v>0.26519999999999999</v>
      </c>
      <c r="BU8">
        <f>VLOOKUP($A8&amp;BU$3&amp;BU$1,DB!$A:$J,10,0)</f>
        <v>0.41749999999999998</v>
      </c>
      <c r="BV8">
        <f>VLOOKUP($A8&amp;BV$3&amp;BV$1,DB!$A:$J,10,0)</f>
        <v>0.31309999999999999</v>
      </c>
      <c r="BW8">
        <f>VLOOKUP($A8&amp;BW$3&amp;BW$1,DB!$A:$J,10,0)</f>
        <v>0.37130000000000002</v>
      </c>
      <c r="BX8">
        <f>VLOOKUP($A8&amp;BX$3&amp;BX$1,DB!$A:$J,10,0)</f>
        <v>0.34329999999999999</v>
      </c>
      <c r="BY8">
        <f>VLOOKUP($A8&amp;BY$3&amp;BY$1,DB!$A:$J,10,0)</f>
        <v>0</v>
      </c>
      <c r="BZ8">
        <f>VLOOKUP($A8&amp;BZ$3&amp;BZ$1,DB!$A:$J,10,0)</f>
        <v>0.32440000000000002</v>
      </c>
      <c r="CA8">
        <f>VLOOKUP($A8&amp;CA$3&amp;CA$1,DB!$A:$J,10,0)</f>
        <v>0.34689999999999999</v>
      </c>
      <c r="CB8">
        <f>VLOOKUP($A8&amp;CB$3&amp;CB$1,DB!$A:$J,10,0)</f>
        <v>0</v>
      </c>
      <c r="CC8">
        <f>VLOOKUP($A8&amp;CC$3&amp;CC$1,DB!$A:$J,10,0)</f>
        <v>0.36649999999999999</v>
      </c>
      <c r="CD8">
        <f>VLOOKUP($A8&amp;CD$3&amp;CD$1,DB!$A:$J,10,0)</f>
        <v>2116.7800000000002</v>
      </c>
      <c r="CE8">
        <f>VLOOKUP($A8&amp;CE$3&amp;CE$1,DB!$A:$J,10,0)</f>
        <v>2491.14</v>
      </c>
      <c r="CF8">
        <f>VLOOKUP($A8&amp;CF$3&amp;CF$1,DB!$A:$J,10,0)</f>
        <v>598.01</v>
      </c>
      <c r="CG8">
        <f>VLOOKUP($A8&amp;CG$3&amp;CG$1,DB!$A:$J,10,0)</f>
        <v>2186.88</v>
      </c>
      <c r="CH8">
        <f>VLOOKUP($A8&amp;CH$3&amp;CH$1,DB!$A:$J,10,0)</f>
        <v>1914.19</v>
      </c>
      <c r="CI8">
        <f>VLOOKUP($A8&amp;CI$3&amp;CI$1,DB!$A:$J,10,0)</f>
        <v>2684.56</v>
      </c>
      <c r="CJ8">
        <f>VLOOKUP($A8&amp;CJ$3&amp;CJ$1,DB!$A:$J,10,0)</f>
        <v>8971.7900000000009</v>
      </c>
      <c r="CK8">
        <f>VLOOKUP($A8&amp;CK$3&amp;CK$1,DB!$A:$J,10,0)</f>
        <v>8370.91</v>
      </c>
      <c r="CL8">
        <f>VLOOKUP($A8&amp;CL$3&amp;CL$1,DB!$A:$J,10,0)</f>
        <v>10404.84</v>
      </c>
      <c r="CM8">
        <f>VLOOKUP($A8&amp;CM$3&amp;CM$1,DB!$A:$J,10,0)</f>
        <v>11959.44</v>
      </c>
      <c r="CN8">
        <f>VLOOKUP($A8&amp;CN$3&amp;CN$1,DB!$A:$J,10,0)</f>
        <v>4783.7</v>
      </c>
      <c r="CO8">
        <f>VLOOKUP($A8&amp;CO$3&amp;CO$1,DB!$A:$J,10,0)</f>
        <v>6491.11</v>
      </c>
      <c r="CP8">
        <f>VLOOKUP($A8&amp;CP$3&amp;CP$1,DB!$A:$J,10,0)</f>
        <v>7177.49</v>
      </c>
      <c r="CQ8">
        <f>VLOOKUP($A8&amp;CQ$3&amp;CQ$1,DB!$A:$J,10,0)</f>
        <v>7465.55</v>
      </c>
      <c r="CR8">
        <f>VLOOKUP($A8&amp;CR$3&amp;CR$1,DB!$A:$J,10,0)</f>
        <v>10240.49</v>
      </c>
      <c r="CS8">
        <f>VLOOKUP($A8&amp;CS$3&amp;CS$1,DB!$A:$J,10,0)</f>
        <v>8610.6</v>
      </c>
      <c r="CT8">
        <f>VLOOKUP($A8&amp;CT$3&amp;CT$1,DB!$A:$J,10,0)</f>
        <v>8014.89</v>
      </c>
      <c r="CU8">
        <f>VLOOKUP($A8&amp;CU$3&amp;CU$1,DB!$A:$J,10,0)</f>
        <v>11361.49</v>
      </c>
      <c r="CV8">
        <f>VLOOKUP($A8&amp;CV$3&amp;CV$1,DB!$A:$J,10,0)</f>
        <v>12839.27</v>
      </c>
      <c r="CW8">
        <f>VLOOKUP($A8&amp;CW$3&amp;CW$1,DB!$A:$J,10,0)</f>
        <v>11989.16</v>
      </c>
      <c r="CX8">
        <f>VLOOKUP($A8&amp;CX$3&amp;CX$1,DB!$A:$J,10,0)</f>
        <v>4027.6</v>
      </c>
      <c r="CY8">
        <f>VLOOKUP($A8&amp;CY$3&amp;CY$1,DB!$A:$J,10,0)</f>
        <v>5075.21</v>
      </c>
      <c r="CZ8">
        <f>VLOOKUP($A8&amp;CZ$3&amp;CZ$1,DB!$A:$J,10,0)</f>
        <v>4766.38</v>
      </c>
      <c r="DA8">
        <f>VLOOKUP($A8&amp;DA$3&amp;DA$1,DB!$A:$J,10,0)</f>
        <v>5586.88</v>
      </c>
      <c r="DB8">
        <f>VLOOKUP($A8&amp;DB$3&amp;DB$1,DB!$A:$J,10,0)</f>
        <v>7107.22</v>
      </c>
      <c r="DC8">
        <f>VLOOKUP($A8&amp;DC$3&amp;DC$1,DB!$A:$J,10,0)</f>
        <v>6384.74</v>
      </c>
      <c r="DD8">
        <f>VLOOKUP($A8&amp;DD$3&amp;DD$1,DB!$A:$J,10,0)</f>
        <v>10223.450000000001</v>
      </c>
      <c r="DE8">
        <f>VLOOKUP($A8&amp;DE$3&amp;DE$1,DB!$A:$J,10,0)</f>
        <v>14422.12</v>
      </c>
      <c r="DF8">
        <f>VLOOKUP($A8&amp;DF$3&amp;DF$1,DB!$A:$J,10,0)</f>
        <v>37946.19</v>
      </c>
      <c r="DG8">
        <f>VLOOKUP($A8&amp;DG$3&amp;DG$1,DB!$A:$J,10,0)</f>
        <v>18292.419999999998</v>
      </c>
      <c r="DH8">
        <f>VLOOKUP($A8&amp;DH$3&amp;DH$1,DB!$A:$J,10,0)</f>
        <v>4027.6</v>
      </c>
      <c r="DI8">
        <f>VLOOKUP($A8&amp;DI$3&amp;DI$1,DB!$A:$J,10,0)</f>
        <v>5075.21</v>
      </c>
      <c r="DJ8">
        <f>VLOOKUP($A8&amp;DJ$3&amp;DJ$1,DB!$A:$J,10,0)</f>
        <v>4766.38</v>
      </c>
      <c r="DK8">
        <f>VLOOKUP($A8&amp;DK$3&amp;DK$1,DB!$A:$J,10,0)</f>
        <v>5586.88</v>
      </c>
      <c r="DL8">
        <f>VLOOKUP($A8&amp;DL$3&amp;DL$1,DB!$A:$J,10,0)</f>
        <v>7107.22</v>
      </c>
      <c r="DM8">
        <f>VLOOKUP($A8&amp;DM$3&amp;DM$1,DB!$A:$J,10,0)</f>
        <v>6384.74</v>
      </c>
      <c r="DN8">
        <f>VLOOKUP($A8&amp;DN$3&amp;DN$1,DB!$A:$J,10,0)</f>
        <v>10223.450000000001</v>
      </c>
      <c r="DO8">
        <f>VLOOKUP($A8&amp;DO$3&amp;DO$1,DB!$A:$J,10,0)</f>
        <v>14422.12</v>
      </c>
      <c r="DP8">
        <f>VLOOKUP($A8&amp;DP$3&amp;DP$1,DB!$A:$J,10,0)</f>
        <v>37946.19</v>
      </c>
      <c r="DQ8">
        <f>VLOOKUP($A8&amp;DQ$3&amp;DQ$1,DB!$A:$J,10,0)</f>
        <v>18292.419999999998</v>
      </c>
      <c r="DR8">
        <f>VLOOKUP($A8&amp;DR$3&amp;DR$1,DB!$A:$J,10,0)</f>
        <v>2150.48</v>
      </c>
      <c r="DS8">
        <f>VLOOKUP($A8&amp;DS$3&amp;DS$1,DB!$A:$J,10,0)</f>
        <v>2249</v>
      </c>
      <c r="DT8">
        <f>VLOOKUP($A8&amp;DT$3&amp;DT$1,DB!$A:$J,10,0)</f>
        <v>3813.95</v>
      </c>
      <c r="DU8">
        <f>VLOOKUP($A8&amp;DU$3&amp;DU$1,DB!$A:$J,10,0)</f>
        <v>5013.28</v>
      </c>
      <c r="DV8">
        <f>VLOOKUP($A8&amp;DV$3&amp;DV$1,DB!$A:$J,10,0)</f>
        <v>4402.43</v>
      </c>
      <c r="DW8">
        <f>VLOOKUP($A8&amp;DW$3&amp;DW$1,DB!$A:$J,10,0)</f>
        <v>0</v>
      </c>
      <c r="DX8">
        <f>VLOOKUP($A8&amp;DX$3&amp;DX$1,DB!$A:$J,10,0)</f>
        <v>4586.17</v>
      </c>
      <c r="DY8">
        <f>VLOOKUP($A8&amp;DY$3&amp;DY$1,DB!$A:$J,10,0)</f>
        <v>6785.53</v>
      </c>
      <c r="DZ8">
        <f>VLOOKUP($A8&amp;DZ$3&amp;DZ$1,DB!$A:$J,10,0)</f>
        <v>6736.1</v>
      </c>
      <c r="EA8">
        <f>VLOOKUP($A8&amp;EA$3&amp;EA$1,DB!$A:$J,10,0)</f>
        <v>5823.75</v>
      </c>
      <c r="EB8">
        <f>VLOOKUP($A8&amp;EB$3&amp;EB$1,DB!$A:$J,10,0)</f>
        <v>1106.6500000000001</v>
      </c>
      <c r="EC8">
        <f>VLOOKUP($A8&amp;EC$3&amp;EC$1,DB!$A:$J,10,0)</f>
        <v>1347.21</v>
      </c>
      <c r="ED8">
        <f>VLOOKUP($A8&amp;ED$3&amp;ED$1,DB!$A:$J,10,0)</f>
        <v>952.43</v>
      </c>
      <c r="EE8">
        <f>VLOOKUP($A8&amp;EE$3&amp;EE$1,DB!$A:$J,10,0)</f>
        <v>540.88</v>
      </c>
      <c r="EF8">
        <f>VLOOKUP($A8&amp;EF$3&amp;EF$1,DB!$A:$J,10,0)</f>
        <v>2095.6799999999998</v>
      </c>
      <c r="EG8">
        <f>VLOOKUP($A8&amp;EG$3&amp;EG$1,DB!$A:$J,10,0)</f>
        <v>4739.71</v>
      </c>
      <c r="EH8">
        <f>VLOOKUP($A8&amp;EH$3&amp;EH$1,DB!$A:$J,10,0)</f>
        <v>1170.9100000000001</v>
      </c>
      <c r="EI8">
        <f>VLOOKUP($A8&amp;EI$3&amp;EI$1,DB!$A:$J,10,0)</f>
        <v>4.38</v>
      </c>
      <c r="EJ8">
        <f>VLOOKUP($A8&amp;EJ$3&amp;EJ$1,DB!$A:$J,10,0)</f>
        <v>0</v>
      </c>
      <c r="EK8">
        <f>VLOOKUP($A8&amp;EK$3&amp;EK$1,DB!$A:$J,10,0)</f>
        <v>1498.24</v>
      </c>
    </row>
    <row r="9" spans="1:141" hidden="1" x14ac:dyDescent="0.35">
      <c r="A9" t="s">
        <v>45</v>
      </c>
      <c r="B9">
        <f>VLOOKUP($A9&amp;B$3&amp;B$1,DB!$A:$J,10,0)</f>
        <v>0.25580000000000003</v>
      </c>
      <c r="C9">
        <f>VLOOKUP($A9&amp;C$3&amp;C$1,DB!$A:$J,10,0)</f>
        <v>0.29930000000000001</v>
      </c>
      <c r="D9">
        <f>VLOOKUP($A9&amp;D$3&amp;D$1,DB!$A:$J,10,0)</f>
        <v>0.25209999999999999</v>
      </c>
      <c r="E9">
        <f>VLOOKUP($A9&amp;E$3&amp;E$1,DB!$A:$J,10,0)</f>
        <v>0.25540000000000002</v>
      </c>
      <c r="F9">
        <f>VLOOKUP($A9&amp;F$3&amp;F$1,DB!$A:$J,10,0)</f>
        <v>0.25740000000000002</v>
      </c>
      <c r="G9">
        <f>VLOOKUP($A9&amp;G$3&amp;G$1,DB!$A:$J,10,0)</f>
        <v>0.25819999999999999</v>
      </c>
      <c r="H9">
        <f>VLOOKUP($A9&amp;H$3&amp;H$1,DB!$A:$J,10,0)</f>
        <v>0.25600000000000001</v>
      </c>
      <c r="I9">
        <f>VLOOKUP($A9&amp;I$3&amp;I$1,DB!$A:$J,10,0)</f>
        <v>0.25679999999999997</v>
      </c>
      <c r="J9">
        <f>VLOOKUP($A9&amp;J$3&amp;J$1,DB!$A:$J,10,0)</f>
        <v>0.28460000000000002</v>
      </c>
      <c r="K9">
        <f>VLOOKUP($A9&amp;K$3&amp;K$1,DB!$A:$J,10,0)</f>
        <v>0.29389999999999999</v>
      </c>
      <c r="L9">
        <f>VLOOKUP($A9&amp;L$3&amp;L$1,DB!$A:$J,10,0)</f>
        <v>0.61080000000000001</v>
      </c>
      <c r="M9">
        <f>VLOOKUP($A9&amp;M$3&amp;M$1,DB!$A:$J,10,0)</f>
        <v>0.63019999999999998</v>
      </c>
      <c r="N9">
        <f>VLOOKUP($A9&amp;N$3&amp;N$1,DB!$A:$J,10,0)</f>
        <v>0.64190000000000003</v>
      </c>
      <c r="O9">
        <f>VLOOKUP($A9&amp;O$3&amp;O$1,DB!$A:$J,10,0)</f>
        <v>0.7732</v>
      </c>
      <c r="P9">
        <f>VLOOKUP($A9&amp;P$3&amp;P$1,DB!$A:$J,10,0)</f>
        <v>0.64119999999999999</v>
      </c>
      <c r="Q9">
        <f>VLOOKUP($A9&amp;Q$3&amp;Q$1,DB!$A:$J,10,0)</f>
        <v>0.63080000000000003</v>
      </c>
      <c r="R9">
        <f>VLOOKUP($A9&amp;R$3&amp;R$1,DB!$A:$J,10,0)</f>
        <v>0.73550000000000004</v>
      </c>
      <c r="S9">
        <f>VLOOKUP($A9&amp;S$3&amp;S$1,DB!$A:$J,10,0)</f>
        <v>0.75660000000000005</v>
      </c>
      <c r="T9">
        <f>VLOOKUP($A9&amp;T$3&amp;T$1,DB!$A:$J,10,0)</f>
        <v>0.80259999999999998</v>
      </c>
      <c r="U9">
        <f>VLOOKUP($A9&amp;U$3&amp;U$1,DB!$A:$J,10,0)</f>
        <v>0.74850000000000005</v>
      </c>
      <c r="V9">
        <f>VLOOKUP($A9&amp;V$3&amp;V$1,DB!$A:$J,10,0)</f>
        <v>0.3861</v>
      </c>
      <c r="W9">
        <f>VLOOKUP($A9&amp;W$3&amp;W$1,DB!$A:$J,10,0)</f>
        <v>0.35010000000000002</v>
      </c>
      <c r="X9">
        <f>VLOOKUP($A9&amp;X$3&amp;X$1,DB!$A:$J,10,0)</f>
        <v>0.3579</v>
      </c>
      <c r="Y9">
        <f>VLOOKUP($A9&amp;Y$3&amp;Y$1,DB!$A:$J,10,0)</f>
        <v>0.2258</v>
      </c>
      <c r="Z9">
        <f>VLOOKUP($A9&amp;Z$3&amp;Z$1,DB!$A:$J,10,0)</f>
        <v>0.3574</v>
      </c>
      <c r="AA9">
        <f>VLOOKUP($A9&amp;AA$3&amp;AA$1,DB!$A:$J,10,0)</f>
        <v>0.34420000000000001</v>
      </c>
      <c r="AB9">
        <f>VLOOKUP($A9&amp;AB$3&amp;AB$1,DB!$A:$J,10,0)</f>
        <v>0.2011</v>
      </c>
      <c r="AC9">
        <f>VLOOKUP($A9&amp;AC$3&amp;AC$1,DB!$A:$J,10,0)</f>
        <v>0.24340000000000001</v>
      </c>
      <c r="AD9">
        <f>VLOOKUP($A9&amp;AD$3&amp;AD$1,DB!$A:$J,10,0)</f>
        <v>0.16370000000000001</v>
      </c>
      <c r="AE9">
        <f>VLOOKUP($A9&amp;AE$3&amp;AE$1,DB!$A:$J,10,0)</f>
        <v>0.2185</v>
      </c>
      <c r="AF9">
        <f>VLOOKUP($A9&amp;AF$3&amp;AF$1,DB!$A:$J,10,0)</f>
        <v>6.4299999999999996E-2</v>
      </c>
      <c r="AG9">
        <f>VLOOKUP($A9&amp;AG$3&amp;AG$1,DB!$A:$J,10,0)</f>
        <v>0.28789999999999999</v>
      </c>
      <c r="AH9">
        <f>VLOOKUP($A9&amp;AH$3&amp;AH$1,DB!$A:$J,10,0)</f>
        <v>9.0399999999999994E-2</v>
      </c>
      <c r="AI9">
        <f>VLOOKUP($A9&amp;AI$3&amp;AI$1,DB!$A:$J,10,0)</f>
        <v>0</v>
      </c>
      <c r="AJ9">
        <f>VLOOKUP($A9&amp;AJ$3&amp;AJ$1,DB!$A:$J,10,0)</f>
        <v>0</v>
      </c>
      <c r="AK9">
        <f>VLOOKUP($A9&amp;AK$3&amp;AK$1,DB!$A:$J,10,0)</f>
        <v>0.13289999999999999</v>
      </c>
      <c r="AL9">
        <f>VLOOKUP($A9&amp;AL$3&amp;AL$1,DB!$A:$J,10,0)</f>
        <v>3.4000000000000002E-2</v>
      </c>
      <c r="AM9">
        <f>VLOOKUP($A9&amp;AM$3&amp;AM$1,DB!$A:$J,10,0)</f>
        <v>4.5699999999999998E-2</v>
      </c>
      <c r="AN9">
        <f>VLOOKUP($A9&amp;AN$3&amp;AN$1,DB!$A:$J,10,0)</f>
        <v>6.4100000000000004E-2</v>
      </c>
      <c r="AO9">
        <f>VLOOKUP($A9&amp;AO$3&amp;AO$1,DB!$A:$J,10,0)</f>
        <v>0.10390000000000001</v>
      </c>
      <c r="AP9">
        <f>VLOOKUP($A9&amp;AP$3&amp;AP$1,DB!$A:$J,10,0)</f>
        <v>0.87919999999999998</v>
      </c>
      <c r="AQ9">
        <f>VLOOKUP($A9&amp;AQ$3&amp;AQ$1,DB!$A:$J,10,0)</f>
        <v>0.84289999999999998</v>
      </c>
      <c r="AR9">
        <f>VLOOKUP($A9&amp;AR$3&amp;AR$1,DB!$A:$J,10,0)</f>
        <v>0.90939999999999999</v>
      </c>
      <c r="AS9">
        <f>VLOOKUP($A9&amp;AS$3&amp;AS$1,DB!$A:$J,10,0)</f>
        <v>1.1640999999999999</v>
      </c>
      <c r="AT9">
        <f>VLOOKUP($A9&amp;AT$3&amp;AT$1,DB!$A:$J,10,0)</f>
        <v>0.96699999999999997</v>
      </c>
      <c r="AU9">
        <f>VLOOKUP($A9&amp;AU$3&amp;AU$1,DB!$A:$J,10,0)</f>
        <v>0.84209999999999996</v>
      </c>
      <c r="AV9">
        <f>VLOOKUP($A9&amp;AV$3&amp;AV$1,DB!$A:$J,10,0)</f>
        <v>0.96930000000000005</v>
      </c>
      <c r="AW9">
        <f>VLOOKUP($A9&amp;AW$3&amp;AW$1,DB!$A:$J,10,0)</f>
        <v>0.95430000000000004</v>
      </c>
      <c r="AX9">
        <f>VLOOKUP($A9&amp;AX$3&amp;AX$1,DB!$A:$J,10,0)</f>
        <v>0.89870000000000005</v>
      </c>
      <c r="AY9">
        <f>VLOOKUP($A9&amp;AY$3&amp;AY$1,DB!$A:$J,10,0)</f>
        <v>0.80869999999999997</v>
      </c>
      <c r="AZ9">
        <f>VLOOKUP($A9&amp;AZ$3&amp;AZ$1,DB!$A:$J,10,0)</f>
        <v>0.11210000000000001</v>
      </c>
      <c r="BA9">
        <f>VLOOKUP($A9&amp;BA$3&amp;BA$1,DB!$A:$J,10,0)</f>
        <v>0.2109</v>
      </c>
      <c r="BB9">
        <f>VLOOKUP($A9&amp;BB$3&amp;BB$1,DB!$A:$J,10,0)</f>
        <v>8.6900000000000005E-2</v>
      </c>
      <c r="BC9">
        <f>VLOOKUP($A9&amp;BC$3&amp;BC$1,DB!$A:$J,10,0)</f>
        <v>0.112</v>
      </c>
      <c r="BD9">
        <f>VLOOKUP($A9&amp;BD$3&amp;BD$1,DB!$A:$J,10,0)</f>
        <v>0.12479999999999999</v>
      </c>
      <c r="BE9">
        <f>VLOOKUP($A9&amp;BE$3&amp;BE$1,DB!$A:$J,10,0)</f>
        <v>0</v>
      </c>
      <c r="BF9">
        <f>VLOOKUP($A9&amp;BF$3&amp;BF$1,DB!$A:$J,10,0)</f>
        <v>8.3299999999999999E-2</v>
      </c>
      <c r="BG9">
        <f>VLOOKUP($A9&amp;BG$3&amp;BG$1,DB!$A:$J,10,0)</f>
        <v>5.5399999999999998E-2</v>
      </c>
      <c r="BH9">
        <f>VLOOKUP($A9&amp;BH$3&amp;BH$1,DB!$A:$J,10,0)</f>
        <v>7.17E-2</v>
      </c>
      <c r="BI9">
        <f>VLOOKUP($A9&amp;BI$3&amp;BI$1,DB!$A:$J,10,0)</f>
        <v>0.1177</v>
      </c>
      <c r="BJ9">
        <f>VLOOKUP($A9&amp;BJ$3&amp;BJ$1,DB!$A:$J,10,0)</f>
        <v>0.81810000000000005</v>
      </c>
      <c r="BK9">
        <f>VLOOKUP($A9&amp;BK$3&amp;BK$1,DB!$A:$J,10,0)</f>
        <v>0.61309999999999998</v>
      </c>
      <c r="BL9">
        <f>VLOOKUP($A9&amp;BL$3&amp;BL$1,DB!$A:$J,10,0)</f>
        <v>0.77180000000000004</v>
      </c>
      <c r="BM9">
        <f>VLOOKUP($A9&amp;BM$3&amp;BM$1,DB!$A:$J,10,0)</f>
        <v>0.70050000000000001</v>
      </c>
      <c r="BN9">
        <f>VLOOKUP($A9&amp;BN$3&amp;BN$1,DB!$A:$J,10,0)</f>
        <v>0.74280000000000002</v>
      </c>
      <c r="BO9">
        <f>VLOOKUP($A9&amp;BO$3&amp;BO$1,DB!$A:$J,10,0)</f>
        <v>0</v>
      </c>
      <c r="BP9">
        <f>VLOOKUP($A9&amp;BP$3&amp;BP$1,DB!$A:$J,10,0)</f>
        <v>0.82740000000000002</v>
      </c>
      <c r="BQ9">
        <f>VLOOKUP($A9&amp;BQ$3&amp;BQ$1,DB!$A:$J,10,0)</f>
        <v>0.7389</v>
      </c>
      <c r="BR9">
        <f>VLOOKUP($A9&amp;BR$3&amp;BR$1,DB!$A:$J,10,0)</f>
        <v>0.47889999999999999</v>
      </c>
      <c r="BS9">
        <f>VLOOKUP($A9&amp;BS$3&amp;BS$1,DB!$A:$J,10,0)</f>
        <v>0.81520000000000004</v>
      </c>
      <c r="BT9">
        <f>VLOOKUP($A9&amp;BT$3&amp;BT$1,DB!$A:$J,10,0)</f>
        <v>0.32</v>
      </c>
      <c r="BU9">
        <f>VLOOKUP($A9&amp;BU$3&amp;BU$1,DB!$A:$J,10,0)</f>
        <v>0.34839999999999999</v>
      </c>
      <c r="BV9">
        <f>VLOOKUP($A9&amp;BV$3&amp;BV$1,DB!$A:$J,10,0)</f>
        <v>0.2762</v>
      </c>
      <c r="BW9">
        <f>VLOOKUP($A9&amp;BW$3&amp;BW$1,DB!$A:$J,10,0)</f>
        <v>0.24479999999999999</v>
      </c>
      <c r="BX9">
        <f>VLOOKUP($A9&amp;BX$3&amp;BX$1,DB!$A:$J,10,0)</f>
        <v>0.31080000000000002</v>
      </c>
      <c r="BY9">
        <f>VLOOKUP($A9&amp;BY$3&amp;BY$1,DB!$A:$J,10,0)</f>
        <v>0</v>
      </c>
      <c r="BZ9">
        <f>VLOOKUP($A9&amp;BZ$3&amp;BZ$1,DB!$A:$J,10,0)</f>
        <v>0.29730000000000001</v>
      </c>
      <c r="CA9">
        <f>VLOOKUP($A9&amp;CA$3&amp;CA$1,DB!$A:$J,10,0)</f>
        <v>0.2636</v>
      </c>
      <c r="CB9">
        <f>VLOOKUP($A9&amp;CB$3&amp;CB$1,DB!$A:$J,10,0)</f>
        <v>0.318</v>
      </c>
      <c r="CC9">
        <f>VLOOKUP($A9&amp;CC$3&amp;CC$1,DB!$A:$J,10,0)</f>
        <v>0.2427</v>
      </c>
      <c r="CD9">
        <f>VLOOKUP($A9&amp;CD$3&amp;CD$1,DB!$A:$J,10,0)</f>
        <v>2578.54</v>
      </c>
      <c r="CE9">
        <f>VLOOKUP($A9&amp;CE$3&amp;CE$1,DB!$A:$J,10,0)</f>
        <v>5514.47</v>
      </c>
      <c r="CF9">
        <f>VLOOKUP($A9&amp;CF$3&amp;CF$1,DB!$A:$J,10,0)</f>
        <v>1942.53</v>
      </c>
      <c r="CG9">
        <f>VLOOKUP($A9&amp;CG$3&amp;CG$1,DB!$A:$J,10,0)</f>
        <v>2322.2199999999998</v>
      </c>
      <c r="CH9">
        <f>VLOOKUP($A9&amp;CH$3&amp;CH$1,DB!$A:$J,10,0)</f>
        <v>2718.44</v>
      </c>
      <c r="CI9">
        <f>VLOOKUP($A9&amp;CI$3&amp;CI$1,DB!$A:$J,10,0)</f>
        <v>3505.41</v>
      </c>
      <c r="CJ9">
        <f>VLOOKUP($A9&amp;CJ$3&amp;CJ$1,DB!$A:$J,10,0)</f>
        <v>2524.02</v>
      </c>
      <c r="CK9">
        <f>VLOOKUP($A9&amp;CK$3&amp;CK$1,DB!$A:$J,10,0)</f>
        <v>2073.9499999999998</v>
      </c>
      <c r="CL9">
        <f>VLOOKUP($A9&amp;CL$3&amp;CL$1,DB!$A:$J,10,0)</f>
        <v>3449.14</v>
      </c>
      <c r="CM9">
        <f>VLOOKUP($A9&amp;CM$3&amp;CM$1,DB!$A:$J,10,0)</f>
        <v>4326.7700000000004</v>
      </c>
      <c r="CN9">
        <f>VLOOKUP($A9&amp;CN$3&amp;CN$1,DB!$A:$J,10,0)</f>
        <v>4437.67</v>
      </c>
      <c r="CO9">
        <f>VLOOKUP($A9&amp;CO$3&amp;CO$1,DB!$A:$J,10,0)</f>
        <v>5209.01</v>
      </c>
      <c r="CP9">
        <f>VLOOKUP($A9&amp;CP$3&amp;CP$1,DB!$A:$J,10,0)</f>
        <v>5511.8</v>
      </c>
      <c r="CQ9">
        <f>VLOOKUP($A9&amp;CQ$3&amp;CQ$1,DB!$A:$J,10,0)</f>
        <v>5558.22</v>
      </c>
      <c r="CR9">
        <f>VLOOKUP($A9&amp;CR$3&amp;CR$1,DB!$A:$J,10,0)</f>
        <v>6163.81</v>
      </c>
      <c r="CS9">
        <f>VLOOKUP($A9&amp;CS$3&amp;CS$1,DB!$A:$J,10,0)</f>
        <v>6965.67</v>
      </c>
      <c r="CT9">
        <f>VLOOKUP($A9&amp;CT$3&amp;CT$1,DB!$A:$J,10,0)</f>
        <v>10162</v>
      </c>
      <c r="CU9">
        <f>VLOOKUP($A9&amp;CU$3&amp;CU$1,DB!$A:$J,10,0)</f>
        <v>12085.08</v>
      </c>
      <c r="CV9">
        <f>VLOOKUP($A9&amp;CV$3&amp;CV$1,DB!$A:$J,10,0)</f>
        <v>13493.41</v>
      </c>
      <c r="CW9">
        <f>VLOOKUP($A9&amp;CW$3&amp;CW$1,DB!$A:$J,10,0)</f>
        <v>17549.64</v>
      </c>
      <c r="CX9">
        <f>VLOOKUP($A9&amp;CX$3&amp;CX$1,DB!$A:$J,10,0)</f>
        <v>4082.9</v>
      </c>
      <c r="CY9">
        <f>VLOOKUP($A9&amp;CY$3&amp;CY$1,DB!$A:$J,10,0)</f>
        <v>5163.8599999999997</v>
      </c>
      <c r="CZ9">
        <f>VLOOKUP($A9&amp;CZ$3&amp;CZ$1,DB!$A:$J,10,0)</f>
        <v>4561.7</v>
      </c>
      <c r="DA9">
        <f>VLOOKUP($A9&amp;DA$3&amp;DA$1,DB!$A:$J,10,0)</f>
        <v>4544.62</v>
      </c>
      <c r="DB9">
        <f>VLOOKUP($A9&amp;DB$3&amp;DB$1,DB!$A:$J,10,0)</f>
        <v>5099.79</v>
      </c>
      <c r="DC9">
        <f>VLOOKUP($A9&amp;DC$3&amp;DC$1,DB!$A:$J,10,0)</f>
        <v>5972.18</v>
      </c>
      <c r="DD9">
        <f>VLOOKUP($A9&amp;DD$3&amp;DD$1,DB!$A:$J,10,0)</f>
        <v>8741.16</v>
      </c>
      <c r="DE9">
        <f>VLOOKUP($A9&amp;DE$3&amp;DE$1,DB!$A:$J,10,0)</f>
        <v>11383.07</v>
      </c>
      <c r="DF9">
        <f>VLOOKUP($A9&amp;DF$3&amp;DF$1,DB!$A:$J,10,0)</f>
        <v>17770.8</v>
      </c>
      <c r="DG9">
        <f>VLOOKUP($A9&amp;DG$3&amp;DG$1,DB!$A:$J,10,0)</f>
        <v>13577.8</v>
      </c>
      <c r="DH9">
        <f>VLOOKUP($A9&amp;DH$3&amp;DH$1,DB!$A:$J,10,0)</f>
        <v>4082.9</v>
      </c>
      <c r="DI9">
        <f>VLOOKUP($A9&amp;DI$3&amp;DI$1,DB!$A:$J,10,0)</f>
        <v>5163.8599999999997</v>
      </c>
      <c r="DJ9">
        <f>VLOOKUP($A9&amp;DJ$3&amp;DJ$1,DB!$A:$J,10,0)</f>
        <v>4561.7</v>
      </c>
      <c r="DK9">
        <f>VLOOKUP($A9&amp;DK$3&amp;DK$1,DB!$A:$J,10,0)</f>
        <v>4544.62</v>
      </c>
      <c r="DL9">
        <f>VLOOKUP($A9&amp;DL$3&amp;DL$1,DB!$A:$J,10,0)</f>
        <v>5099.79</v>
      </c>
      <c r="DM9">
        <f>VLOOKUP($A9&amp;DM$3&amp;DM$1,DB!$A:$J,10,0)</f>
        <v>5972.18</v>
      </c>
      <c r="DN9">
        <f>VLOOKUP($A9&amp;DN$3&amp;DN$1,DB!$A:$J,10,0)</f>
        <v>8741.16</v>
      </c>
      <c r="DO9">
        <f>VLOOKUP($A9&amp;DO$3&amp;DO$1,DB!$A:$J,10,0)</f>
        <v>11383.07</v>
      </c>
      <c r="DP9">
        <f>VLOOKUP($A9&amp;DP$3&amp;DP$1,DB!$A:$J,10,0)</f>
        <v>17770.8</v>
      </c>
      <c r="DQ9">
        <f>VLOOKUP($A9&amp;DQ$3&amp;DQ$1,DB!$A:$J,10,0)</f>
        <v>13577.8</v>
      </c>
      <c r="DR9">
        <f>VLOOKUP($A9&amp;DR$3&amp;DR$1,DB!$A:$J,10,0)</f>
        <v>1833.66</v>
      </c>
      <c r="DS9">
        <f>VLOOKUP($A9&amp;DS$3&amp;DS$1,DB!$A:$J,10,0)</f>
        <v>3080.46</v>
      </c>
      <c r="DT9">
        <f>VLOOKUP($A9&amp;DT$3&amp;DT$1,DB!$A:$J,10,0)</f>
        <v>2309.1799999999998</v>
      </c>
      <c r="DU9">
        <f>VLOOKUP($A9&amp;DU$3&amp;DU$1,DB!$A:$J,10,0)</f>
        <v>2733.78</v>
      </c>
      <c r="DV9">
        <f>VLOOKUP($A9&amp;DV$3&amp;DV$1,DB!$A:$J,10,0)</f>
        <v>2618.4699999999998</v>
      </c>
      <c r="DW9">
        <f>VLOOKUP($A9&amp;DW$3&amp;DW$1,DB!$A:$J,10,0)</f>
        <v>0</v>
      </c>
      <c r="DX9">
        <f>VLOOKUP($A9&amp;DX$3&amp;DX$1,DB!$A:$J,10,0)</f>
        <v>4654.4799999999996</v>
      </c>
      <c r="DY9">
        <f>VLOOKUP($A9&amp;DY$3&amp;DY$1,DB!$A:$J,10,0)</f>
        <v>4935.82</v>
      </c>
      <c r="DZ9">
        <f>VLOOKUP($A9&amp;DZ$3&amp;DZ$1,DB!$A:$J,10,0)</f>
        <v>5136.92</v>
      </c>
      <c r="EA9">
        <f>VLOOKUP($A9&amp;EA$3&amp;EA$1,DB!$A:$J,10,0)</f>
        <v>6219.86</v>
      </c>
      <c r="EB9">
        <f>VLOOKUP($A9&amp;EB$3&amp;EB$1,DB!$A:$J,10,0)</f>
        <v>911.88</v>
      </c>
      <c r="EC9">
        <f>VLOOKUP($A9&amp;EC$3&amp;EC$1,DB!$A:$J,10,0)</f>
        <v>819.57</v>
      </c>
      <c r="ED9">
        <f>VLOOKUP($A9&amp;ED$3&amp;ED$1,DB!$A:$J,10,0)</f>
        <v>951.23</v>
      </c>
      <c r="EE9">
        <f>VLOOKUP($A9&amp;EE$3&amp;EE$1,DB!$A:$J,10,0)</f>
        <v>880.5</v>
      </c>
      <c r="EF9">
        <f>VLOOKUP($A9&amp;EF$3&amp;EF$1,DB!$A:$J,10,0)</f>
        <v>1275.06</v>
      </c>
      <c r="EG9">
        <f>VLOOKUP($A9&amp;EG$3&amp;EG$1,DB!$A:$J,10,0)</f>
        <v>3700.52</v>
      </c>
      <c r="EH9">
        <f>VLOOKUP($A9&amp;EH$3&amp;EH$1,DB!$A:$J,10,0)</f>
        <v>1111.58</v>
      </c>
      <c r="EI9">
        <f>VLOOKUP($A9&amp;EI$3&amp;EI$1,DB!$A:$J,10,0)</f>
        <v>1044.7</v>
      </c>
      <c r="EJ9">
        <f>VLOOKUP($A9&amp;EJ$3&amp;EJ$1,DB!$A:$J,10,0)</f>
        <v>979.84</v>
      </c>
      <c r="EK9">
        <f>VLOOKUP($A9&amp;EK$3&amp;EK$1,DB!$A:$J,10,0)</f>
        <v>1302.79</v>
      </c>
    </row>
    <row r="10" spans="1:141" hidden="1" x14ac:dyDescent="0.35">
      <c r="A10" t="s">
        <v>46</v>
      </c>
      <c r="B10">
        <f>VLOOKUP($A10&amp;B$3&amp;B$1,DB!$A:$J,10,0)</f>
        <v>0.30830000000000002</v>
      </c>
      <c r="C10">
        <f>VLOOKUP($A10&amp;C$3&amp;C$1,DB!$A:$J,10,0)</f>
        <v>0.2581</v>
      </c>
      <c r="D10">
        <f>VLOOKUP($A10&amp;D$3&amp;D$1,DB!$A:$J,10,0)</f>
        <v>0.32729999999999998</v>
      </c>
      <c r="E10">
        <f>VLOOKUP($A10&amp;E$3&amp;E$1,DB!$A:$J,10,0)</f>
        <v>0.30580000000000002</v>
      </c>
      <c r="F10">
        <f>VLOOKUP($A10&amp;F$3&amp;F$1,DB!$A:$J,10,0)</f>
        <v>0.32879999999999998</v>
      </c>
      <c r="G10">
        <f>VLOOKUP($A10&amp;G$3&amp;G$1,DB!$A:$J,10,0)</f>
        <v>0.29670000000000002</v>
      </c>
      <c r="H10">
        <f>VLOOKUP($A10&amp;H$3&amp;H$1,DB!$A:$J,10,0)</f>
        <v>0.25800000000000001</v>
      </c>
      <c r="I10">
        <f>VLOOKUP($A10&amp;I$3&amp;I$1,DB!$A:$J,10,0)</f>
        <v>0.28420000000000001</v>
      </c>
      <c r="J10">
        <f>VLOOKUP($A10&amp;J$3&amp;J$1,DB!$A:$J,10,0)</f>
        <v>0.35260000000000002</v>
      </c>
      <c r="K10">
        <f>VLOOKUP($A10&amp;K$3&amp;K$1,DB!$A:$J,10,0)</f>
        <v>0.2727</v>
      </c>
      <c r="L10">
        <f>VLOOKUP($A10&amp;L$3&amp;L$1,DB!$A:$J,10,0)</f>
        <v>0.63119999999999998</v>
      </c>
      <c r="M10">
        <f>VLOOKUP($A10&amp;M$3&amp;M$1,DB!$A:$J,10,0)</f>
        <v>0.76680000000000004</v>
      </c>
      <c r="N10">
        <f>VLOOKUP($A10&amp;N$3&amp;N$1,DB!$A:$J,10,0)</f>
        <v>0.96809999999999996</v>
      </c>
      <c r="O10">
        <f>VLOOKUP($A10&amp;O$3&amp;O$1,DB!$A:$J,10,0)</f>
        <v>0.81779999999999997</v>
      </c>
      <c r="P10">
        <f>VLOOKUP($A10&amp;P$3&amp;P$1,DB!$A:$J,10,0)</f>
        <v>0.8931</v>
      </c>
      <c r="Q10">
        <f>VLOOKUP($A10&amp;Q$3&amp;Q$1,DB!$A:$J,10,0)</f>
        <v>0.89280000000000004</v>
      </c>
      <c r="R10">
        <f>VLOOKUP($A10&amp;R$3&amp;R$1,DB!$A:$J,10,0)</f>
        <v>0.87909999999999999</v>
      </c>
      <c r="S10">
        <f>VLOOKUP($A10&amp;S$3&amp;S$1,DB!$A:$J,10,0)</f>
        <v>0.94620000000000004</v>
      </c>
      <c r="T10">
        <f>VLOOKUP($A10&amp;T$3&amp;T$1,DB!$A:$J,10,0)</f>
        <v>0.81979999999999997</v>
      </c>
      <c r="U10">
        <f>VLOOKUP($A10&amp;U$3&amp;U$1,DB!$A:$J,10,0)</f>
        <v>0.99890000000000001</v>
      </c>
      <c r="V10">
        <f>VLOOKUP($A10&amp;V$3&amp;V$1,DB!$A:$J,10,0)</f>
        <v>0.34689999999999999</v>
      </c>
      <c r="W10">
        <f>VLOOKUP($A10&amp;W$3&amp;W$1,DB!$A:$J,10,0)</f>
        <v>0.23200000000000001</v>
      </c>
      <c r="X10">
        <f>VLOOKUP($A10&amp;X$3&amp;X$1,DB!$A:$J,10,0)</f>
        <v>2.8500000000000001E-2</v>
      </c>
      <c r="Y10">
        <f>VLOOKUP($A10&amp;Y$3&amp;Y$1,DB!$A:$J,10,0)</f>
        <v>0.1822</v>
      </c>
      <c r="Z10">
        <f>VLOOKUP($A10&amp;Z$3&amp;Z$1,DB!$A:$J,10,0)</f>
        <v>0.1069</v>
      </c>
      <c r="AA10">
        <f>VLOOKUP($A10&amp;AA$3&amp;AA$1,DB!$A:$J,10,0)</f>
        <v>0.1028</v>
      </c>
      <c r="AB10">
        <f>VLOOKUP($A10&amp;AB$3&amp;AB$1,DB!$A:$J,10,0)</f>
        <v>0.1089</v>
      </c>
      <c r="AC10">
        <f>VLOOKUP($A10&amp;AC$3&amp;AC$1,DB!$A:$J,10,0)</f>
        <v>5.3800000000000001E-2</v>
      </c>
      <c r="AD10">
        <f>VLOOKUP($A10&amp;AD$3&amp;AD$1,DB!$A:$J,10,0)</f>
        <v>0</v>
      </c>
      <c r="AE10">
        <f>VLOOKUP($A10&amp;AE$3&amp;AE$1,DB!$A:$J,10,0)</f>
        <v>0</v>
      </c>
      <c r="AF10">
        <f>VLOOKUP($A10&amp;AF$3&amp;AF$1,DB!$A:$J,10,0)</f>
        <v>0</v>
      </c>
      <c r="AG10">
        <f>VLOOKUP($A10&amp;AG$3&amp;AG$1,DB!$A:$J,10,0)</f>
        <v>0</v>
      </c>
      <c r="AH10">
        <f>VLOOKUP($A10&amp;AH$3&amp;AH$1,DB!$A:$J,10,0)</f>
        <v>0.1095</v>
      </c>
      <c r="AI10">
        <f>VLOOKUP($A10&amp;AI$3&amp;AI$1,DB!$A:$J,10,0)</f>
        <v>0</v>
      </c>
      <c r="AJ10">
        <f>VLOOKUP($A10&amp;AJ$3&amp;AJ$1,DB!$A:$J,10,0)</f>
        <v>0</v>
      </c>
      <c r="AK10">
        <f>VLOOKUP($A10&amp;AK$3&amp;AK$1,DB!$A:$J,10,0)</f>
        <v>0.32400000000000001</v>
      </c>
      <c r="AL10">
        <f>VLOOKUP($A10&amp;AL$3&amp;AL$1,DB!$A:$J,10,0)</f>
        <v>0.30349999999999999</v>
      </c>
      <c r="AM10">
        <f>VLOOKUP($A10&amp;AM$3&amp;AM$1,DB!$A:$J,10,0)</f>
        <v>0.1686</v>
      </c>
      <c r="AN10">
        <f>VLOOKUP($A10&amp;AN$3&amp;AN$1,DB!$A:$J,10,0)</f>
        <v>0.27939999999999998</v>
      </c>
      <c r="AO10">
        <f>VLOOKUP($A10&amp;AO$3&amp;AO$1,DB!$A:$J,10,0)</f>
        <v>0.44569999999999999</v>
      </c>
      <c r="AP10">
        <f>VLOOKUP($A10&amp;AP$3&amp;AP$1,DB!$A:$J,10,0)</f>
        <v>0.69199999999999995</v>
      </c>
      <c r="AQ10">
        <f>VLOOKUP($A10&amp;AQ$3&amp;AQ$1,DB!$A:$J,10,0)</f>
        <v>0.8538</v>
      </c>
      <c r="AR10">
        <f>VLOOKUP($A10&amp;AR$3&amp;AR$1,DB!$A:$J,10,0)</f>
        <v>0.8871</v>
      </c>
      <c r="AS10">
        <f>VLOOKUP($A10&amp;AS$3&amp;AS$1,DB!$A:$J,10,0)</f>
        <v>0.82169999999999999</v>
      </c>
      <c r="AT10">
        <f>VLOOKUP($A10&amp;AT$3&amp;AT$1,DB!$A:$J,10,0)</f>
        <v>0.76959999999999995</v>
      </c>
      <c r="AU10">
        <f>VLOOKUP($A10&amp;AU$3&amp;AU$1,DB!$A:$J,10,0)</f>
        <v>0.67159999999999997</v>
      </c>
      <c r="AV10">
        <f>VLOOKUP($A10&amp;AV$3&amp;AV$1,DB!$A:$J,10,0)</f>
        <v>0.6845</v>
      </c>
      <c r="AW10">
        <f>VLOOKUP($A10&amp;AW$3&amp;AW$1,DB!$A:$J,10,0)</f>
        <v>0.83140000000000003</v>
      </c>
      <c r="AX10">
        <f>VLOOKUP($A10&amp;AX$3&amp;AX$1,DB!$A:$J,10,0)</f>
        <v>0.5101</v>
      </c>
      <c r="AY10">
        <f>VLOOKUP($A10&amp;AY$3&amp;AY$1,DB!$A:$J,10,0)</f>
        <v>0.55310000000000004</v>
      </c>
      <c r="AZ10">
        <f>VLOOKUP($A10&amp;AZ$3&amp;AZ$1,DB!$A:$J,10,0)</f>
        <v>0.1278</v>
      </c>
      <c r="BA10">
        <f>VLOOKUP($A10&amp;BA$3&amp;BA$1,DB!$A:$J,10,0)</f>
        <v>7.46E-2</v>
      </c>
      <c r="BB10">
        <f>VLOOKUP($A10&amp;BB$3&amp;BB$1,DB!$A:$J,10,0)</f>
        <v>6.8199999999999997E-2</v>
      </c>
      <c r="BC10">
        <f>VLOOKUP($A10&amp;BC$3&amp;BC$1,DB!$A:$J,10,0)</f>
        <v>8.6300000000000002E-2</v>
      </c>
      <c r="BD10">
        <f>VLOOKUP($A10&amp;BD$3&amp;BD$1,DB!$A:$J,10,0)</f>
        <v>0.1963</v>
      </c>
      <c r="BE10">
        <f>VLOOKUP($A10&amp;BE$3&amp;BE$1,DB!$A:$J,10,0)</f>
        <v>0</v>
      </c>
      <c r="BF10">
        <f>VLOOKUP($A10&amp;BF$3&amp;BF$1,DB!$A:$J,10,0)</f>
        <v>0.21079999999999999</v>
      </c>
      <c r="BG10">
        <f>VLOOKUP($A10&amp;BG$3&amp;BG$1,DB!$A:$J,10,0)</f>
        <v>9.1600000000000001E-2</v>
      </c>
      <c r="BH10">
        <f>VLOOKUP($A10&amp;BH$3&amp;BH$1,DB!$A:$J,10,0)</f>
        <v>0.31669999999999998</v>
      </c>
      <c r="BI10">
        <f>VLOOKUP($A10&amp;BI$3&amp;BI$1,DB!$A:$J,10,0)</f>
        <v>0.22389999999999999</v>
      </c>
      <c r="BJ10">
        <f>VLOOKUP($A10&amp;BJ$3&amp;BJ$1,DB!$A:$J,10,0)</f>
        <v>0.83779999999999999</v>
      </c>
      <c r="BK10">
        <f>VLOOKUP($A10&amp;BK$3&amp;BK$1,DB!$A:$J,10,0)</f>
        <v>0.62960000000000005</v>
      </c>
      <c r="BL10">
        <f>VLOOKUP($A10&amp;BL$3&amp;BL$1,DB!$A:$J,10,0)</f>
        <v>0.69510000000000005</v>
      </c>
      <c r="BM10">
        <f>VLOOKUP($A10&amp;BM$3&amp;BM$1,DB!$A:$J,10,0)</f>
        <v>0.64459999999999995</v>
      </c>
      <c r="BN10">
        <f>VLOOKUP($A10&amp;BN$3&amp;BN$1,DB!$A:$J,10,0)</f>
        <v>0.6159</v>
      </c>
      <c r="BO10">
        <f>VLOOKUP($A10&amp;BO$3&amp;BO$1,DB!$A:$J,10,0)</f>
        <v>0</v>
      </c>
      <c r="BP10">
        <f>VLOOKUP($A10&amp;BP$3&amp;BP$1,DB!$A:$J,10,0)</f>
        <v>0.68710000000000004</v>
      </c>
      <c r="BQ10">
        <f>VLOOKUP($A10&amp;BQ$3&amp;BQ$1,DB!$A:$J,10,0)</f>
        <v>0.43390000000000001</v>
      </c>
      <c r="BR10">
        <f>VLOOKUP($A10&amp;BR$3&amp;BR$1,DB!$A:$J,10,0)</f>
        <v>0.438</v>
      </c>
      <c r="BS10">
        <f>VLOOKUP($A10&amp;BS$3&amp;BS$1,DB!$A:$J,10,0)</f>
        <v>0.37659999999999999</v>
      </c>
      <c r="BT10">
        <f>VLOOKUP($A10&amp;BT$3&amp;BT$1,DB!$A:$J,10,0)</f>
        <v>0.24210000000000001</v>
      </c>
      <c r="BU10">
        <f>VLOOKUP($A10&amp;BU$3&amp;BU$1,DB!$A:$J,10,0)</f>
        <v>0.24510000000000001</v>
      </c>
      <c r="BV10">
        <f>VLOOKUP($A10&amp;BV$3&amp;BV$1,DB!$A:$J,10,0)</f>
        <v>0.34960000000000002</v>
      </c>
      <c r="BW10">
        <f>VLOOKUP($A10&amp;BW$3&amp;BW$1,DB!$A:$J,10,0)</f>
        <v>0.26579999999999998</v>
      </c>
      <c r="BX10">
        <f>VLOOKUP($A10&amp;BX$3&amp;BX$1,DB!$A:$J,10,0)</f>
        <v>0.26939999999999997</v>
      </c>
      <c r="BY10">
        <f>VLOOKUP($A10&amp;BY$3&amp;BY$1,DB!$A:$J,10,0)</f>
        <v>0</v>
      </c>
      <c r="BZ10">
        <f>VLOOKUP($A10&amp;BZ$3&amp;BZ$1,DB!$A:$J,10,0)</f>
        <v>0.28029999999999999</v>
      </c>
      <c r="CA10">
        <f>VLOOKUP($A10&amp;CA$3&amp;CA$1,DB!$A:$J,10,0)</f>
        <v>0.28810000000000002</v>
      </c>
      <c r="CB10">
        <f>VLOOKUP($A10&amp;CB$3&amp;CB$1,DB!$A:$J,10,0)</f>
        <v>0.25580000000000003</v>
      </c>
      <c r="CC10">
        <f>VLOOKUP($A10&amp;CC$3&amp;CC$1,DB!$A:$J,10,0)</f>
        <v>0.24229999999999999</v>
      </c>
      <c r="CD10">
        <f>VLOOKUP($A10&amp;CD$3&amp;CD$1,DB!$A:$J,10,0)</f>
        <v>3594.3</v>
      </c>
      <c r="CE10">
        <f>VLOOKUP($A10&amp;CE$3&amp;CE$1,DB!$A:$J,10,0)</f>
        <v>2028.73</v>
      </c>
      <c r="CF10">
        <f>VLOOKUP($A10&amp;CF$3&amp;CF$1,DB!$A:$J,10,0)</f>
        <v>2562.2399999999998</v>
      </c>
      <c r="CG10">
        <f>VLOOKUP($A10&amp;CG$3&amp;CG$1,DB!$A:$J,10,0)</f>
        <v>2488.1</v>
      </c>
      <c r="CH10">
        <f>VLOOKUP($A10&amp;CH$3&amp;CH$1,DB!$A:$J,10,0)</f>
        <v>5829.55</v>
      </c>
      <c r="CI10">
        <f>VLOOKUP($A10&amp;CI$3&amp;CI$1,DB!$A:$J,10,0)</f>
        <v>7743.86</v>
      </c>
      <c r="CJ10">
        <f>VLOOKUP($A10&amp;CJ$3&amp;CJ$1,DB!$A:$J,10,0)</f>
        <v>5906.44</v>
      </c>
      <c r="CK10">
        <f>VLOOKUP($A10&amp;CK$3&amp;CK$1,DB!$A:$J,10,0)</f>
        <v>4344.96</v>
      </c>
      <c r="CL10">
        <f>VLOOKUP($A10&amp;CL$3&amp;CL$1,DB!$A:$J,10,0)</f>
        <v>15381.05</v>
      </c>
      <c r="CM10">
        <f>VLOOKUP($A10&amp;CM$3&amp;CM$1,DB!$A:$J,10,0)</f>
        <v>12317.03</v>
      </c>
      <c r="CN10">
        <f>VLOOKUP($A10&amp;CN$3&amp;CN$1,DB!$A:$J,10,0)</f>
        <v>6533.76</v>
      </c>
      <c r="CO10">
        <f>VLOOKUP($A10&amp;CO$3&amp;CO$1,DB!$A:$J,10,0)</f>
        <v>5656.87</v>
      </c>
      <c r="CP10">
        <f>VLOOKUP($A10&amp;CP$3&amp;CP$1,DB!$A:$J,10,0)</f>
        <v>8501.2199999999993</v>
      </c>
      <c r="CQ10">
        <f>VLOOKUP($A10&amp;CQ$3&amp;CQ$1,DB!$A:$J,10,0)</f>
        <v>8665.36</v>
      </c>
      <c r="CR10">
        <f>VLOOKUP($A10&amp;CR$3&amp;CR$1,DB!$A:$J,10,0)</f>
        <v>9244.99</v>
      </c>
      <c r="CS10">
        <f>VLOOKUP($A10&amp;CS$3&amp;CS$1,DB!$A:$J,10,0)</f>
        <v>10608.11</v>
      </c>
      <c r="CT10">
        <f>VLOOKUP($A10&amp;CT$3&amp;CT$1,DB!$A:$J,10,0)</f>
        <v>11944.88</v>
      </c>
      <c r="CU10">
        <f>VLOOKUP($A10&amp;CU$3&amp;CU$1,DB!$A:$J,10,0)</f>
        <v>14543.18</v>
      </c>
      <c r="CV10">
        <f>VLOOKUP($A10&amp;CV$3&amp;CV$1,DB!$A:$J,10,0)</f>
        <v>15259.84</v>
      </c>
      <c r="CW10">
        <f>VLOOKUP($A10&amp;CW$3&amp;CW$1,DB!$A:$J,10,0)</f>
        <v>16698.18</v>
      </c>
      <c r="CX10">
        <f>VLOOKUP($A10&amp;CX$3&amp;CX$1,DB!$A:$J,10,0)</f>
        <v>5895.48</v>
      </c>
      <c r="CY10">
        <f>VLOOKUP($A10&amp;CY$3&amp;CY$1,DB!$A:$J,10,0)</f>
        <v>4738.18</v>
      </c>
      <c r="CZ10">
        <f>VLOOKUP($A10&amp;CZ$3&amp;CZ$1,DB!$A:$J,10,0)</f>
        <v>6883.56</v>
      </c>
      <c r="DA10">
        <f>VLOOKUP($A10&amp;DA$3&amp;DA$1,DB!$A:$J,10,0)</f>
        <v>6640.45</v>
      </c>
      <c r="DB10">
        <f>VLOOKUP($A10&amp;DB$3&amp;DB$1,DB!$A:$J,10,0)</f>
        <v>8191.54</v>
      </c>
      <c r="DC10">
        <f>VLOOKUP($A10&amp;DC$3&amp;DC$1,DB!$A:$J,10,0)</f>
        <v>9571.4</v>
      </c>
      <c r="DD10">
        <f>VLOOKUP($A10&amp;DD$3&amp;DD$1,DB!$A:$J,10,0)</f>
        <v>10288.48</v>
      </c>
      <c r="DE10">
        <f>VLOOKUP($A10&amp;DE$3&amp;DE$1,DB!$A:$J,10,0)</f>
        <v>19641.89</v>
      </c>
      <c r="DF10">
        <f>VLOOKUP($A10&amp;DF$3&amp;DF$1,DB!$A:$J,10,0)</f>
        <v>19754.72</v>
      </c>
      <c r="DG10">
        <f>VLOOKUP($A10&amp;DG$3&amp;DG$1,DB!$A:$J,10,0)</f>
        <v>24552.59</v>
      </c>
      <c r="DH10">
        <f>VLOOKUP($A10&amp;DH$3&amp;DH$1,DB!$A:$J,10,0)</f>
        <v>5895.48</v>
      </c>
      <c r="DI10">
        <f>VLOOKUP($A10&amp;DI$3&amp;DI$1,DB!$A:$J,10,0)</f>
        <v>4738.18</v>
      </c>
      <c r="DJ10">
        <f>VLOOKUP($A10&amp;DJ$3&amp;DJ$1,DB!$A:$J,10,0)</f>
        <v>6883.56</v>
      </c>
      <c r="DK10">
        <f>VLOOKUP($A10&amp;DK$3&amp;DK$1,DB!$A:$J,10,0)</f>
        <v>6640.45</v>
      </c>
      <c r="DL10">
        <f>VLOOKUP($A10&amp;DL$3&amp;DL$1,DB!$A:$J,10,0)</f>
        <v>8191.54</v>
      </c>
      <c r="DM10">
        <f>VLOOKUP($A10&amp;DM$3&amp;DM$1,DB!$A:$J,10,0)</f>
        <v>9571.4</v>
      </c>
      <c r="DN10">
        <f>VLOOKUP($A10&amp;DN$3&amp;DN$1,DB!$A:$J,10,0)</f>
        <v>10288.48</v>
      </c>
      <c r="DO10">
        <f>VLOOKUP($A10&amp;DO$3&amp;DO$1,DB!$A:$J,10,0)</f>
        <v>19641.89</v>
      </c>
      <c r="DP10">
        <f>VLOOKUP($A10&amp;DP$3&amp;DP$1,DB!$A:$J,10,0)</f>
        <v>19754.72</v>
      </c>
      <c r="DQ10">
        <f>VLOOKUP($A10&amp;DQ$3&amp;DQ$1,DB!$A:$J,10,0)</f>
        <v>24552.59</v>
      </c>
      <c r="DR10">
        <f>VLOOKUP($A10&amp;DR$3&amp;DR$1,DB!$A:$J,10,0)</f>
        <v>1722.39</v>
      </c>
      <c r="DS10">
        <f>VLOOKUP($A10&amp;DS$3&amp;DS$1,DB!$A:$J,10,0)</f>
        <v>2155.75</v>
      </c>
      <c r="DT10">
        <f>VLOOKUP($A10&amp;DT$3&amp;DT$1,DB!$A:$J,10,0)</f>
        <v>4905.7</v>
      </c>
      <c r="DU10">
        <f>VLOOKUP($A10&amp;DU$3&amp;DU$1,DB!$A:$J,10,0)</f>
        <v>4190.5</v>
      </c>
      <c r="DV10">
        <f>VLOOKUP($A10&amp;DV$3&amp;DV$1,DB!$A:$J,10,0)</f>
        <v>4645.92</v>
      </c>
      <c r="DW10">
        <f>VLOOKUP($A10&amp;DW$3&amp;DW$1,DB!$A:$J,10,0)</f>
        <v>0</v>
      </c>
      <c r="DX10">
        <f>VLOOKUP($A10&amp;DX$3&amp;DX$1,DB!$A:$J,10,0)</f>
        <v>4140.46</v>
      </c>
      <c r="DY10">
        <f>VLOOKUP($A10&amp;DY$3&amp;DY$1,DB!$A:$J,10,0)</f>
        <v>6097.36</v>
      </c>
      <c r="DZ10">
        <f>VLOOKUP($A10&amp;DZ$3&amp;DZ$1,DB!$A:$J,10,0)</f>
        <v>5500.99</v>
      </c>
      <c r="EA10">
        <f>VLOOKUP($A10&amp;EA$3&amp;EA$1,DB!$A:$J,10,0)</f>
        <v>7497.65</v>
      </c>
      <c r="EB10">
        <f>VLOOKUP($A10&amp;EB$3&amp;EB$1,DB!$A:$J,10,0)</f>
        <v>1439.11</v>
      </c>
      <c r="EC10">
        <f>VLOOKUP($A10&amp;EC$3&amp;EC$1,DB!$A:$J,10,0)</f>
        <v>2079.3000000000002</v>
      </c>
      <c r="ED10">
        <f>VLOOKUP($A10&amp;ED$3&amp;ED$1,DB!$A:$J,10,0)</f>
        <v>1090.6300000000001</v>
      </c>
      <c r="EE10">
        <f>VLOOKUP($A10&amp;EE$3&amp;EE$1,DB!$A:$J,10,0)</f>
        <v>1924.1</v>
      </c>
      <c r="EF10">
        <f>VLOOKUP($A10&amp;EF$3&amp;EF$1,DB!$A:$J,10,0)</f>
        <v>1803.63</v>
      </c>
      <c r="EG10">
        <f>VLOOKUP($A10&amp;EG$3&amp;EG$1,DB!$A:$J,10,0)</f>
        <v>7619.63</v>
      </c>
      <c r="EH10">
        <f>VLOOKUP($A10&amp;EH$3&amp;EH$1,DB!$A:$J,10,0)</f>
        <v>386.73</v>
      </c>
      <c r="EI10">
        <f>VLOOKUP($A10&amp;EI$3&amp;EI$1,DB!$A:$J,10,0)</f>
        <v>346.57</v>
      </c>
      <c r="EJ10">
        <f>VLOOKUP($A10&amp;EJ$3&amp;EJ$1,DB!$A:$J,10,0)</f>
        <v>0</v>
      </c>
      <c r="EK10">
        <f>VLOOKUP($A10&amp;EK$3&amp;EK$1,DB!$A:$J,10,0)</f>
        <v>0</v>
      </c>
    </row>
    <row r="11" spans="1:141" hidden="1" x14ac:dyDescent="0.35">
      <c r="A11" t="s">
        <v>47</v>
      </c>
      <c r="B11">
        <f>VLOOKUP($A11&amp;B$3&amp;B$1,DB!$A:$J,10,0)</f>
        <v>0.25040000000000001</v>
      </c>
      <c r="C11">
        <f>VLOOKUP($A11&amp;C$3&amp;C$1,DB!$A:$J,10,0)</f>
        <v>0.28770000000000001</v>
      </c>
      <c r="D11">
        <f>VLOOKUP($A11&amp;D$3&amp;D$1,DB!$A:$J,10,0)</f>
        <v>0.31269999999999998</v>
      </c>
      <c r="E11">
        <f>VLOOKUP($A11&amp;E$3&amp;E$1,DB!$A:$J,10,0)</f>
        <v>0.25900000000000001</v>
      </c>
      <c r="F11">
        <f>VLOOKUP($A11&amp;F$3&amp;F$1,DB!$A:$J,10,0)</f>
        <v>0.33489999999999998</v>
      </c>
      <c r="G11">
        <f>VLOOKUP($A11&amp;G$3&amp;G$1,DB!$A:$J,10,0)</f>
        <v>0.29830000000000001</v>
      </c>
      <c r="H11">
        <f>VLOOKUP($A11&amp;H$3&amp;H$1,DB!$A:$J,10,0)</f>
        <v>0.2732</v>
      </c>
      <c r="I11">
        <f>VLOOKUP($A11&amp;I$3&amp;I$1,DB!$A:$J,10,0)</f>
        <v>0.31830000000000003</v>
      </c>
      <c r="J11">
        <f>VLOOKUP($A11&amp;J$3&amp;J$1,DB!$A:$J,10,0)</f>
        <v>0.3085</v>
      </c>
      <c r="K11">
        <f>VLOOKUP($A11&amp;K$3&amp;K$1,DB!$A:$J,10,0)</f>
        <v>0.26939999999999997</v>
      </c>
      <c r="L11">
        <f>VLOOKUP($A11&amp;L$3&amp;L$1,DB!$A:$J,10,0)</f>
        <v>0.91679999999999995</v>
      </c>
      <c r="M11">
        <f>VLOOKUP($A11&amp;M$3&amp;M$1,DB!$A:$J,10,0)</f>
        <v>0.91</v>
      </c>
      <c r="N11">
        <f>VLOOKUP($A11&amp;N$3&amp;N$1,DB!$A:$J,10,0)</f>
        <v>0.60760000000000003</v>
      </c>
      <c r="O11">
        <f>VLOOKUP($A11&amp;O$3&amp;O$1,DB!$A:$J,10,0)</f>
        <v>0.81320000000000003</v>
      </c>
      <c r="P11">
        <f>VLOOKUP($A11&amp;P$3&amp;P$1,DB!$A:$J,10,0)</f>
        <v>0.8115</v>
      </c>
      <c r="Q11">
        <f>VLOOKUP($A11&amp;Q$3&amp;Q$1,DB!$A:$J,10,0)</f>
        <v>0.75800000000000001</v>
      </c>
      <c r="R11">
        <f>VLOOKUP($A11&amp;R$3&amp;R$1,DB!$A:$J,10,0)</f>
        <v>0.72119999999999995</v>
      </c>
      <c r="S11">
        <f>VLOOKUP($A11&amp;S$3&amp;S$1,DB!$A:$J,10,0)</f>
        <v>0.80500000000000005</v>
      </c>
      <c r="T11">
        <f>VLOOKUP($A11&amp;T$3&amp;T$1,DB!$A:$J,10,0)</f>
        <v>0.76529999999999998</v>
      </c>
      <c r="U11">
        <f>VLOOKUP($A11&amp;U$3&amp;U$1,DB!$A:$J,10,0)</f>
        <v>0.72719999999999996</v>
      </c>
      <c r="V11">
        <f>VLOOKUP($A11&amp;V$3&amp;V$1,DB!$A:$J,10,0)</f>
        <v>6.3100000000000003E-2</v>
      </c>
      <c r="W11">
        <f>VLOOKUP($A11&amp;W$3&amp;W$1,DB!$A:$J,10,0)</f>
        <v>8.4599999999999995E-2</v>
      </c>
      <c r="X11">
        <f>VLOOKUP($A11&amp;X$3&amp;X$1,DB!$A:$J,10,0)</f>
        <v>0.39240000000000003</v>
      </c>
      <c r="Y11">
        <f>VLOOKUP($A11&amp;Y$3&amp;Y$1,DB!$A:$J,10,0)</f>
        <v>0.18679999999999999</v>
      </c>
      <c r="Z11">
        <f>VLOOKUP($A11&amp;Z$3&amp;Z$1,DB!$A:$J,10,0)</f>
        <v>0.18099999999999999</v>
      </c>
      <c r="AA11">
        <f>VLOOKUP($A11&amp;AA$3&amp;AA$1,DB!$A:$J,10,0)</f>
        <v>0.24199999999999999</v>
      </c>
      <c r="AB11">
        <f>VLOOKUP($A11&amp;AB$3&amp;AB$1,DB!$A:$J,10,0)</f>
        <v>0.26900000000000002</v>
      </c>
      <c r="AC11">
        <f>VLOOKUP($A11&amp;AC$3&amp;AC$1,DB!$A:$J,10,0)</f>
        <v>0.19289999999999999</v>
      </c>
      <c r="AD11">
        <f>VLOOKUP($A11&amp;AD$3&amp;AD$1,DB!$A:$J,10,0)</f>
        <v>0.23469999999999999</v>
      </c>
      <c r="AE11">
        <f>VLOOKUP($A11&amp;AE$3&amp;AE$1,DB!$A:$J,10,0)</f>
        <v>0.26989999999999997</v>
      </c>
      <c r="AF11">
        <f>VLOOKUP($A11&amp;AF$3&amp;AF$1,DB!$A:$J,10,0)</f>
        <v>3.2899999999999999E-2</v>
      </c>
      <c r="AG11">
        <f>VLOOKUP($A11&amp;AG$3&amp;AG$1,DB!$A:$J,10,0)</f>
        <v>8.8000000000000005E-3</v>
      </c>
      <c r="AH11">
        <f>VLOOKUP($A11&amp;AH$3&amp;AH$1,DB!$A:$J,10,0)</f>
        <v>8.3900000000000002E-2</v>
      </c>
      <c r="AI11">
        <f>VLOOKUP($A11&amp;AI$3&amp;AI$1,DB!$A:$J,10,0)</f>
        <v>0</v>
      </c>
      <c r="AJ11">
        <f>VLOOKUP($A11&amp;AJ$3&amp;AJ$1,DB!$A:$J,10,0)</f>
        <v>0</v>
      </c>
      <c r="AK11">
        <f>VLOOKUP($A11&amp;AK$3&amp;AK$1,DB!$A:$J,10,0)</f>
        <v>0</v>
      </c>
      <c r="AL11">
        <f>VLOOKUP($A11&amp;AL$3&amp;AL$1,DB!$A:$J,10,0)</f>
        <v>1.38E-2</v>
      </c>
      <c r="AM11">
        <f>VLOOKUP($A11&amp;AM$3&amp;AM$1,DB!$A:$J,10,0)</f>
        <v>0.03</v>
      </c>
      <c r="AN11">
        <f>VLOOKUP($A11&amp;AN$3&amp;AN$1,DB!$A:$J,10,0)</f>
        <v>8.0299999999999996E-2</v>
      </c>
      <c r="AO11">
        <f>VLOOKUP($A11&amp;AO$3&amp;AO$1,DB!$A:$J,10,0)</f>
        <v>8.9800000000000005E-2</v>
      </c>
      <c r="AP11">
        <f>VLOOKUP($A11&amp;AP$3&amp;AP$1,DB!$A:$J,10,0)</f>
        <v>0.96489999999999998</v>
      </c>
      <c r="AQ11">
        <f>VLOOKUP($A11&amp;AQ$3&amp;AQ$1,DB!$A:$J,10,0)</f>
        <v>0.93669999999999998</v>
      </c>
      <c r="AR11">
        <f>VLOOKUP($A11&amp;AR$3&amp;AR$1,DB!$A:$J,10,0)</f>
        <v>0.91610000000000003</v>
      </c>
      <c r="AS11">
        <f>VLOOKUP($A11&amp;AS$3&amp;AS$1,DB!$A:$J,10,0)</f>
        <v>0.86870000000000003</v>
      </c>
      <c r="AT11">
        <f>VLOOKUP($A11&amp;AT$3&amp;AT$1,DB!$A:$J,10,0)</f>
        <v>0.88639999999999997</v>
      </c>
      <c r="AU11">
        <f>VLOOKUP($A11&amp;AU$3&amp;AU$1,DB!$A:$J,10,0)</f>
        <v>1.0510999999999999</v>
      </c>
      <c r="AV11">
        <f>VLOOKUP($A11&amp;AV$3&amp;AV$1,DB!$A:$J,10,0)</f>
        <v>0.97640000000000005</v>
      </c>
      <c r="AW11">
        <f>VLOOKUP($A11&amp;AW$3&amp;AW$1,DB!$A:$J,10,0)</f>
        <v>0.96799999999999997</v>
      </c>
      <c r="AX11">
        <f>VLOOKUP($A11&amp;AX$3&amp;AX$1,DB!$A:$J,10,0)</f>
        <v>0.9587</v>
      </c>
      <c r="AY11">
        <f>VLOOKUP($A11&amp;AY$3&amp;AY$1,DB!$A:$J,10,0)</f>
        <v>0.9073</v>
      </c>
      <c r="AZ11">
        <f>VLOOKUP($A11&amp;AZ$3&amp;AZ$1,DB!$A:$J,10,0)</f>
        <v>0.11169999999999999</v>
      </c>
      <c r="BA11">
        <f>VLOOKUP($A11&amp;BA$3&amp;BA$1,DB!$A:$J,10,0)</f>
        <v>7.3599999999999999E-2</v>
      </c>
      <c r="BB11">
        <f>VLOOKUP($A11&amp;BB$3&amp;BB$1,DB!$A:$J,10,0)</f>
        <v>4.1700000000000001E-2</v>
      </c>
      <c r="BC11">
        <f>VLOOKUP($A11&amp;BC$3&amp;BC$1,DB!$A:$J,10,0)</f>
        <v>7.6799999999999993E-2</v>
      </c>
      <c r="BD11">
        <f>VLOOKUP($A11&amp;BD$3&amp;BD$1,DB!$A:$J,10,0)</f>
        <v>5.6000000000000001E-2</v>
      </c>
      <c r="BE11">
        <f>VLOOKUP($A11&amp;BE$3&amp;BE$1,DB!$A:$J,10,0)</f>
        <v>0</v>
      </c>
      <c r="BF11">
        <f>VLOOKUP($A11&amp;BF$3&amp;BF$1,DB!$A:$J,10,0)</f>
        <v>5.4800000000000001E-2</v>
      </c>
      <c r="BG11">
        <f>VLOOKUP($A11&amp;BG$3&amp;BG$1,DB!$A:$J,10,0)</f>
        <v>4.0800000000000003E-2</v>
      </c>
      <c r="BH11">
        <f>VLOOKUP($A11&amp;BH$3&amp;BH$1,DB!$A:$J,10,0)</f>
        <v>2.3900000000000001E-2</v>
      </c>
      <c r="BI11">
        <f>VLOOKUP($A11&amp;BI$3&amp;BI$1,DB!$A:$J,10,0)</f>
        <v>5.5500000000000001E-2</v>
      </c>
      <c r="BJ11">
        <f>VLOOKUP($A11&amp;BJ$3&amp;BJ$1,DB!$A:$J,10,0)</f>
        <v>0.82089999999999996</v>
      </c>
      <c r="BK11">
        <f>VLOOKUP($A11&amp;BK$3&amp;BK$1,DB!$A:$J,10,0)</f>
        <v>0.83260000000000001</v>
      </c>
      <c r="BL11">
        <f>VLOOKUP($A11&amp;BL$3&amp;BL$1,DB!$A:$J,10,0)</f>
        <v>0.77390000000000003</v>
      </c>
      <c r="BM11">
        <f>VLOOKUP($A11&amp;BM$3&amp;BM$1,DB!$A:$J,10,0)</f>
        <v>0.80200000000000005</v>
      </c>
      <c r="BN11">
        <f>VLOOKUP($A11&amp;BN$3&amp;BN$1,DB!$A:$J,10,0)</f>
        <v>0.87570000000000003</v>
      </c>
      <c r="BO11">
        <f>VLOOKUP($A11&amp;BO$3&amp;BO$1,DB!$A:$J,10,0)</f>
        <v>0</v>
      </c>
      <c r="BP11">
        <f>VLOOKUP($A11&amp;BP$3&amp;BP$1,DB!$A:$J,10,0)</f>
        <v>0.81879999999999997</v>
      </c>
      <c r="BQ11">
        <f>VLOOKUP($A11&amp;BQ$3&amp;BQ$1,DB!$A:$J,10,0)</f>
        <v>0.73380000000000001</v>
      </c>
      <c r="BR11">
        <f>VLOOKUP($A11&amp;BR$3&amp;BR$1,DB!$A:$J,10,0)</f>
        <v>0.33929999999999999</v>
      </c>
      <c r="BS11">
        <f>VLOOKUP($A11&amp;BS$3&amp;BS$1,DB!$A:$J,10,0)</f>
        <v>0.70979999999999999</v>
      </c>
      <c r="BT11">
        <f>VLOOKUP($A11&amp;BT$3&amp;BT$1,DB!$A:$J,10,0)</f>
        <v>0.33829999999999999</v>
      </c>
      <c r="BU11">
        <f>VLOOKUP($A11&amp;BU$3&amp;BU$1,DB!$A:$J,10,0)</f>
        <v>0.26469999999999999</v>
      </c>
      <c r="BV11">
        <f>VLOOKUP($A11&amp;BV$3&amp;BV$1,DB!$A:$J,10,0)</f>
        <v>0.35580000000000001</v>
      </c>
      <c r="BW11">
        <f>VLOOKUP($A11&amp;BW$3&amp;BW$1,DB!$A:$J,10,0)</f>
        <v>0.2898</v>
      </c>
      <c r="BX11">
        <f>VLOOKUP($A11&amp;BX$3&amp;BX$1,DB!$A:$J,10,0)</f>
        <v>0.37359999999999999</v>
      </c>
      <c r="BY11">
        <f>VLOOKUP($A11&amp;BY$3&amp;BY$1,DB!$A:$J,10,0)</f>
        <v>0</v>
      </c>
      <c r="BZ11">
        <f>VLOOKUP($A11&amp;BZ$3&amp;BZ$1,DB!$A:$J,10,0)</f>
        <v>0.57709999999999995</v>
      </c>
      <c r="CA11">
        <f>VLOOKUP($A11&amp;CA$3&amp;CA$1,DB!$A:$J,10,0)</f>
        <v>0.30940000000000001</v>
      </c>
      <c r="CB11">
        <f>VLOOKUP($A11&amp;CB$3&amp;CB$1,DB!$A:$J,10,0)</f>
        <v>0</v>
      </c>
      <c r="CC11">
        <f>VLOOKUP($A11&amp;CC$3&amp;CC$1,DB!$A:$J,10,0)</f>
        <v>0.1933</v>
      </c>
      <c r="CD11">
        <f>VLOOKUP($A11&amp;CD$3&amp;CD$1,DB!$A:$J,10,0)</f>
        <v>2545.38</v>
      </c>
      <c r="CE11">
        <f>VLOOKUP($A11&amp;CE$3&amp;CE$1,DB!$A:$J,10,0)</f>
        <v>1998.31</v>
      </c>
      <c r="CF11">
        <f>VLOOKUP($A11&amp;CF$3&amp;CF$1,DB!$A:$J,10,0)</f>
        <v>1349.69</v>
      </c>
      <c r="CG11">
        <f>VLOOKUP($A11&amp;CG$3&amp;CG$1,DB!$A:$J,10,0)</f>
        <v>2097.5</v>
      </c>
      <c r="CH11">
        <f>VLOOKUP($A11&amp;CH$3&amp;CH$1,DB!$A:$J,10,0)</f>
        <v>1971.87</v>
      </c>
      <c r="CI11">
        <f>VLOOKUP($A11&amp;CI$3&amp;CI$1,DB!$A:$J,10,0)</f>
        <v>3076.92</v>
      </c>
      <c r="CJ11">
        <f>VLOOKUP($A11&amp;CJ$3&amp;CJ$1,DB!$A:$J,10,0)</f>
        <v>2108.7800000000002</v>
      </c>
      <c r="CK11">
        <f>VLOOKUP($A11&amp;CK$3&amp;CK$1,DB!$A:$J,10,0)</f>
        <v>2104.71</v>
      </c>
      <c r="CL11">
        <f>VLOOKUP($A11&amp;CL$3&amp;CL$1,DB!$A:$J,10,0)</f>
        <v>2300.69</v>
      </c>
      <c r="CM11">
        <f>VLOOKUP($A11&amp;CM$3&amp;CM$1,DB!$A:$J,10,0)</f>
        <v>2423.2600000000002</v>
      </c>
      <c r="CN11">
        <f>VLOOKUP($A11&amp;CN$3&amp;CN$1,DB!$A:$J,10,0)</f>
        <v>5474.87</v>
      </c>
      <c r="CO11">
        <f>VLOOKUP($A11&amp;CO$3&amp;CO$1,DB!$A:$J,10,0)</f>
        <v>6281.3</v>
      </c>
      <c r="CP11">
        <f>VLOOKUP($A11&amp;CP$3&amp;CP$1,DB!$A:$J,10,0)</f>
        <v>6486.42</v>
      </c>
      <c r="CQ11">
        <f>VLOOKUP($A11&amp;CQ$3&amp;CQ$1,DB!$A:$J,10,0)</f>
        <v>6328.48</v>
      </c>
      <c r="CR11">
        <f>VLOOKUP($A11&amp;CR$3&amp;CR$1,DB!$A:$J,10,0)</f>
        <v>9004.74</v>
      </c>
      <c r="CS11">
        <f>VLOOKUP($A11&amp;CS$3&amp;CS$1,DB!$A:$J,10,0)</f>
        <v>8332.42</v>
      </c>
      <c r="CT11">
        <f>VLOOKUP($A11&amp;CT$3&amp;CT$1,DB!$A:$J,10,0)</f>
        <v>10502.55</v>
      </c>
      <c r="CU11">
        <f>VLOOKUP($A11&amp;CU$3&amp;CU$1,DB!$A:$J,10,0)</f>
        <v>14689.6</v>
      </c>
      <c r="CV11">
        <f>VLOOKUP($A11&amp;CV$3&amp;CV$1,DB!$A:$J,10,0)</f>
        <v>14001.79</v>
      </c>
      <c r="CW11">
        <f>VLOOKUP($A11&amp;CW$3&amp;CW$1,DB!$A:$J,10,0)</f>
        <v>14315.84</v>
      </c>
      <c r="CX11">
        <f>VLOOKUP($A11&amp;CX$3&amp;CX$1,DB!$A:$J,10,0)</f>
        <v>4811.28</v>
      </c>
      <c r="CY11">
        <f>VLOOKUP($A11&amp;CY$3&amp;CY$1,DB!$A:$J,10,0)</f>
        <v>5326.41</v>
      </c>
      <c r="CZ11">
        <f>VLOOKUP($A11&amp;CZ$3&amp;CZ$1,DB!$A:$J,10,0)</f>
        <v>5443.12</v>
      </c>
      <c r="DA11">
        <f>VLOOKUP($A11&amp;DA$3&amp;DA$1,DB!$A:$J,10,0)</f>
        <v>5126.83</v>
      </c>
      <c r="DB11">
        <f>VLOOKUP($A11&amp;DB$3&amp;DB$1,DB!$A:$J,10,0)</f>
        <v>7009.8</v>
      </c>
      <c r="DC11">
        <f>VLOOKUP($A11&amp;DC$3&amp;DC$1,DB!$A:$J,10,0)</f>
        <v>7022.48</v>
      </c>
      <c r="DD11">
        <f>VLOOKUP($A11&amp;DD$3&amp;DD$1,DB!$A:$J,10,0)</f>
        <v>9619.8700000000008</v>
      </c>
      <c r="DE11">
        <f>VLOOKUP($A11&amp;DE$3&amp;DE$1,DB!$A:$J,10,0)</f>
        <v>14418.87</v>
      </c>
      <c r="DF11">
        <f>VLOOKUP($A11&amp;DF$3&amp;DF$1,DB!$A:$J,10,0)</f>
        <v>28891.200000000001</v>
      </c>
      <c r="DG11">
        <f>VLOOKUP($A11&amp;DG$3&amp;DG$1,DB!$A:$J,10,0)</f>
        <v>13799.08</v>
      </c>
      <c r="DH11">
        <f>VLOOKUP($A11&amp;DH$3&amp;DH$1,DB!$A:$J,10,0)</f>
        <v>4811.28</v>
      </c>
      <c r="DI11">
        <f>VLOOKUP($A11&amp;DI$3&amp;DI$1,DB!$A:$J,10,0)</f>
        <v>5326.41</v>
      </c>
      <c r="DJ11">
        <f>VLOOKUP($A11&amp;DJ$3&amp;DJ$1,DB!$A:$J,10,0)</f>
        <v>5443.12</v>
      </c>
      <c r="DK11">
        <f>VLOOKUP($A11&amp;DK$3&amp;DK$1,DB!$A:$J,10,0)</f>
        <v>5126.83</v>
      </c>
      <c r="DL11">
        <f>VLOOKUP($A11&amp;DL$3&amp;DL$1,DB!$A:$J,10,0)</f>
        <v>7009.8</v>
      </c>
      <c r="DM11">
        <f>VLOOKUP($A11&amp;DM$3&amp;DM$1,DB!$A:$J,10,0)</f>
        <v>7022.48</v>
      </c>
      <c r="DN11">
        <f>VLOOKUP($A11&amp;DN$3&amp;DN$1,DB!$A:$J,10,0)</f>
        <v>9619.8700000000008</v>
      </c>
      <c r="DO11">
        <f>VLOOKUP($A11&amp;DO$3&amp;DO$1,DB!$A:$J,10,0)</f>
        <v>14418.87</v>
      </c>
      <c r="DP11">
        <f>VLOOKUP($A11&amp;DP$3&amp;DP$1,DB!$A:$J,10,0)</f>
        <v>28891.200000000001</v>
      </c>
      <c r="DQ11">
        <f>VLOOKUP($A11&amp;DQ$3&amp;DQ$1,DB!$A:$J,10,0)</f>
        <v>13799.08</v>
      </c>
      <c r="DR11">
        <f>VLOOKUP($A11&amp;DR$3&amp;DR$1,DB!$A:$J,10,0)</f>
        <v>3024.16</v>
      </c>
      <c r="DS11">
        <f>VLOOKUP($A11&amp;DS$3&amp;DS$1,DB!$A:$J,10,0)</f>
        <v>3677.35</v>
      </c>
      <c r="DT11">
        <f>VLOOKUP($A11&amp;DT$3&amp;DT$1,DB!$A:$J,10,0)</f>
        <v>4140.95</v>
      </c>
      <c r="DU11">
        <f>VLOOKUP($A11&amp;DU$3&amp;DU$1,DB!$A:$J,10,0)</f>
        <v>4489.8</v>
      </c>
      <c r="DV11">
        <f>VLOOKUP($A11&amp;DV$3&amp;DV$1,DB!$A:$J,10,0)</f>
        <v>5266.57</v>
      </c>
      <c r="DW11">
        <f>VLOOKUP($A11&amp;DW$3&amp;DW$1,DB!$A:$J,10,0)</f>
        <v>0</v>
      </c>
      <c r="DX11">
        <f>VLOOKUP($A11&amp;DX$3&amp;DX$1,DB!$A:$J,10,0)</f>
        <v>3350.71</v>
      </c>
      <c r="DY11">
        <f>VLOOKUP($A11&amp;DY$3&amp;DY$1,DB!$A:$J,10,0)</f>
        <v>5477.34</v>
      </c>
      <c r="DZ11">
        <f>VLOOKUP($A11&amp;DZ$3&amp;DZ$1,DB!$A:$J,10,0)</f>
        <v>5113</v>
      </c>
      <c r="EA11">
        <f>VLOOKUP($A11&amp;EA$3&amp;EA$1,DB!$A:$J,10,0)</f>
        <v>5385.06</v>
      </c>
      <c r="EB11">
        <f>VLOOKUP($A11&amp;EB$3&amp;EB$1,DB!$A:$J,10,0)</f>
        <v>412.35</v>
      </c>
      <c r="EC11">
        <f>VLOOKUP($A11&amp;EC$3&amp;EC$1,DB!$A:$J,10,0)</f>
        <v>140.06</v>
      </c>
      <c r="ED11">
        <f>VLOOKUP($A11&amp;ED$3&amp;ED$1,DB!$A:$J,10,0)</f>
        <v>829.51</v>
      </c>
      <c r="EE11">
        <f>VLOOKUP($A11&amp;EE$3&amp;EE$1,DB!$A:$J,10,0)</f>
        <v>637.03</v>
      </c>
      <c r="EF11">
        <f>VLOOKUP($A11&amp;EF$3&amp;EF$1,DB!$A:$J,10,0)</f>
        <v>1743.24</v>
      </c>
      <c r="EG11">
        <f>VLOOKUP($A11&amp;EG$3&amp;EG$1,DB!$A:$J,10,0)</f>
        <v>5877.53</v>
      </c>
      <c r="EH11">
        <f>VLOOKUP($A11&amp;EH$3&amp;EH$1,DB!$A:$J,10,0)</f>
        <v>1584.12</v>
      </c>
      <c r="EI11">
        <f>VLOOKUP($A11&amp;EI$3&amp;EI$1,DB!$A:$J,10,0)</f>
        <v>583.32000000000005</v>
      </c>
      <c r="EJ11">
        <f>VLOOKUP($A11&amp;EJ$3&amp;EJ$1,DB!$A:$J,10,0)</f>
        <v>971.61</v>
      </c>
      <c r="EK11">
        <f>VLOOKUP($A11&amp;EK$3&amp;EK$1,DB!$A:$J,10,0)</f>
        <v>1137.3800000000001</v>
      </c>
    </row>
    <row r="12" spans="1:141" hidden="1" x14ac:dyDescent="0.35">
      <c r="A12" t="s">
        <v>48</v>
      </c>
      <c r="B12">
        <f>VLOOKUP($A12&amp;B$3&amp;B$1,DB!$A:$J,10,0)</f>
        <v>0.32</v>
      </c>
      <c r="C12">
        <f>VLOOKUP($A12&amp;C$3&amp;C$1,DB!$A:$J,10,0)</f>
        <v>0.31240000000000001</v>
      </c>
      <c r="D12">
        <f>VLOOKUP($A12&amp;D$3&amp;D$1,DB!$A:$J,10,0)</f>
        <v>0.26090000000000002</v>
      </c>
      <c r="E12">
        <f>VLOOKUP($A12&amp;E$3&amp;E$1,DB!$A:$J,10,0)</f>
        <v>0.2918</v>
      </c>
      <c r="F12">
        <f>VLOOKUP($A12&amp;F$3&amp;F$1,DB!$A:$J,10,0)</f>
        <v>0.28749999999999998</v>
      </c>
      <c r="G12">
        <f>VLOOKUP($A12&amp;G$3&amp;G$1,DB!$A:$J,10,0)</f>
        <v>0.28920000000000001</v>
      </c>
      <c r="H12">
        <f>VLOOKUP($A12&amp;H$3&amp;H$1,DB!$A:$J,10,0)</f>
        <v>0.24660000000000001</v>
      </c>
      <c r="I12">
        <f>VLOOKUP($A12&amp;I$3&amp;I$1,DB!$A:$J,10,0)</f>
        <v>0.27500000000000002</v>
      </c>
      <c r="J12">
        <f>VLOOKUP($A12&amp;J$3&amp;J$1,DB!$A:$J,10,0)</f>
        <v>0.30509999999999998</v>
      </c>
      <c r="K12">
        <f>VLOOKUP($A12&amp;K$3&amp;K$1,DB!$A:$J,10,0)</f>
        <v>0.29609999999999997</v>
      </c>
      <c r="L12">
        <f>VLOOKUP($A12&amp;L$3&amp;L$1,DB!$A:$J,10,0)</f>
        <v>0.82550000000000001</v>
      </c>
      <c r="M12">
        <f>VLOOKUP($A12&amp;M$3&amp;M$1,DB!$A:$J,10,0)</f>
        <v>0.67130000000000001</v>
      </c>
      <c r="N12">
        <f>VLOOKUP($A12&amp;N$3&amp;N$1,DB!$A:$J,10,0)</f>
        <v>0.64070000000000005</v>
      </c>
      <c r="O12">
        <f>VLOOKUP($A12&amp;O$3&amp;O$1,DB!$A:$J,10,0)</f>
        <v>0.8347</v>
      </c>
      <c r="P12">
        <f>VLOOKUP($A12&amp;P$3&amp;P$1,DB!$A:$J,10,0)</f>
        <v>0.64329999999999998</v>
      </c>
      <c r="Q12">
        <f>VLOOKUP($A12&amp;Q$3&amp;Q$1,DB!$A:$J,10,0)</f>
        <v>0.61470000000000002</v>
      </c>
      <c r="R12">
        <f>VLOOKUP($A12&amp;R$3&amp;R$1,DB!$A:$J,10,0)</f>
        <v>0.70799999999999996</v>
      </c>
      <c r="S12">
        <f>VLOOKUP($A12&amp;S$3&amp;S$1,DB!$A:$J,10,0)</f>
        <v>1</v>
      </c>
      <c r="T12">
        <f>VLOOKUP($A12&amp;T$3&amp;T$1,DB!$A:$J,10,0)</f>
        <v>0.91610000000000003</v>
      </c>
      <c r="U12">
        <f>VLOOKUP($A12&amp;U$3&amp;U$1,DB!$A:$J,10,0)</f>
        <v>0.92249999999999999</v>
      </c>
      <c r="V12">
        <f>VLOOKUP($A12&amp;V$3&amp;V$1,DB!$A:$J,10,0)</f>
        <v>0.17449999999999999</v>
      </c>
      <c r="W12">
        <f>VLOOKUP($A12&amp;W$3&amp;W$1,DB!$A:$J,10,0)</f>
        <v>0.32800000000000001</v>
      </c>
      <c r="X12">
        <f>VLOOKUP($A12&amp;X$3&amp;X$1,DB!$A:$J,10,0)</f>
        <v>0.35930000000000001</v>
      </c>
      <c r="Y12">
        <f>VLOOKUP($A12&amp;Y$3&amp;Y$1,DB!$A:$J,10,0)</f>
        <v>0.1653</v>
      </c>
      <c r="Z12">
        <f>VLOOKUP($A12&amp;Z$3&amp;Z$1,DB!$A:$J,10,0)</f>
        <v>0.32979999999999998</v>
      </c>
      <c r="AA12">
        <f>VLOOKUP($A12&amp;AA$3&amp;AA$1,DB!$A:$J,10,0)</f>
        <v>0.35949999999999999</v>
      </c>
      <c r="AB12">
        <f>VLOOKUP($A12&amp;AB$3&amp;AB$1,DB!$A:$J,10,0)</f>
        <v>0.2621</v>
      </c>
      <c r="AC12">
        <f>VLOOKUP($A12&amp;AC$3&amp;AC$1,DB!$A:$J,10,0)</f>
        <v>0</v>
      </c>
      <c r="AD12">
        <f>VLOOKUP($A12&amp;AD$3&amp;AD$1,DB!$A:$J,10,0)</f>
        <v>8.1900000000000001E-2</v>
      </c>
      <c r="AE12">
        <f>VLOOKUP($A12&amp;AE$3&amp;AE$1,DB!$A:$J,10,0)</f>
        <v>7.7499999999999999E-2</v>
      </c>
      <c r="AF12">
        <f>VLOOKUP($A12&amp;AF$3&amp;AF$1,DB!$A:$J,10,0)</f>
        <v>0</v>
      </c>
      <c r="AG12">
        <f>VLOOKUP($A12&amp;AG$3&amp;AG$1,DB!$A:$J,10,0)</f>
        <v>0</v>
      </c>
      <c r="AH12">
        <f>VLOOKUP($A12&amp;AH$3&amp;AH$1,DB!$A:$J,10,0)</f>
        <v>3.1300000000000001E-2</v>
      </c>
      <c r="AI12">
        <f>VLOOKUP($A12&amp;AI$3&amp;AI$1,DB!$A:$J,10,0)</f>
        <v>0</v>
      </c>
      <c r="AJ12">
        <f>VLOOKUP($A12&amp;AJ$3&amp;AJ$1,DB!$A:$J,10,0)</f>
        <v>0</v>
      </c>
      <c r="AK12">
        <f>VLOOKUP($A12&amp;AK$3&amp;AK$1,DB!$A:$J,10,0)</f>
        <v>5.9299999999999999E-2</v>
      </c>
      <c r="AL12">
        <f>VLOOKUP($A12&amp;AL$3&amp;AL$1,DB!$A:$J,10,0)</f>
        <v>8.0100000000000005E-2</v>
      </c>
      <c r="AM12">
        <f>VLOOKUP($A12&amp;AM$3&amp;AM$1,DB!$A:$J,10,0)</f>
        <v>2.3900000000000001E-2</v>
      </c>
      <c r="AN12">
        <f>VLOOKUP($A12&amp;AN$3&amp;AN$1,DB!$A:$J,10,0)</f>
        <v>8.72E-2</v>
      </c>
      <c r="AO12">
        <f>VLOOKUP($A12&amp;AO$3&amp;AO$1,DB!$A:$J,10,0)</f>
        <v>0.28260000000000002</v>
      </c>
      <c r="AP12">
        <f>VLOOKUP($A12&amp;AP$3&amp;AP$1,DB!$A:$J,10,0)</f>
        <v>0.94879999999999998</v>
      </c>
      <c r="AQ12">
        <f>VLOOKUP($A12&amp;AQ$3&amp;AQ$1,DB!$A:$J,10,0)</f>
        <v>0.874</v>
      </c>
      <c r="AR12">
        <f>VLOOKUP($A12&amp;AR$3&amp;AR$1,DB!$A:$J,10,0)</f>
        <v>0.96870000000000001</v>
      </c>
      <c r="AS12">
        <f>VLOOKUP($A12&amp;AS$3&amp;AS$1,DB!$A:$J,10,0)</f>
        <v>0.95199999999999996</v>
      </c>
      <c r="AT12">
        <f>VLOOKUP($A12&amp;AT$3&amp;AT$1,DB!$A:$J,10,0)</f>
        <v>0.97309999999999997</v>
      </c>
      <c r="AU12">
        <f>VLOOKUP($A12&amp;AU$3&amp;AU$1,DB!$A:$J,10,0)</f>
        <v>0.95779999999999998</v>
      </c>
      <c r="AV12">
        <f>VLOOKUP($A12&amp;AV$3&amp;AV$1,DB!$A:$J,10,0)</f>
        <v>0.89</v>
      </c>
      <c r="AW12">
        <f>VLOOKUP($A12&amp;AW$3&amp;AW$1,DB!$A:$J,10,0)</f>
        <v>0.99129999999999996</v>
      </c>
      <c r="AX12">
        <f>VLOOKUP($A12&amp;AX$3&amp;AX$1,DB!$A:$J,10,0)</f>
        <v>0.82889999999999997</v>
      </c>
      <c r="AY12">
        <f>VLOOKUP($A12&amp;AY$3&amp;AY$1,DB!$A:$J,10,0)</f>
        <v>0.8357</v>
      </c>
      <c r="AZ12">
        <f>VLOOKUP($A12&amp;AZ$3&amp;AZ$1,DB!$A:$J,10,0)</f>
        <v>6.1699999999999998E-2</v>
      </c>
      <c r="BA12">
        <f>VLOOKUP($A12&amp;BA$3&amp;BA$1,DB!$A:$J,10,0)</f>
        <v>0.12570000000000001</v>
      </c>
      <c r="BB12">
        <f>VLOOKUP($A12&amp;BB$3&amp;BB$1,DB!$A:$J,10,0)</f>
        <v>1.8200000000000001E-2</v>
      </c>
      <c r="BC12">
        <f>VLOOKUP($A12&amp;BC$3&amp;BC$1,DB!$A:$J,10,0)</f>
        <v>9.9299999999999999E-2</v>
      </c>
      <c r="BD12">
        <f>VLOOKUP($A12&amp;BD$3&amp;BD$1,DB!$A:$J,10,0)</f>
        <v>0.14219999999999999</v>
      </c>
      <c r="BE12">
        <f>VLOOKUP($A12&amp;BE$3&amp;BE$1,DB!$A:$J,10,0)</f>
        <v>0</v>
      </c>
      <c r="BF12">
        <f>VLOOKUP($A12&amp;BF$3&amp;BF$1,DB!$A:$J,10,0)</f>
        <v>5.3999999999999999E-2</v>
      </c>
      <c r="BG12">
        <f>VLOOKUP($A12&amp;BG$3&amp;BG$1,DB!$A:$J,10,0)</f>
        <v>2.87E-2</v>
      </c>
      <c r="BH12">
        <f>VLOOKUP($A12&amp;BH$3&amp;BH$1,DB!$A:$J,10,0)</f>
        <v>6.7900000000000002E-2</v>
      </c>
      <c r="BI12">
        <f>VLOOKUP($A12&amp;BI$3&amp;BI$1,DB!$A:$J,10,0)</f>
        <v>0.12230000000000001</v>
      </c>
      <c r="BJ12">
        <f>VLOOKUP($A12&amp;BJ$3&amp;BJ$1,DB!$A:$J,10,0)</f>
        <v>0.86070000000000002</v>
      </c>
      <c r="BK12">
        <f>VLOOKUP($A12&amp;BK$3&amp;BK$1,DB!$A:$J,10,0)</f>
        <v>0.79530000000000001</v>
      </c>
      <c r="BL12">
        <f>VLOOKUP($A12&amp;BL$3&amp;BL$1,DB!$A:$J,10,0)</f>
        <v>0.89929999999999999</v>
      </c>
      <c r="BM12">
        <f>VLOOKUP($A12&amp;BM$3&amp;BM$1,DB!$A:$J,10,0)</f>
        <v>0.81430000000000002</v>
      </c>
      <c r="BN12">
        <f>VLOOKUP($A12&amp;BN$3&amp;BN$1,DB!$A:$J,10,0)</f>
        <v>0.81569999999999998</v>
      </c>
      <c r="BO12">
        <f>VLOOKUP($A12&amp;BO$3&amp;BO$1,DB!$A:$J,10,0)</f>
        <v>0</v>
      </c>
      <c r="BP12">
        <f>VLOOKUP($A12&amp;BP$3&amp;BP$1,DB!$A:$J,10,0)</f>
        <v>0.88070000000000004</v>
      </c>
      <c r="BQ12">
        <f>VLOOKUP($A12&amp;BQ$3&amp;BQ$1,DB!$A:$J,10,0)</f>
        <v>0.72399999999999998</v>
      </c>
      <c r="BR12">
        <f>VLOOKUP($A12&amp;BR$3&amp;BR$1,DB!$A:$J,10,0)</f>
        <v>0.76180000000000003</v>
      </c>
      <c r="BS12">
        <f>VLOOKUP($A12&amp;BS$3&amp;BS$1,DB!$A:$J,10,0)</f>
        <v>0.65329999999999999</v>
      </c>
      <c r="BT12">
        <f>VLOOKUP($A12&amp;BT$3&amp;BT$1,DB!$A:$J,10,0)</f>
        <v>0.29020000000000001</v>
      </c>
      <c r="BU12">
        <f>VLOOKUP($A12&amp;BU$3&amp;BU$1,DB!$A:$J,10,0)</f>
        <v>0.19259999999999999</v>
      </c>
      <c r="BV12">
        <f>VLOOKUP($A12&amp;BV$3&amp;BV$1,DB!$A:$J,10,0)</f>
        <v>0.27500000000000002</v>
      </c>
      <c r="BW12">
        <f>VLOOKUP($A12&amp;BW$3&amp;BW$1,DB!$A:$J,10,0)</f>
        <v>0.26650000000000001</v>
      </c>
      <c r="BX12">
        <f>VLOOKUP($A12&amp;BX$3&amp;BX$1,DB!$A:$J,10,0)</f>
        <v>0.23499999999999999</v>
      </c>
      <c r="BY12">
        <f>VLOOKUP($A12&amp;BY$3&amp;BY$1,DB!$A:$J,10,0)</f>
        <v>0</v>
      </c>
      <c r="BZ12">
        <f>VLOOKUP($A12&amp;BZ$3&amp;BZ$1,DB!$A:$J,10,0)</f>
        <v>0.1724</v>
      </c>
      <c r="CA12">
        <f>VLOOKUP($A12&amp;CA$3&amp;CA$1,DB!$A:$J,10,0)</f>
        <v>0.2213</v>
      </c>
      <c r="CB12">
        <f>VLOOKUP($A12&amp;CB$3&amp;CB$1,DB!$A:$J,10,0)</f>
        <v>0.2084</v>
      </c>
      <c r="CC12">
        <f>VLOOKUP($A12&amp;CC$3&amp;CC$1,DB!$A:$J,10,0)</f>
        <v>0.2185</v>
      </c>
      <c r="CD12">
        <f>VLOOKUP($A12&amp;CD$3&amp;CD$1,DB!$A:$J,10,0)</f>
        <v>1800.03</v>
      </c>
      <c r="CE12">
        <f>VLOOKUP($A12&amp;CE$3&amp;CE$1,DB!$A:$J,10,0)</f>
        <v>3876.7</v>
      </c>
      <c r="CF12">
        <f>VLOOKUP($A12&amp;CF$3&amp;CF$1,DB!$A:$J,10,0)</f>
        <v>582.52</v>
      </c>
      <c r="CG12">
        <f>VLOOKUP($A12&amp;CG$3&amp;CG$1,DB!$A:$J,10,0)</f>
        <v>2791.67</v>
      </c>
      <c r="CH12">
        <f>VLOOKUP($A12&amp;CH$3&amp;CH$1,DB!$A:$J,10,0)</f>
        <v>3750</v>
      </c>
      <c r="CI12">
        <f>VLOOKUP($A12&amp;CI$3&amp;CI$1,DB!$A:$J,10,0)</f>
        <v>3163.38</v>
      </c>
      <c r="CJ12">
        <f>VLOOKUP($A12&amp;CJ$3&amp;CJ$1,DB!$A:$J,10,0)</f>
        <v>2707.02</v>
      </c>
      <c r="CK12">
        <f>VLOOKUP($A12&amp;CK$3&amp;CK$1,DB!$A:$J,10,0)</f>
        <v>2195.29</v>
      </c>
      <c r="CL12">
        <f>VLOOKUP($A12&amp;CL$3&amp;CL$1,DB!$A:$J,10,0)</f>
        <v>4164.16</v>
      </c>
      <c r="CM12">
        <f>VLOOKUP($A12&amp;CM$3&amp;CM$1,DB!$A:$J,10,0)</f>
        <v>8714.56</v>
      </c>
      <c r="CN12">
        <f>VLOOKUP($A12&amp;CN$3&amp;CN$1,DB!$A:$J,10,0)</f>
        <v>8410.91</v>
      </c>
      <c r="CO12">
        <f>VLOOKUP($A12&amp;CO$3&amp;CO$1,DB!$A:$J,10,0)</f>
        <v>7092.38</v>
      </c>
      <c r="CP12">
        <f>VLOOKUP($A12&amp;CP$3&amp;CP$1,DB!$A:$J,10,0)</f>
        <v>8408.24</v>
      </c>
      <c r="CQ12">
        <f>VLOOKUP($A12&amp;CQ$3&amp;CQ$1,DB!$A:$J,10,0)</f>
        <v>8920.59</v>
      </c>
      <c r="CR12">
        <f>VLOOKUP($A12&amp;CR$3&amp;CR$1,DB!$A:$J,10,0)</f>
        <v>8383.27</v>
      </c>
      <c r="CS12">
        <f>VLOOKUP($A12&amp;CS$3&amp;CS$1,DB!$A:$J,10,0)</f>
        <v>9014.91</v>
      </c>
      <c r="CT12">
        <f>VLOOKUP($A12&amp;CT$3&amp;CT$1,DB!$A:$J,10,0)</f>
        <v>9693.81</v>
      </c>
      <c r="CU12">
        <f>VLOOKUP($A12&amp;CU$3&amp;CU$1,DB!$A:$J,10,0)</f>
        <v>14257.68</v>
      </c>
      <c r="CV12">
        <f>VLOOKUP($A12&amp;CV$3&amp;CV$1,DB!$A:$J,10,0)</f>
        <v>17626.88</v>
      </c>
      <c r="CW12">
        <f>VLOOKUP($A12&amp;CW$3&amp;CW$1,DB!$A:$J,10,0)</f>
        <v>19848.73</v>
      </c>
      <c r="CX12">
        <f>VLOOKUP($A12&amp;CX$3&amp;CX$1,DB!$A:$J,10,0)</f>
        <v>6369.41</v>
      </c>
      <c r="CY12">
        <f>VLOOKUP($A12&amp;CY$3&amp;CY$1,DB!$A:$J,10,0)</f>
        <v>6288.28</v>
      </c>
      <c r="CZ12">
        <f>VLOOKUP($A12&amp;CZ$3&amp;CZ$1,DB!$A:$J,10,0)</f>
        <v>6560.13</v>
      </c>
      <c r="DA12">
        <f>VLOOKUP($A12&amp;DA$3&amp;DA$1,DB!$A:$J,10,0)</f>
        <v>7202.2</v>
      </c>
      <c r="DB12">
        <f>VLOOKUP($A12&amp;DB$3&amp;DB$1,DB!$A:$J,10,0)</f>
        <v>7084.22</v>
      </c>
      <c r="DC12">
        <f>VLOOKUP($A12&amp;DC$3&amp;DC$1,DB!$A:$J,10,0)</f>
        <v>7734.88</v>
      </c>
      <c r="DD12">
        <f>VLOOKUP($A12&amp;DD$3&amp;DD$1,DB!$A:$J,10,0)</f>
        <v>9025.91</v>
      </c>
      <c r="DE12">
        <f>VLOOKUP($A12&amp;DE$3&amp;DE$1,DB!$A:$J,10,0)</f>
        <v>15658.36</v>
      </c>
      <c r="DF12">
        <f>VLOOKUP($A12&amp;DF$3&amp;DF$1,DB!$A:$J,10,0)</f>
        <v>16800.169999999998</v>
      </c>
      <c r="DG12">
        <f>VLOOKUP($A12&amp;DG$3&amp;DG$1,DB!$A:$J,10,0)</f>
        <v>21302.71</v>
      </c>
      <c r="DH12">
        <f>VLOOKUP($A12&amp;DH$3&amp;DH$1,DB!$A:$J,10,0)</f>
        <v>6369.41</v>
      </c>
      <c r="DI12">
        <f>VLOOKUP($A12&amp;DI$3&amp;DI$1,DB!$A:$J,10,0)</f>
        <v>6288.28</v>
      </c>
      <c r="DJ12">
        <f>VLOOKUP($A12&amp;DJ$3&amp;DJ$1,DB!$A:$J,10,0)</f>
        <v>6560.13</v>
      </c>
      <c r="DK12">
        <f>VLOOKUP($A12&amp;DK$3&amp;DK$1,DB!$A:$J,10,0)</f>
        <v>7202.2</v>
      </c>
      <c r="DL12">
        <f>VLOOKUP($A12&amp;DL$3&amp;DL$1,DB!$A:$J,10,0)</f>
        <v>7084.22</v>
      </c>
      <c r="DM12">
        <f>VLOOKUP($A12&amp;DM$3&amp;DM$1,DB!$A:$J,10,0)</f>
        <v>7734.88</v>
      </c>
      <c r="DN12">
        <f>VLOOKUP($A12&amp;DN$3&amp;DN$1,DB!$A:$J,10,0)</f>
        <v>9025.91</v>
      </c>
      <c r="DO12">
        <f>VLOOKUP($A12&amp;DO$3&amp;DO$1,DB!$A:$J,10,0)</f>
        <v>15658.36</v>
      </c>
      <c r="DP12">
        <f>VLOOKUP($A12&amp;DP$3&amp;DP$1,DB!$A:$J,10,0)</f>
        <v>16800.169999999998</v>
      </c>
      <c r="DQ12">
        <f>VLOOKUP($A12&amp;DQ$3&amp;DQ$1,DB!$A:$J,10,0)</f>
        <v>21302.71</v>
      </c>
      <c r="DR12">
        <f>VLOOKUP($A12&amp;DR$3&amp;DR$1,DB!$A:$J,10,0)</f>
        <v>2216.65</v>
      </c>
      <c r="DS12">
        <f>VLOOKUP($A12&amp;DS$3&amp;DS$1,DB!$A:$J,10,0)</f>
        <v>2056.91</v>
      </c>
      <c r="DT12">
        <f>VLOOKUP($A12&amp;DT$3&amp;DT$1,DB!$A:$J,10,0)</f>
        <v>5062.09</v>
      </c>
      <c r="DU12">
        <f>VLOOKUP($A12&amp;DU$3&amp;DU$1,DB!$A:$J,10,0)</f>
        <v>4514.47</v>
      </c>
      <c r="DV12">
        <f>VLOOKUP($A12&amp;DV$3&amp;DV$1,DB!$A:$J,10,0)</f>
        <v>5799.75</v>
      </c>
      <c r="DW12">
        <f>VLOOKUP($A12&amp;DW$3&amp;DW$1,DB!$A:$J,10,0)</f>
        <v>0</v>
      </c>
      <c r="DX12">
        <f>VLOOKUP($A12&amp;DX$3&amp;DX$1,DB!$A:$J,10,0)</f>
        <v>4226.45</v>
      </c>
      <c r="DY12">
        <f>VLOOKUP($A12&amp;DY$3&amp;DY$1,DB!$A:$J,10,0)</f>
        <v>6710.66</v>
      </c>
      <c r="DZ12">
        <f>VLOOKUP($A12&amp;DZ$3&amp;DZ$1,DB!$A:$J,10,0)</f>
        <v>5884.28</v>
      </c>
      <c r="EA12">
        <f>VLOOKUP($A12&amp;EA$3&amp;EA$1,DB!$A:$J,10,0)</f>
        <v>7700.67</v>
      </c>
      <c r="EB12">
        <f>VLOOKUP($A12&amp;EB$3&amp;EB$1,DB!$A:$J,10,0)</f>
        <v>2862.24</v>
      </c>
      <c r="EC12">
        <f>VLOOKUP($A12&amp;EC$3&amp;EC$1,DB!$A:$J,10,0)</f>
        <v>2992.95</v>
      </c>
      <c r="ED12">
        <f>VLOOKUP($A12&amp;ED$3&amp;ED$1,DB!$A:$J,10,0)</f>
        <v>1498.04</v>
      </c>
      <c r="EE12">
        <f>VLOOKUP($A12&amp;EE$3&amp;EE$1,DB!$A:$J,10,0)</f>
        <v>2687.73</v>
      </c>
      <c r="EF12">
        <f>VLOOKUP($A12&amp;EF$3&amp;EF$1,DB!$A:$J,10,0)</f>
        <v>817.18</v>
      </c>
      <c r="EG12">
        <f>VLOOKUP($A12&amp;EG$3&amp;EG$1,DB!$A:$J,10,0)</f>
        <v>5618.79</v>
      </c>
      <c r="EH12">
        <f>VLOOKUP($A12&amp;EH$3&amp;EH$1,DB!$A:$J,10,0)</f>
        <v>1563.02</v>
      </c>
      <c r="EI12">
        <f>VLOOKUP($A12&amp;EI$3&amp;EI$1,DB!$A:$J,10,0)</f>
        <v>0</v>
      </c>
      <c r="EJ12">
        <f>VLOOKUP($A12&amp;EJ$3&amp;EJ$1,DB!$A:$J,10,0)</f>
        <v>0</v>
      </c>
      <c r="EK12">
        <f>VLOOKUP($A12&amp;EK$3&amp;EK$1,DB!$A:$J,10,0)</f>
        <v>541.14</v>
      </c>
    </row>
    <row r="13" spans="1:141" hidden="1" x14ac:dyDescent="0.35">
      <c r="A13" t="s">
        <v>49</v>
      </c>
      <c r="B13">
        <f>VLOOKUP($A13&amp;B$3&amp;B$1,DB!$A:$J,10,0)</f>
        <v>0.25240000000000001</v>
      </c>
      <c r="C13">
        <f>VLOOKUP($A13&amp;C$3&amp;C$1,DB!$A:$J,10,0)</f>
        <v>0.2671</v>
      </c>
      <c r="D13">
        <f>VLOOKUP($A13&amp;D$3&amp;D$1,DB!$A:$J,10,0)</f>
        <v>0.28960000000000002</v>
      </c>
      <c r="E13">
        <f>VLOOKUP($A13&amp;E$3&amp;E$1,DB!$A:$J,10,0)</f>
        <v>0.251</v>
      </c>
      <c r="F13">
        <f>VLOOKUP($A13&amp;F$3&amp;F$1,DB!$A:$J,10,0)</f>
        <v>0.2974</v>
      </c>
      <c r="G13">
        <f>VLOOKUP($A13&amp;G$3&amp;G$1,DB!$A:$J,10,0)</f>
        <v>0.25659999999999999</v>
      </c>
      <c r="H13">
        <f>VLOOKUP($A13&amp;H$3&amp;H$1,DB!$A:$J,10,0)</f>
        <v>0.24390000000000001</v>
      </c>
      <c r="I13">
        <f>VLOOKUP($A13&amp;I$3&amp;I$1,DB!$A:$J,10,0)</f>
        <v>0.26500000000000001</v>
      </c>
      <c r="J13">
        <f>VLOOKUP($A13&amp;J$3&amp;J$1,DB!$A:$J,10,0)</f>
        <v>0.28360000000000002</v>
      </c>
      <c r="K13">
        <f>VLOOKUP($A13&amp;K$3&amp;K$1,DB!$A:$J,10,0)</f>
        <v>0.28399999999999997</v>
      </c>
      <c r="L13">
        <f>VLOOKUP($A13&amp;L$3&amp;L$1,DB!$A:$J,10,0)</f>
        <v>0.60419999999999996</v>
      </c>
      <c r="M13">
        <f>VLOOKUP($A13&amp;M$3&amp;M$1,DB!$A:$J,10,0)</f>
        <v>0.60229999999999995</v>
      </c>
      <c r="N13">
        <f>VLOOKUP($A13&amp;N$3&amp;N$1,DB!$A:$J,10,0)</f>
        <v>0.65769999999999995</v>
      </c>
      <c r="O13">
        <f>VLOOKUP($A13&amp;O$3&amp;O$1,DB!$A:$J,10,0)</f>
        <v>0.65139999999999998</v>
      </c>
      <c r="P13">
        <f>VLOOKUP($A13&amp;P$3&amp;P$1,DB!$A:$J,10,0)</f>
        <v>0.749</v>
      </c>
      <c r="Q13">
        <f>VLOOKUP($A13&amp;Q$3&amp;Q$1,DB!$A:$J,10,0)</f>
        <v>0.75680000000000003</v>
      </c>
      <c r="R13">
        <f>VLOOKUP($A13&amp;R$3&amp;R$1,DB!$A:$J,10,0)</f>
        <v>0.70320000000000005</v>
      </c>
      <c r="S13">
        <f>VLOOKUP($A13&amp;S$3&amp;S$1,DB!$A:$J,10,0)</f>
        <v>0.93069999999999997</v>
      </c>
      <c r="T13">
        <f>VLOOKUP($A13&amp;T$3&amp;T$1,DB!$A:$J,10,0)</f>
        <v>0.85</v>
      </c>
      <c r="U13">
        <f>VLOOKUP($A13&amp;U$3&amp;U$1,DB!$A:$J,10,0)</f>
        <v>0.93310000000000004</v>
      </c>
      <c r="V13">
        <f>VLOOKUP($A13&amp;V$3&amp;V$1,DB!$A:$J,10,0)</f>
        <v>0.38400000000000001</v>
      </c>
      <c r="W13">
        <f>VLOOKUP($A13&amp;W$3&amp;W$1,DB!$A:$J,10,0)</f>
        <v>0.38979999999999998</v>
      </c>
      <c r="X13">
        <f>VLOOKUP($A13&amp;X$3&amp;X$1,DB!$A:$J,10,0)</f>
        <v>0.34229999999999999</v>
      </c>
      <c r="Y13">
        <f>VLOOKUP($A13&amp;Y$3&amp;Y$1,DB!$A:$J,10,0)</f>
        <v>0.34860000000000002</v>
      </c>
      <c r="Z13">
        <f>VLOOKUP($A13&amp;Z$3&amp;Z$1,DB!$A:$J,10,0)</f>
        <v>0.251</v>
      </c>
      <c r="AA13">
        <f>VLOOKUP($A13&amp;AA$3&amp;AA$1,DB!$A:$J,10,0)</f>
        <v>0.2432</v>
      </c>
      <c r="AB13">
        <f>VLOOKUP($A13&amp;AB$3&amp;AB$1,DB!$A:$J,10,0)</f>
        <v>0.28260000000000002</v>
      </c>
      <c r="AC13">
        <f>VLOOKUP($A13&amp;AC$3&amp;AC$1,DB!$A:$J,10,0)</f>
        <v>6.88E-2</v>
      </c>
      <c r="AD13">
        <f>VLOOKUP($A13&amp;AD$3&amp;AD$1,DB!$A:$J,10,0)</f>
        <v>0.15</v>
      </c>
      <c r="AE13">
        <f>VLOOKUP($A13&amp;AE$3&amp;AE$1,DB!$A:$J,10,0)</f>
        <v>6.6900000000000001E-2</v>
      </c>
      <c r="AF13">
        <f>VLOOKUP($A13&amp;AF$3&amp;AF$1,DB!$A:$J,10,0)</f>
        <v>7.2700000000000001E-2</v>
      </c>
      <c r="AG13">
        <f>VLOOKUP($A13&amp;AG$3&amp;AG$1,DB!$A:$J,10,0)</f>
        <v>4.5199999999999997E-2</v>
      </c>
      <c r="AH13">
        <f>VLOOKUP($A13&amp;AH$3&amp;AH$1,DB!$A:$J,10,0)</f>
        <v>0.16289999999999999</v>
      </c>
      <c r="AI13">
        <f>VLOOKUP($A13&amp;AI$3&amp;AI$1,DB!$A:$J,10,0)</f>
        <v>0</v>
      </c>
      <c r="AJ13">
        <f>VLOOKUP($A13&amp;AJ$3&amp;AJ$1,DB!$A:$J,10,0)</f>
        <v>0</v>
      </c>
      <c r="AK13">
        <f>VLOOKUP($A13&amp;AK$3&amp;AK$1,DB!$A:$J,10,0)</f>
        <v>0</v>
      </c>
      <c r="AL13">
        <f>VLOOKUP($A13&amp;AL$3&amp;AL$1,DB!$A:$J,10,0)</f>
        <v>0.1719</v>
      </c>
      <c r="AM13">
        <f>VLOOKUP($A13&amp;AM$3&amp;AM$1,DB!$A:$J,10,0)</f>
        <v>0.12820000000000001</v>
      </c>
      <c r="AN13">
        <f>VLOOKUP($A13&amp;AN$3&amp;AN$1,DB!$A:$J,10,0)</f>
        <v>0.1079</v>
      </c>
      <c r="AO13">
        <f>VLOOKUP($A13&amp;AO$3&amp;AO$1,DB!$A:$J,10,0)</f>
        <v>6.8699999999999997E-2</v>
      </c>
      <c r="AP13">
        <f>VLOOKUP($A13&amp;AP$3&amp;AP$1,DB!$A:$J,10,0)</f>
        <v>0.83540000000000003</v>
      </c>
      <c r="AQ13">
        <f>VLOOKUP($A13&amp;AQ$3&amp;AQ$1,DB!$A:$J,10,0)</f>
        <v>0.91310000000000002</v>
      </c>
      <c r="AR13">
        <f>VLOOKUP($A13&amp;AR$3&amp;AR$1,DB!$A:$J,10,0)</f>
        <v>0.83709999999999996</v>
      </c>
      <c r="AS13">
        <f>VLOOKUP($A13&amp;AS$3&amp;AS$1,DB!$A:$J,10,0)</f>
        <v>0.77470000000000006</v>
      </c>
      <c r="AT13">
        <f>VLOOKUP($A13&amp;AT$3&amp;AT$1,DB!$A:$J,10,0)</f>
        <v>0.86729999999999996</v>
      </c>
      <c r="AU13">
        <f>VLOOKUP($A13&amp;AU$3&amp;AU$1,DB!$A:$J,10,0)</f>
        <v>1.0026999999999999</v>
      </c>
      <c r="AV13">
        <f>VLOOKUP($A13&amp;AV$3&amp;AV$1,DB!$A:$J,10,0)</f>
        <v>0.81389999999999996</v>
      </c>
      <c r="AW13">
        <f>VLOOKUP($A13&amp;AW$3&amp;AW$1,DB!$A:$J,10,0)</f>
        <v>0.87129999999999996</v>
      </c>
      <c r="AX13">
        <f>VLOOKUP($A13&amp;AX$3&amp;AX$1,DB!$A:$J,10,0)</f>
        <v>0.90739999999999998</v>
      </c>
      <c r="AY13">
        <f>VLOOKUP($A13&amp;AY$3&amp;AY$1,DB!$A:$J,10,0)</f>
        <v>0.92159999999999997</v>
      </c>
      <c r="AZ13">
        <f>VLOOKUP($A13&amp;AZ$3&amp;AZ$1,DB!$A:$J,10,0)</f>
        <v>0.1241</v>
      </c>
      <c r="BA13">
        <f>VLOOKUP($A13&amp;BA$3&amp;BA$1,DB!$A:$J,10,0)</f>
        <v>7.2599999999999998E-2</v>
      </c>
      <c r="BB13">
        <f>VLOOKUP($A13&amp;BB$3&amp;BB$1,DB!$A:$J,10,0)</f>
        <v>9.06E-2</v>
      </c>
      <c r="BC13">
        <f>VLOOKUP($A13&amp;BC$3&amp;BC$1,DB!$A:$J,10,0)</f>
        <v>9.9000000000000005E-2</v>
      </c>
      <c r="BD13">
        <f>VLOOKUP($A13&amp;BD$3&amp;BD$1,DB!$A:$J,10,0)</f>
        <v>8.1299999999999997E-2</v>
      </c>
      <c r="BE13">
        <f>VLOOKUP($A13&amp;BE$3&amp;BE$1,DB!$A:$J,10,0)</f>
        <v>0</v>
      </c>
      <c r="BF13">
        <f>VLOOKUP($A13&amp;BF$3&amp;BF$1,DB!$A:$J,10,0)</f>
        <v>0.13009999999999999</v>
      </c>
      <c r="BG13">
        <f>VLOOKUP($A13&amp;BG$3&amp;BG$1,DB!$A:$J,10,0)</f>
        <v>6.7400000000000002E-2</v>
      </c>
      <c r="BH13">
        <f>VLOOKUP($A13&amp;BH$3&amp;BH$1,DB!$A:$J,10,0)</f>
        <v>2.8199999999999999E-2</v>
      </c>
      <c r="BI13">
        <f>VLOOKUP($A13&amp;BI$3&amp;BI$1,DB!$A:$J,10,0)</f>
        <v>4.3200000000000002E-2</v>
      </c>
      <c r="BJ13">
        <f>VLOOKUP($A13&amp;BJ$3&amp;BJ$1,DB!$A:$J,10,0)</f>
        <v>0.78129999999999999</v>
      </c>
      <c r="BK13">
        <f>VLOOKUP($A13&amp;BK$3&amp;BK$1,DB!$A:$J,10,0)</f>
        <v>0.64319999999999999</v>
      </c>
      <c r="BL13">
        <f>VLOOKUP($A13&amp;BL$3&amp;BL$1,DB!$A:$J,10,0)</f>
        <v>0.69120000000000004</v>
      </c>
      <c r="BM13">
        <f>VLOOKUP($A13&amp;BM$3&amp;BM$1,DB!$A:$J,10,0)</f>
        <v>0.73429999999999995</v>
      </c>
      <c r="BN13">
        <f>VLOOKUP($A13&amp;BN$3&amp;BN$1,DB!$A:$J,10,0)</f>
        <v>0.83240000000000003</v>
      </c>
      <c r="BO13">
        <f>VLOOKUP($A13&amp;BO$3&amp;BO$1,DB!$A:$J,10,0)</f>
        <v>0</v>
      </c>
      <c r="BP13">
        <f>VLOOKUP($A13&amp;BP$3&amp;BP$1,DB!$A:$J,10,0)</f>
        <v>0.72599999999999998</v>
      </c>
      <c r="BQ13">
        <f>VLOOKUP($A13&amp;BQ$3&amp;BQ$1,DB!$A:$J,10,0)</f>
        <v>0.57310000000000005</v>
      </c>
      <c r="BR13">
        <f>VLOOKUP($A13&amp;BR$3&amp;BR$1,DB!$A:$J,10,0)</f>
        <v>0.34079999999999999</v>
      </c>
      <c r="BS13">
        <f>VLOOKUP($A13&amp;BS$3&amp;BS$1,DB!$A:$J,10,0)</f>
        <v>0.59360000000000002</v>
      </c>
      <c r="BT13">
        <f>VLOOKUP($A13&amp;BT$3&amp;BT$1,DB!$A:$J,10,0)</f>
        <v>0.42270000000000002</v>
      </c>
      <c r="BU13">
        <f>VLOOKUP($A13&amp;BU$3&amp;BU$1,DB!$A:$J,10,0)</f>
        <v>0.40100000000000002</v>
      </c>
      <c r="BV13">
        <f>VLOOKUP($A13&amp;BV$3&amp;BV$1,DB!$A:$J,10,0)</f>
        <v>0.42170000000000002</v>
      </c>
      <c r="BW13">
        <f>VLOOKUP($A13&amp;BW$3&amp;BW$1,DB!$A:$J,10,0)</f>
        <v>0.32300000000000001</v>
      </c>
      <c r="BX13">
        <f>VLOOKUP($A13&amp;BX$3&amp;BX$1,DB!$A:$J,10,0)</f>
        <v>0.39660000000000001</v>
      </c>
      <c r="BY13">
        <f>VLOOKUP($A13&amp;BY$3&amp;BY$1,DB!$A:$J,10,0)</f>
        <v>0</v>
      </c>
      <c r="BZ13">
        <f>VLOOKUP($A13&amp;BZ$3&amp;BZ$1,DB!$A:$J,10,0)</f>
        <v>0.5101</v>
      </c>
      <c r="CA13">
        <f>VLOOKUP($A13&amp;CA$3&amp;CA$1,DB!$A:$J,10,0)</f>
        <v>0.36330000000000001</v>
      </c>
      <c r="CB13">
        <f>VLOOKUP($A13&amp;CB$3&amp;CB$1,DB!$A:$J,10,0)</f>
        <v>0</v>
      </c>
      <c r="CC13">
        <f>VLOOKUP($A13&amp;CC$3&amp;CC$1,DB!$A:$J,10,0)</f>
        <v>0.36749999999999999</v>
      </c>
      <c r="CD13">
        <f>VLOOKUP($A13&amp;CD$3&amp;CD$1,DB!$A:$J,10,0)</f>
        <v>3651.31</v>
      </c>
      <c r="CE13">
        <f>VLOOKUP($A13&amp;CE$3&amp;CE$1,DB!$A:$J,10,0)</f>
        <v>5376.69</v>
      </c>
      <c r="CF13">
        <f>VLOOKUP($A13&amp;CF$3&amp;CF$1,DB!$A:$J,10,0)</f>
        <v>2382.7399999999998</v>
      </c>
      <c r="CG13">
        <f>VLOOKUP($A13&amp;CG$3&amp;CG$1,DB!$A:$J,10,0)</f>
        <v>2108.44</v>
      </c>
      <c r="CH13">
        <f>VLOOKUP($A13&amp;CH$3&amp;CH$1,DB!$A:$J,10,0)</f>
        <v>1931.82</v>
      </c>
      <c r="CI13">
        <f>VLOOKUP($A13&amp;CI$3&amp;CI$1,DB!$A:$J,10,0)</f>
        <v>1859.41</v>
      </c>
      <c r="CJ13">
        <f>VLOOKUP($A13&amp;CJ$3&amp;CJ$1,DB!$A:$J,10,0)</f>
        <v>3661.61</v>
      </c>
      <c r="CK13">
        <f>VLOOKUP($A13&amp;CK$3&amp;CK$1,DB!$A:$J,10,0)</f>
        <v>3064.74</v>
      </c>
      <c r="CL13">
        <f>VLOOKUP($A13&amp;CL$3&amp;CL$1,DB!$A:$J,10,0)</f>
        <v>2156.2199999999998</v>
      </c>
      <c r="CM13">
        <f>VLOOKUP($A13&amp;CM$3&amp;CM$1,DB!$A:$J,10,0)</f>
        <v>1958.93</v>
      </c>
      <c r="CN13">
        <f>VLOOKUP($A13&amp;CN$3&amp;CN$1,DB!$A:$J,10,0)</f>
        <v>5278.54</v>
      </c>
      <c r="CO13">
        <f>VLOOKUP($A13&amp;CO$3&amp;CO$1,DB!$A:$J,10,0)</f>
        <v>4975.3900000000003</v>
      </c>
      <c r="CP13">
        <f>VLOOKUP($A13&amp;CP$3&amp;CP$1,DB!$A:$J,10,0)</f>
        <v>5249.69</v>
      </c>
      <c r="CQ13">
        <f>VLOOKUP($A13&amp;CQ$3&amp;CQ$1,DB!$A:$J,10,0)</f>
        <v>6010.41</v>
      </c>
      <c r="CR13">
        <f>VLOOKUP($A13&amp;CR$3&amp;CR$1,DB!$A:$J,10,0)</f>
        <v>7702.76</v>
      </c>
      <c r="CS13">
        <f>VLOOKUP($A13&amp;CS$3&amp;CS$1,DB!$A:$J,10,0)</f>
        <v>6981.65</v>
      </c>
      <c r="CT13">
        <f>VLOOKUP($A13&amp;CT$3&amp;CT$1,DB!$A:$J,10,0)</f>
        <v>8650.65</v>
      </c>
      <c r="CU13">
        <f>VLOOKUP($A13&amp;CU$3&amp;CU$1,DB!$A:$J,10,0)</f>
        <v>10827.81</v>
      </c>
      <c r="CV13">
        <f>VLOOKUP($A13&amp;CV$3&amp;CV$1,DB!$A:$J,10,0)</f>
        <v>12686.85</v>
      </c>
      <c r="CW13">
        <f>VLOOKUP($A13&amp;CW$3&amp;CW$1,DB!$A:$J,10,0)</f>
        <v>14887.31</v>
      </c>
      <c r="CX13">
        <f>VLOOKUP($A13&amp;CX$3&amp;CX$1,DB!$A:$J,10,0)</f>
        <v>4655.18</v>
      </c>
      <c r="CY13">
        <f>VLOOKUP($A13&amp;CY$3&amp;CY$1,DB!$A:$J,10,0)</f>
        <v>4823.6099999999997</v>
      </c>
      <c r="CZ13">
        <f>VLOOKUP($A13&amp;CZ$3&amp;CZ$1,DB!$A:$J,10,0)</f>
        <v>4310.8500000000004</v>
      </c>
      <c r="DA13">
        <f>VLOOKUP($A13&amp;DA$3&amp;DA$1,DB!$A:$J,10,0)</f>
        <v>4723.0200000000004</v>
      </c>
      <c r="DB13">
        <f>VLOOKUP($A13&amp;DB$3&amp;DB$1,DB!$A:$J,10,0)</f>
        <v>5781.63</v>
      </c>
      <c r="DC13">
        <f>VLOOKUP($A13&amp;DC$3&amp;DC$1,DB!$A:$J,10,0)</f>
        <v>5323.75</v>
      </c>
      <c r="DD13">
        <f>VLOOKUP($A13&amp;DD$3&amp;DD$1,DB!$A:$J,10,0)</f>
        <v>7763.01</v>
      </c>
      <c r="DE13">
        <f>VLOOKUP($A13&amp;DE$3&amp;DE$1,DB!$A:$J,10,0)</f>
        <v>12545.36</v>
      </c>
      <c r="DF13">
        <f>VLOOKUP($A13&amp;DF$3&amp;DF$1,DB!$A:$J,10,0)</f>
        <v>25050.46</v>
      </c>
      <c r="DG13">
        <f>VLOOKUP($A13&amp;DG$3&amp;DG$1,DB!$A:$J,10,0)</f>
        <v>16147.96</v>
      </c>
      <c r="DH13">
        <f>VLOOKUP($A13&amp;DH$3&amp;DH$1,DB!$A:$J,10,0)</f>
        <v>4655.18</v>
      </c>
      <c r="DI13">
        <f>VLOOKUP($A13&amp;DI$3&amp;DI$1,DB!$A:$J,10,0)</f>
        <v>4823.6099999999997</v>
      </c>
      <c r="DJ13">
        <f>VLOOKUP($A13&amp;DJ$3&amp;DJ$1,DB!$A:$J,10,0)</f>
        <v>4310.8500000000004</v>
      </c>
      <c r="DK13">
        <f>VLOOKUP($A13&amp;DK$3&amp;DK$1,DB!$A:$J,10,0)</f>
        <v>4723.0200000000004</v>
      </c>
      <c r="DL13">
        <f>VLOOKUP($A13&amp;DL$3&amp;DL$1,DB!$A:$J,10,0)</f>
        <v>5781.63</v>
      </c>
      <c r="DM13">
        <f>VLOOKUP($A13&amp;DM$3&amp;DM$1,DB!$A:$J,10,0)</f>
        <v>5323.75</v>
      </c>
      <c r="DN13">
        <f>VLOOKUP($A13&amp;DN$3&amp;DN$1,DB!$A:$J,10,0)</f>
        <v>7763.01</v>
      </c>
      <c r="DO13">
        <f>VLOOKUP($A13&amp;DO$3&amp;DO$1,DB!$A:$J,10,0)</f>
        <v>12545.36</v>
      </c>
      <c r="DP13">
        <f>VLOOKUP($A13&amp;DP$3&amp;DP$1,DB!$A:$J,10,0)</f>
        <v>25050.46</v>
      </c>
      <c r="DQ13">
        <f>VLOOKUP($A13&amp;DQ$3&amp;DQ$1,DB!$A:$J,10,0)</f>
        <v>16147.96</v>
      </c>
      <c r="DR13">
        <f>VLOOKUP($A13&amp;DR$3&amp;DR$1,DB!$A:$J,10,0)</f>
        <v>1953.83</v>
      </c>
      <c r="DS13">
        <f>VLOOKUP($A13&amp;DS$3&amp;DS$1,DB!$A:$J,10,0)</f>
        <v>2614.69</v>
      </c>
      <c r="DT13">
        <f>VLOOKUP($A13&amp;DT$3&amp;DT$1,DB!$A:$J,10,0)</f>
        <v>3261.3</v>
      </c>
      <c r="DU13">
        <f>VLOOKUP($A13&amp;DU$3&amp;DU$1,DB!$A:$J,10,0)</f>
        <v>3854.43</v>
      </c>
      <c r="DV13">
        <f>VLOOKUP($A13&amp;DV$3&amp;DV$1,DB!$A:$J,10,0)</f>
        <v>4415.54</v>
      </c>
      <c r="DW13">
        <f>VLOOKUP($A13&amp;DW$3&amp;DW$1,DB!$A:$J,10,0)</f>
        <v>0</v>
      </c>
      <c r="DX13">
        <f>VLOOKUP($A13&amp;DX$3&amp;DX$1,DB!$A:$J,10,0)</f>
        <v>4133.25</v>
      </c>
      <c r="DY13">
        <f>VLOOKUP($A13&amp;DY$3&amp;DY$1,DB!$A:$J,10,0)</f>
        <v>6138.6</v>
      </c>
      <c r="DZ13">
        <f>VLOOKUP($A13&amp;DZ$3&amp;DZ$1,DB!$A:$J,10,0)</f>
        <v>5558.26</v>
      </c>
      <c r="EA13">
        <f>VLOOKUP($A13&amp;EA$3&amp;EA$1,DB!$A:$J,10,0)</f>
        <v>7079.2</v>
      </c>
      <c r="EB13">
        <f>VLOOKUP($A13&amp;EB$3&amp;EB$1,DB!$A:$J,10,0)</f>
        <v>693.63</v>
      </c>
      <c r="EC13">
        <f>VLOOKUP($A13&amp;EC$3&amp;EC$1,DB!$A:$J,10,0)</f>
        <v>980.59</v>
      </c>
      <c r="ED13">
        <f>VLOOKUP($A13&amp;ED$3&amp;ED$1,DB!$A:$J,10,0)</f>
        <v>755.95</v>
      </c>
      <c r="EE13">
        <f>VLOOKUP($A13&amp;EE$3&amp;EE$1,DB!$A:$J,10,0)</f>
        <v>868.59</v>
      </c>
      <c r="EF13">
        <f>VLOOKUP($A13&amp;EF$3&amp;EF$1,DB!$A:$J,10,0)</f>
        <v>1366.09</v>
      </c>
      <c r="EG13">
        <f>VLOOKUP($A13&amp;EG$3&amp;EG$1,DB!$A:$J,10,0)</f>
        <v>4233.49</v>
      </c>
      <c r="EH13">
        <f>VLOOKUP($A13&amp;EH$3&amp;EH$1,DB!$A:$J,10,0)</f>
        <v>1471.44</v>
      </c>
      <c r="EI13">
        <f>VLOOKUP($A13&amp;EI$3&amp;EI$1,DB!$A:$J,10,0)</f>
        <v>166.55</v>
      </c>
      <c r="EJ13">
        <f>VLOOKUP($A13&amp;EJ$3&amp;EJ$1,DB!$A:$J,10,0)</f>
        <v>810.03</v>
      </c>
      <c r="EK13">
        <f>VLOOKUP($A13&amp;EK$3&amp;EK$1,DB!$A:$J,10,0)</f>
        <v>0</v>
      </c>
    </row>
    <row r="14" spans="1:141" hidden="1" x14ac:dyDescent="0.35">
      <c r="A14" t="s">
        <v>50</v>
      </c>
      <c r="B14">
        <f>VLOOKUP($A14&amp;B$3&amp;B$1,DB!$A:$J,10,0)</f>
        <v>0.25140000000000001</v>
      </c>
      <c r="C14">
        <f>VLOOKUP($A14&amp;C$3&amp;C$1,DB!$A:$J,10,0)</f>
        <v>0.28720000000000001</v>
      </c>
      <c r="D14">
        <f>VLOOKUP($A14&amp;D$3&amp;D$1,DB!$A:$J,10,0)</f>
        <v>0.27039999999999997</v>
      </c>
      <c r="E14">
        <f>VLOOKUP($A14&amp;E$3&amp;E$1,DB!$A:$J,10,0)</f>
        <v>0.27789999999999998</v>
      </c>
      <c r="F14">
        <f>VLOOKUP($A14&amp;F$3&amp;F$1,DB!$A:$J,10,0)</f>
        <v>0.30449999999999999</v>
      </c>
      <c r="G14">
        <f>VLOOKUP($A14&amp;G$3&amp;G$1,DB!$A:$J,10,0)</f>
        <v>0.27710000000000001</v>
      </c>
      <c r="H14">
        <f>VLOOKUP($A14&amp;H$3&amp;H$1,DB!$A:$J,10,0)</f>
        <v>0.2676</v>
      </c>
      <c r="I14">
        <f>VLOOKUP($A14&amp;I$3&amp;I$1,DB!$A:$J,10,0)</f>
        <v>0.27310000000000001</v>
      </c>
      <c r="J14">
        <f>VLOOKUP($A14&amp;J$3&amp;J$1,DB!$A:$J,10,0)</f>
        <v>0.2641</v>
      </c>
      <c r="K14">
        <f>VLOOKUP($A14&amp;K$3&amp;K$1,DB!$A:$J,10,0)</f>
        <v>0.2661</v>
      </c>
      <c r="L14">
        <f>VLOOKUP($A14&amp;L$3&amp;L$1,DB!$A:$J,10,0)</f>
        <v>0.72589999999999999</v>
      </c>
      <c r="M14">
        <f>VLOOKUP($A14&amp;M$3&amp;M$1,DB!$A:$J,10,0)</f>
        <v>0.66669999999999996</v>
      </c>
      <c r="N14">
        <f>VLOOKUP($A14&amp;N$3&amp;N$1,DB!$A:$J,10,0)</f>
        <v>0.78420000000000001</v>
      </c>
      <c r="O14">
        <f>VLOOKUP($A14&amp;O$3&amp;O$1,DB!$A:$J,10,0)</f>
        <v>0.74419999999999997</v>
      </c>
      <c r="P14">
        <f>VLOOKUP($A14&amp;P$3&amp;P$1,DB!$A:$J,10,0)</f>
        <v>0.84199999999999997</v>
      </c>
      <c r="Q14">
        <f>VLOOKUP($A14&amp;Q$3&amp;Q$1,DB!$A:$J,10,0)</f>
        <v>0.84130000000000005</v>
      </c>
      <c r="R14">
        <f>VLOOKUP($A14&amp;R$3&amp;R$1,DB!$A:$J,10,0)</f>
        <v>0.81030000000000002</v>
      </c>
      <c r="S14">
        <f>VLOOKUP($A14&amp;S$3&amp;S$1,DB!$A:$J,10,0)</f>
        <v>0.98009999999999997</v>
      </c>
      <c r="T14">
        <f>VLOOKUP($A14&amp;T$3&amp;T$1,DB!$A:$J,10,0)</f>
        <v>0.99829999999999997</v>
      </c>
      <c r="U14">
        <f>VLOOKUP($A14&amp;U$3&amp;U$1,DB!$A:$J,10,0)</f>
        <v>0.70340000000000003</v>
      </c>
      <c r="V14">
        <f>VLOOKUP($A14&amp;V$3&amp;V$1,DB!$A:$J,10,0)</f>
        <v>0.2606</v>
      </c>
      <c r="W14">
        <f>VLOOKUP($A14&amp;W$3&amp;W$1,DB!$A:$J,10,0)</f>
        <v>0.28760000000000002</v>
      </c>
      <c r="X14">
        <f>VLOOKUP($A14&amp;X$3&amp;X$1,DB!$A:$J,10,0)</f>
        <v>0.1711</v>
      </c>
      <c r="Y14">
        <f>VLOOKUP($A14&amp;Y$3&amp;Y$1,DB!$A:$J,10,0)</f>
        <v>0.25580000000000003</v>
      </c>
      <c r="Z14">
        <f>VLOOKUP($A14&amp;Z$3&amp;Z$1,DB!$A:$J,10,0)</f>
        <v>0.1404</v>
      </c>
      <c r="AA14">
        <f>VLOOKUP($A14&amp;AA$3&amp;AA$1,DB!$A:$J,10,0)</f>
        <v>0.15859999999999999</v>
      </c>
      <c r="AB14">
        <f>VLOOKUP($A14&amp;AB$3&amp;AB$1,DB!$A:$J,10,0)</f>
        <v>0.14299999999999999</v>
      </c>
      <c r="AC14">
        <f>VLOOKUP($A14&amp;AC$3&amp;AC$1,DB!$A:$J,10,0)</f>
        <v>1.9900000000000001E-2</v>
      </c>
      <c r="AD14">
        <f>VLOOKUP($A14&amp;AD$3&amp;AD$1,DB!$A:$J,10,0)</f>
        <v>0</v>
      </c>
      <c r="AE14">
        <f>VLOOKUP($A14&amp;AE$3&amp;AE$1,DB!$A:$J,10,0)</f>
        <v>0.27539999999999998</v>
      </c>
      <c r="AF14">
        <f>VLOOKUP($A14&amp;AF$3&amp;AF$1,DB!$A:$J,10,0)</f>
        <v>0.1021</v>
      </c>
      <c r="AG14">
        <f>VLOOKUP($A14&amp;AG$3&amp;AG$1,DB!$A:$J,10,0)</f>
        <v>5.7000000000000002E-2</v>
      </c>
      <c r="AH14">
        <f>VLOOKUP($A14&amp;AH$3&amp;AH$1,DB!$A:$J,10,0)</f>
        <v>4.65E-2</v>
      </c>
      <c r="AI14">
        <f>VLOOKUP($A14&amp;AI$3&amp;AI$1,DB!$A:$J,10,0)</f>
        <v>0</v>
      </c>
      <c r="AJ14">
        <f>VLOOKUP($A14&amp;AJ$3&amp;AJ$1,DB!$A:$J,10,0)</f>
        <v>0</v>
      </c>
      <c r="AK14">
        <f>VLOOKUP($A14&amp;AK$3&amp;AK$1,DB!$A:$J,10,0)</f>
        <v>0.20019999999999999</v>
      </c>
      <c r="AL14">
        <f>VLOOKUP($A14&amp;AL$3&amp;AL$1,DB!$A:$J,10,0)</f>
        <v>0.15329999999999999</v>
      </c>
      <c r="AM14">
        <f>VLOOKUP($A14&amp;AM$3&amp;AM$1,DB!$A:$J,10,0)</f>
        <v>0.1716</v>
      </c>
      <c r="AN14">
        <f>VLOOKUP($A14&amp;AN$3&amp;AN$1,DB!$A:$J,10,0)</f>
        <v>0.17249999999999999</v>
      </c>
      <c r="AO14">
        <f>VLOOKUP($A14&amp;AO$3&amp;AO$1,DB!$A:$J,10,0)</f>
        <v>0.16059999999999999</v>
      </c>
      <c r="AP14">
        <f>VLOOKUP($A14&amp;AP$3&amp;AP$1,DB!$A:$J,10,0)</f>
        <v>0.85570000000000002</v>
      </c>
      <c r="AQ14">
        <f>VLOOKUP($A14&amp;AQ$3&amp;AQ$1,DB!$A:$J,10,0)</f>
        <v>0.85729999999999995</v>
      </c>
      <c r="AR14">
        <f>VLOOKUP($A14&amp;AR$3&amp;AR$1,DB!$A:$J,10,0)</f>
        <v>0.95350000000000001</v>
      </c>
      <c r="AS14">
        <f>VLOOKUP($A14&amp;AS$3&amp;AS$1,DB!$A:$J,10,0)</f>
        <v>0.76280000000000003</v>
      </c>
      <c r="AT14">
        <f>VLOOKUP($A14&amp;AT$3&amp;AT$1,DB!$A:$J,10,0)</f>
        <v>0.81720000000000004</v>
      </c>
      <c r="AU14">
        <f>VLOOKUP($A14&amp;AU$3&amp;AU$1,DB!$A:$J,10,0)</f>
        <v>0.81620000000000004</v>
      </c>
      <c r="AV14">
        <f>VLOOKUP($A14&amp;AV$3&amp;AV$1,DB!$A:$J,10,0)</f>
        <v>0.8</v>
      </c>
      <c r="AW14">
        <f>VLOOKUP($A14&amp;AW$3&amp;AW$1,DB!$A:$J,10,0)</f>
        <v>0.82840000000000003</v>
      </c>
      <c r="AX14">
        <f>VLOOKUP($A14&amp;AX$3&amp;AX$1,DB!$A:$J,10,0)</f>
        <v>0.82579999999999998</v>
      </c>
      <c r="AY14">
        <f>VLOOKUP($A14&amp;AY$3&amp;AY$1,DB!$A:$J,10,0)</f>
        <v>0.71730000000000005</v>
      </c>
      <c r="AZ14">
        <f>VLOOKUP($A14&amp;AZ$3&amp;AZ$1,DB!$A:$J,10,0)</f>
        <v>0.27389999999999998</v>
      </c>
      <c r="BA14">
        <f>VLOOKUP($A14&amp;BA$3&amp;BA$1,DB!$A:$J,10,0)</f>
        <v>9.7100000000000006E-2</v>
      </c>
      <c r="BB14">
        <f>VLOOKUP($A14&amp;BB$3&amp;BB$1,DB!$A:$J,10,0)</f>
        <v>3.56E-2</v>
      </c>
      <c r="BC14">
        <f>VLOOKUP($A14&amp;BC$3&amp;BC$1,DB!$A:$J,10,0)</f>
        <v>0.18840000000000001</v>
      </c>
      <c r="BD14">
        <f>VLOOKUP($A14&amp;BD$3&amp;BD$1,DB!$A:$J,10,0)</f>
        <v>0.14929999999999999</v>
      </c>
      <c r="BE14">
        <f>VLOOKUP($A14&amp;BE$3&amp;BE$1,DB!$A:$J,10,0)</f>
        <v>0</v>
      </c>
      <c r="BF14">
        <f>VLOOKUP($A14&amp;BF$3&amp;BF$1,DB!$A:$J,10,0)</f>
        <v>0.1633</v>
      </c>
      <c r="BG14">
        <f>VLOOKUP($A14&amp;BG$3&amp;BG$1,DB!$A:$J,10,0)</f>
        <v>8.3599999999999994E-2</v>
      </c>
      <c r="BH14">
        <f>VLOOKUP($A14&amp;BH$3&amp;BH$1,DB!$A:$J,10,0)</f>
        <v>6.3500000000000001E-2</v>
      </c>
      <c r="BI14">
        <f>VLOOKUP($A14&amp;BI$3&amp;BI$1,DB!$A:$J,10,0)</f>
        <v>8.3900000000000002E-2</v>
      </c>
      <c r="BJ14">
        <f>VLOOKUP($A14&amp;BJ$3&amp;BJ$1,DB!$A:$J,10,0)</f>
        <v>0.66449999999999998</v>
      </c>
      <c r="BK14">
        <f>VLOOKUP($A14&amp;BK$3&amp;BK$1,DB!$A:$J,10,0)</f>
        <v>0.51070000000000004</v>
      </c>
      <c r="BL14">
        <f>VLOOKUP($A14&amp;BL$3&amp;BL$1,DB!$A:$J,10,0)</f>
        <v>0.63</v>
      </c>
      <c r="BM14">
        <f>VLOOKUP($A14&amp;BM$3&amp;BM$1,DB!$A:$J,10,0)</f>
        <v>0.50270000000000004</v>
      </c>
      <c r="BN14">
        <f>VLOOKUP($A14&amp;BN$3&amp;BN$1,DB!$A:$J,10,0)</f>
        <v>0.50729999999999997</v>
      </c>
      <c r="BO14">
        <f>VLOOKUP($A14&amp;BO$3&amp;BO$1,DB!$A:$J,10,0)</f>
        <v>0</v>
      </c>
      <c r="BP14">
        <f>VLOOKUP($A14&amp;BP$3&amp;BP$1,DB!$A:$J,10,0)</f>
        <v>0.76749999999999996</v>
      </c>
      <c r="BQ14">
        <f>VLOOKUP($A14&amp;BQ$3&amp;BQ$1,DB!$A:$J,10,0)</f>
        <v>0.52790000000000004</v>
      </c>
      <c r="BR14">
        <f>VLOOKUP($A14&amp;BR$3&amp;BR$1,DB!$A:$J,10,0)</f>
        <v>0.37709999999999999</v>
      </c>
      <c r="BS14">
        <f>VLOOKUP($A14&amp;BS$3&amp;BS$1,DB!$A:$J,10,0)</f>
        <v>0.55410000000000004</v>
      </c>
      <c r="BT14">
        <f>VLOOKUP($A14&amp;BT$3&amp;BT$1,DB!$A:$J,10,0)</f>
        <v>0.27350000000000002</v>
      </c>
      <c r="BU14">
        <f>VLOOKUP($A14&amp;BU$3&amp;BU$1,DB!$A:$J,10,0)</f>
        <v>0.38159999999999999</v>
      </c>
      <c r="BV14">
        <f>VLOOKUP($A14&amp;BV$3&amp;BV$1,DB!$A:$J,10,0)</f>
        <v>0.35809999999999997</v>
      </c>
      <c r="BW14">
        <f>VLOOKUP($A14&amp;BW$3&amp;BW$1,DB!$A:$J,10,0)</f>
        <v>0.24679999999999999</v>
      </c>
      <c r="BX14">
        <f>VLOOKUP($A14&amp;BX$3&amp;BX$1,DB!$A:$J,10,0)</f>
        <v>0.36609999999999998</v>
      </c>
      <c r="BY14">
        <f>VLOOKUP($A14&amp;BY$3&amp;BY$1,DB!$A:$J,10,0)</f>
        <v>0</v>
      </c>
      <c r="BZ14">
        <f>VLOOKUP($A14&amp;BZ$3&amp;BZ$1,DB!$A:$J,10,0)</f>
        <v>0.45879999999999999</v>
      </c>
      <c r="CA14">
        <f>VLOOKUP($A14&amp;CA$3&amp;CA$1,DB!$A:$J,10,0)</f>
        <v>0.2999</v>
      </c>
      <c r="CB14">
        <f>VLOOKUP($A14&amp;CB$3&amp;CB$1,DB!$A:$J,10,0)</f>
        <v>0.33479999999999999</v>
      </c>
      <c r="CC14">
        <f>VLOOKUP($A14&amp;CC$3&amp;CC$1,DB!$A:$J,10,0)</f>
        <v>0.28349999999999997</v>
      </c>
      <c r="CD14">
        <f>VLOOKUP($A14&amp;CD$3&amp;CD$1,DB!$A:$J,10,0)</f>
        <v>5364.83</v>
      </c>
      <c r="CE14">
        <f>VLOOKUP($A14&amp;CE$3&amp;CE$1,DB!$A:$J,10,0)</f>
        <v>2383.09</v>
      </c>
      <c r="CF14">
        <f>VLOOKUP($A14&amp;CF$3&amp;CF$1,DB!$A:$J,10,0)</f>
        <v>855.96</v>
      </c>
      <c r="CG14">
        <f>VLOOKUP($A14&amp;CG$3&amp;CG$1,DB!$A:$J,10,0)</f>
        <v>3557.11</v>
      </c>
      <c r="CH14">
        <f>VLOOKUP($A14&amp;CH$3&amp;CH$1,DB!$A:$J,10,0)</f>
        <v>4341.24</v>
      </c>
      <c r="CI14">
        <f>VLOOKUP($A14&amp;CI$3&amp;CI$1,DB!$A:$J,10,0)</f>
        <v>4702.46</v>
      </c>
      <c r="CJ14">
        <f>VLOOKUP($A14&amp;CJ$3&amp;CJ$1,DB!$A:$J,10,0)</f>
        <v>4083.29</v>
      </c>
      <c r="CK14">
        <f>VLOOKUP($A14&amp;CK$3&amp;CK$1,DB!$A:$J,10,0)</f>
        <v>3570.05</v>
      </c>
      <c r="CL14">
        <f>VLOOKUP($A14&amp;CL$3&amp;CL$1,DB!$A:$J,10,0)</f>
        <v>3378.33</v>
      </c>
      <c r="CM14">
        <f>VLOOKUP($A14&amp;CM$3&amp;CM$1,DB!$A:$J,10,0)</f>
        <v>4735.8900000000003</v>
      </c>
      <c r="CN14">
        <f>VLOOKUP($A14&amp;CN$3&amp;CN$1,DB!$A:$J,10,0)</f>
        <v>3815.82</v>
      </c>
      <c r="CO14">
        <f>VLOOKUP($A14&amp;CO$3&amp;CO$1,DB!$A:$J,10,0)</f>
        <v>5949.33</v>
      </c>
      <c r="CP14">
        <f>VLOOKUP($A14&amp;CP$3&amp;CP$1,DB!$A:$J,10,0)</f>
        <v>7320.74</v>
      </c>
      <c r="CQ14">
        <f>VLOOKUP($A14&amp;CQ$3&amp;CQ$1,DB!$A:$J,10,0)</f>
        <v>5042.0200000000004</v>
      </c>
      <c r="CR14">
        <f>VLOOKUP($A14&amp;CR$3&amp;CR$1,DB!$A:$J,10,0)</f>
        <v>7669.29</v>
      </c>
      <c r="CS14">
        <f>VLOOKUP($A14&amp;CS$3&amp;CS$1,DB!$A:$J,10,0)</f>
        <v>8691.14</v>
      </c>
      <c r="CT14">
        <f>VLOOKUP($A14&amp;CT$3&amp;CT$1,DB!$A:$J,10,0)</f>
        <v>12221.95</v>
      </c>
      <c r="CU14">
        <f>VLOOKUP($A14&amp;CU$3&amp;CU$1,DB!$A:$J,10,0)</f>
        <v>14978.33</v>
      </c>
      <c r="CV14">
        <f>VLOOKUP($A14&amp;CV$3&amp;CV$1,DB!$A:$J,10,0)</f>
        <v>16100.32</v>
      </c>
      <c r="CW14">
        <f>VLOOKUP($A14&amp;CW$3&amp;CW$1,DB!$A:$J,10,0)</f>
        <v>15192.17</v>
      </c>
      <c r="CX14">
        <f>VLOOKUP($A14&amp;CX$3&amp;CX$1,DB!$A:$J,10,0)</f>
        <v>4257.67</v>
      </c>
      <c r="CY14">
        <f>VLOOKUP($A14&amp;CY$3&amp;CY$1,DB!$A:$J,10,0)</f>
        <v>4800.51</v>
      </c>
      <c r="CZ14">
        <f>VLOOKUP($A14&amp;CZ$3&amp;CZ$1,DB!$A:$J,10,0)</f>
        <v>5260.89</v>
      </c>
      <c r="DA14">
        <f>VLOOKUP($A14&amp;DA$3&amp;DA$1,DB!$A:$J,10,0)</f>
        <v>4523.8900000000003</v>
      </c>
      <c r="DB14">
        <f>VLOOKUP($A14&amp;DB$3&amp;DB$1,DB!$A:$J,10,0)</f>
        <v>6526.16</v>
      </c>
      <c r="DC14">
        <f>VLOOKUP($A14&amp;DC$3&amp;DC$1,DB!$A:$J,10,0)</f>
        <v>7292.15</v>
      </c>
      <c r="DD14">
        <f>VLOOKUP($A14&amp;DD$3&amp;DD$1,DB!$A:$J,10,0)</f>
        <v>9727.91</v>
      </c>
      <c r="DE14">
        <f>VLOOKUP($A14&amp;DE$3&amp;DE$1,DB!$A:$J,10,0)</f>
        <v>17045.71</v>
      </c>
      <c r="DF14">
        <f>VLOOKUP($A14&amp;DF$3&amp;DF$1,DB!$A:$J,10,0)</f>
        <v>23690.76</v>
      </c>
      <c r="DG14">
        <f>VLOOKUP($A14&amp;DG$3&amp;DG$1,DB!$A:$J,10,0)</f>
        <v>18453.490000000002</v>
      </c>
      <c r="DH14">
        <f>VLOOKUP($A14&amp;DH$3&amp;DH$1,DB!$A:$J,10,0)</f>
        <v>4257.67</v>
      </c>
      <c r="DI14">
        <f>VLOOKUP($A14&amp;DI$3&amp;DI$1,DB!$A:$J,10,0)</f>
        <v>4800.51</v>
      </c>
      <c r="DJ14">
        <f>VLOOKUP($A14&amp;DJ$3&amp;DJ$1,DB!$A:$J,10,0)</f>
        <v>5260.89</v>
      </c>
      <c r="DK14">
        <f>VLOOKUP($A14&amp;DK$3&amp;DK$1,DB!$A:$J,10,0)</f>
        <v>4523.8900000000003</v>
      </c>
      <c r="DL14">
        <f>VLOOKUP($A14&amp;DL$3&amp;DL$1,DB!$A:$J,10,0)</f>
        <v>6526.16</v>
      </c>
      <c r="DM14">
        <f>VLOOKUP($A14&amp;DM$3&amp;DM$1,DB!$A:$J,10,0)</f>
        <v>7307.19</v>
      </c>
      <c r="DN14">
        <f>VLOOKUP($A14&amp;DN$3&amp;DN$1,DB!$A:$J,10,0)</f>
        <v>9727.91</v>
      </c>
      <c r="DO14">
        <f>VLOOKUP($A14&amp;DO$3&amp;DO$1,DB!$A:$J,10,0)</f>
        <v>17045.71</v>
      </c>
      <c r="DP14">
        <f>VLOOKUP($A14&amp;DP$3&amp;DP$1,DB!$A:$J,10,0)</f>
        <v>23690.76</v>
      </c>
      <c r="DQ14">
        <f>VLOOKUP($A14&amp;DQ$3&amp;DQ$1,DB!$A:$J,10,0)</f>
        <v>18453.490000000002</v>
      </c>
      <c r="DR14">
        <f>VLOOKUP($A14&amp;DR$3&amp;DR$1,DB!$A:$J,10,0)</f>
        <v>2648.84</v>
      </c>
      <c r="DS14">
        <f>VLOOKUP($A14&amp;DS$3&amp;DS$1,DB!$A:$J,10,0)</f>
        <v>3288.78</v>
      </c>
      <c r="DT14">
        <f>VLOOKUP($A14&amp;DT$3&amp;DT$1,DB!$A:$J,10,0)</f>
        <v>4011.36</v>
      </c>
      <c r="DU14">
        <f>VLOOKUP($A14&amp;DU$3&amp;DU$1,DB!$A:$J,10,0)</f>
        <v>3049.81</v>
      </c>
      <c r="DV14">
        <f>VLOOKUP($A14&amp;DV$3&amp;DV$1,DB!$A:$J,10,0)</f>
        <v>5558.84</v>
      </c>
      <c r="DW14">
        <f>VLOOKUP($A14&amp;DW$3&amp;DW$1,DB!$A:$J,10,0)</f>
        <v>0</v>
      </c>
      <c r="DX14">
        <f>VLOOKUP($A14&amp;DX$3&amp;DX$1,DB!$A:$J,10,0)</f>
        <v>5185.3500000000004</v>
      </c>
      <c r="DY14">
        <f>VLOOKUP($A14&amp;DY$3&amp;DY$1,DB!$A:$J,10,0)</f>
        <v>6893.19</v>
      </c>
      <c r="DZ14">
        <f>VLOOKUP($A14&amp;DZ$3&amp;DZ$1,DB!$A:$J,10,0)</f>
        <v>6936.5</v>
      </c>
      <c r="EA14">
        <f>VLOOKUP($A14&amp;EA$3&amp;EA$1,DB!$A:$J,10,0)</f>
        <v>6135.47</v>
      </c>
      <c r="EB14">
        <f>VLOOKUP($A14&amp;EB$3&amp;EB$1,DB!$A:$J,10,0)</f>
        <v>804.2</v>
      </c>
      <c r="EC14">
        <f>VLOOKUP($A14&amp;EC$3&amp;EC$1,DB!$A:$J,10,0)</f>
        <v>1323.65</v>
      </c>
      <c r="ED14">
        <f>VLOOKUP($A14&amp;ED$3&amp;ED$1,DB!$A:$J,10,0)</f>
        <v>865.78</v>
      </c>
      <c r="EE14">
        <f>VLOOKUP($A14&amp;EE$3&amp;EE$1,DB!$A:$J,10,0)</f>
        <v>1354.03</v>
      </c>
      <c r="EF14">
        <f>VLOOKUP($A14&amp;EF$3&amp;EF$1,DB!$A:$J,10,0)</f>
        <v>713.5</v>
      </c>
      <c r="EG14">
        <f>VLOOKUP($A14&amp;EG$3&amp;EG$1,DB!$A:$J,10,0)</f>
        <v>6309.75</v>
      </c>
      <c r="EH14">
        <f>VLOOKUP($A14&amp;EH$3&amp;EH$1,DB!$A:$J,10,0)</f>
        <v>915.22</v>
      </c>
      <c r="EI14">
        <f>VLOOKUP($A14&amp;EI$3&amp;EI$1,DB!$A:$J,10,0)</f>
        <v>139.78</v>
      </c>
      <c r="EJ14">
        <f>VLOOKUP($A14&amp;EJ$3&amp;EJ$1,DB!$A:$J,10,0)</f>
        <v>0</v>
      </c>
      <c r="EK14">
        <f>VLOOKUP($A14&amp;EK$3&amp;EK$1,DB!$A:$J,10,0)</f>
        <v>1744.7</v>
      </c>
    </row>
    <row r="15" spans="1:141" hidden="1" x14ac:dyDescent="0.35">
      <c r="A15" t="s">
        <v>51</v>
      </c>
      <c r="B15">
        <f>VLOOKUP($A15&amp;B$3&amp;B$1,DB!$A:$J,10,0)</f>
        <v>0.25380000000000003</v>
      </c>
      <c r="C15">
        <f>VLOOKUP($A15&amp;C$3&amp;C$1,DB!$A:$J,10,0)</f>
        <v>0.29909999999999998</v>
      </c>
      <c r="D15">
        <f>VLOOKUP($A15&amp;D$3&amp;D$1,DB!$A:$J,10,0)</f>
        <v>0.26069999999999999</v>
      </c>
      <c r="E15">
        <f>VLOOKUP($A15&amp;E$3&amp;E$1,DB!$A:$J,10,0)</f>
        <v>0.29349999999999998</v>
      </c>
      <c r="F15">
        <f>VLOOKUP($A15&amp;F$3&amp;F$1,DB!$A:$J,10,0)</f>
        <v>0.25940000000000002</v>
      </c>
      <c r="G15">
        <f>VLOOKUP($A15&amp;G$3&amp;G$1,DB!$A:$J,10,0)</f>
        <v>0.27910000000000001</v>
      </c>
      <c r="H15">
        <f>VLOOKUP($A15&amp;H$3&amp;H$1,DB!$A:$J,10,0)</f>
        <v>0.22090000000000001</v>
      </c>
      <c r="I15">
        <f>VLOOKUP($A15&amp;I$3&amp;I$1,DB!$A:$J,10,0)</f>
        <v>0.26019999999999999</v>
      </c>
      <c r="J15">
        <f>VLOOKUP($A15&amp;J$3&amp;J$1,DB!$A:$J,10,0)</f>
        <v>0.2823</v>
      </c>
      <c r="K15">
        <f>VLOOKUP($A15&amp;K$3&amp;K$1,DB!$A:$J,10,0)</f>
        <v>0.27229999999999999</v>
      </c>
      <c r="L15">
        <f>VLOOKUP($A15&amp;L$3&amp;L$1,DB!$A:$J,10,0)</f>
        <v>0.71399999999999997</v>
      </c>
      <c r="M15">
        <f>VLOOKUP($A15&amp;M$3&amp;M$1,DB!$A:$J,10,0)</f>
        <v>0.96399999999999997</v>
      </c>
      <c r="N15">
        <f>VLOOKUP($A15&amp;N$3&amp;N$1,DB!$A:$J,10,0)</f>
        <v>0.62470000000000003</v>
      </c>
      <c r="O15">
        <f>VLOOKUP($A15&amp;O$3&amp;O$1,DB!$A:$J,10,0)</f>
        <v>0.68030000000000002</v>
      </c>
      <c r="P15">
        <f>VLOOKUP($A15&amp;P$3&amp;P$1,DB!$A:$J,10,0)</f>
        <v>0.67220000000000002</v>
      </c>
      <c r="Q15">
        <f>VLOOKUP($A15&amp;Q$3&amp;Q$1,DB!$A:$J,10,0)</f>
        <v>0.79339999999999999</v>
      </c>
      <c r="R15">
        <f>VLOOKUP($A15&amp;R$3&amp;R$1,DB!$A:$J,10,0)</f>
        <v>0.71140000000000003</v>
      </c>
      <c r="S15">
        <f>VLOOKUP($A15&amp;S$3&amp;S$1,DB!$A:$J,10,0)</f>
        <v>0.92410000000000003</v>
      </c>
      <c r="T15">
        <f>VLOOKUP($A15&amp;T$3&amp;T$1,DB!$A:$J,10,0)</f>
        <v>0.92349999999999999</v>
      </c>
      <c r="U15">
        <f>VLOOKUP($A15&amp;U$3&amp;U$1,DB!$A:$J,10,0)</f>
        <v>0.74950000000000006</v>
      </c>
      <c r="V15">
        <f>VLOOKUP($A15&amp;V$3&amp;V$1,DB!$A:$J,10,0)</f>
        <v>0.28599999999999998</v>
      </c>
      <c r="W15">
        <f>VLOOKUP($A15&amp;W$3&amp;W$1,DB!$A:$J,10,0)</f>
        <v>1.8700000000000001E-2</v>
      </c>
      <c r="X15">
        <f>VLOOKUP($A15&amp;X$3&amp;X$1,DB!$A:$J,10,0)</f>
        <v>0.37530000000000002</v>
      </c>
      <c r="Y15">
        <f>VLOOKUP($A15&amp;Y$3&amp;Y$1,DB!$A:$J,10,0)</f>
        <v>0.31969999999999998</v>
      </c>
      <c r="Z15">
        <f>VLOOKUP($A15&amp;Z$3&amp;Z$1,DB!$A:$J,10,0)</f>
        <v>0.32779999999999998</v>
      </c>
      <c r="AA15">
        <f>VLOOKUP($A15&amp;AA$3&amp;AA$1,DB!$A:$J,10,0)</f>
        <v>0.20660000000000001</v>
      </c>
      <c r="AB15">
        <f>VLOOKUP($A15&amp;AB$3&amp;AB$1,DB!$A:$J,10,0)</f>
        <v>0.25119999999999998</v>
      </c>
      <c r="AC15">
        <f>VLOOKUP($A15&amp;AC$3&amp;AC$1,DB!$A:$J,10,0)</f>
        <v>7.5800000000000006E-2</v>
      </c>
      <c r="AD15">
        <f>VLOOKUP($A15&amp;AD$3&amp;AD$1,DB!$A:$J,10,0)</f>
        <v>5.7099999999999998E-2</v>
      </c>
      <c r="AE15">
        <f>VLOOKUP($A15&amp;AE$3&amp;AE$1,DB!$A:$J,10,0)</f>
        <v>0.16969999999999999</v>
      </c>
      <c r="AF15">
        <f>VLOOKUP($A15&amp;AF$3&amp;AF$1,DB!$A:$J,10,0)</f>
        <v>0.13070000000000001</v>
      </c>
      <c r="AG15">
        <f>VLOOKUP($A15&amp;AG$3&amp;AG$1,DB!$A:$J,10,0)</f>
        <v>3.7999999999999999E-2</v>
      </c>
      <c r="AH15">
        <f>VLOOKUP($A15&amp;AH$3&amp;AH$1,DB!$A:$J,10,0)</f>
        <v>4.8399999999999999E-2</v>
      </c>
      <c r="AI15">
        <f>VLOOKUP($A15&amp;AI$3&amp;AI$1,DB!$A:$J,10,0)</f>
        <v>0</v>
      </c>
      <c r="AJ15">
        <f>VLOOKUP($A15&amp;AJ$3&amp;AJ$1,DB!$A:$J,10,0)</f>
        <v>0</v>
      </c>
      <c r="AK15">
        <f>VLOOKUP($A15&amp;AK$3&amp;AK$1,DB!$A:$J,10,0)</f>
        <v>0</v>
      </c>
      <c r="AL15">
        <f>VLOOKUP($A15&amp;AL$3&amp;AL$1,DB!$A:$J,10,0)</f>
        <v>0.13070000000000001</v>
      </c>
      <c r="AM15">
        <f>VLOOKUP($A15&amp;AM$3&amp;AM$1,DB!$A:$J,10,0)</f>
        <v>0.35549999999999998</v>
      </c>
      <c r="AN15">
        <f>VLOOKUP($A15&amp;AN$3&amp;AN$1,DB!$A:$J,10,0)</f>
        <v>0.32819999999999999</v>
      </c>
      <c r="AO15">
        <f>VLOOKUP($A15&amp;AO$3&amp;AO$1,DB!$A:$J,10,0)</f>
        <v>0.1772</v>
      </c>
      <c r="AP15">
        <f>VLOOKUP($A15&amp;AP$3&amp;AP$1,DB!$A:$J,10,0)</f>
        <v>0.82599999999999996</v>
      </c>
      <c r="AQ15">
        <f>VLOOKUP($A15&amp;AQ$3&amp;AQ$1,DB!$A:$J,10,0)</f>
        <v>0.94469999999999998</v>
      </c>
      <c r="AR15">
        <f>VLOOKUP($A15&amp;AR$3&amp;AR$1,DB!$A:$J,10,0)</f>
        <v>0.9516</v>
      </c>
      <c r="AS15">
        <f>VLOOKUP($A15&amp;AS$3&amp;AS$1,DB!$A:$J,10,0)</f>
        <v>0.80549999999999999</v>
      </c>
      <c r="AT15">
        <f>VLOOKUP($A15&amp;AT$3&amp;AT$1,DB!$A:$J,10,0)</f>
        <v>0.78259999999999996</v>
      </c>
      <c r="AU15">
        <f>VLOOKUP($A15&amp;AU$3&amp;AU$1,DB!$A:$J,10,0)</f>
        <v>1.0228999999999999</v>
      </c>
      <c r="AV15">
        <f>VLOOKUP($A15&amp;AV$3&amp;AV$1,DB!$A:$J,10,0)</f>
        <v>0.83189999999999997</v>
      </c>
      <c r="AW15">
        <f>VLOOKUP($A15&amp;AW$3&amp;AW$1,DB!$A:$J,10,0)</f>
        <v>0.64439999999999997</v>
      </c>
      <c r="AX15">
        <f>VLOOKUP($A15&amp;AX$3&amp;AX$1,DB!$A:$J,10,0)</f>
        <v>0.60770000000000002</v>
      </c>
      <c r="AY15">
        <f>VLOOKUP($A15&amp;AY$3&amp;AY$1,DB!$A:$J,10,0)</f>
        <v>0.60560000000000003</v>
      </c>
      <c r="AZ15">
        <f>VLOOKUP($A15&amp;AZ$3&amp;AZ$1,DB!$A:$J,10,0)</f>
        <v>0.1867</v>
      </c>
      <c r="BA15">
        <f>VLOOKUP($A15&amp;BA$3&amp;BA$1,DB!$A:$J,10,0)</f>
        <v>0.13339999999999999</v>
      </c>
      <c r="BB15">
        <f>VLOOKUP($A15&amp;BB$3&amp;BB$1,DB!$A:$J,10,0)</f>
        <v>2.7099999999999999E-2</v>
      </c>
      <c r="BC15">
        <f>VLOOKUP($A15&amp;BC$3&amp;BC$1,DB!$A:$J,10,0)</f>
        <v>0.14849999999999999</v>
      </c>
      <c r="BD15">
        <f>VLOOKUP($A15&amp;BD$3&amp;BD$1,DB!$A:$J,10,0)</f>
        <v>0.1144</v>
      </c>
      <c r="BE15">
        <f>VLOOKUP($A15&amp;BE$3&amp;BE$1,DB!$A:$J,10,0)</f>
        <v>0</v>
      </c>
      <c r="BF15">
        <f>VLOOKUP($A15&amp;BF$3&amp;BF$1,DB!$A:$J,10,0)</f>
        <v>9.5600000000000004E-2</v>
      </c>
      <c r="BG15">
        <f>VLOOKUP($A15&amp;BG$3&amp;BG$1,DB!$A:$J,10,0)</f>
        <v>0.15920000000000001</v>
      </c>
      <c r="BH15">
        <f>VLOOKUP($A15&amp;BH$3&amp;BH$1,DB!$A:$J,10,0)</f>
        <v>0.1565</v>
      </c>
      <c r="BI15">
        <f>VLOOKUP($A15&amp;BI$3&amp;BI$1,DB!$A:$J,10,0)</f>
        <v>0.111</v>
      </c>
      <c r="BJ15">
        <f>VLOOKUP($A15&amp;BJ$3&amp;BJ$1,DB!$A:$J,10,0)</f>
        <v>0.72899999999999998</v>
      </c>
      <c r="BK15">
        <f>VLOOKUP($A15&amp;BK$3&amp;BK$1,DB!$A:$J,10,0)</f>
        <v>0.75690000000000002</v>
      </c>
      <c r="BL15">
        <f>VLOOKUP($A15&amp;BL$3&amp;BL$1,DB!$A:$J,10,0)</f>
        <v>0.82550000000000001</v>
      </c>
      <c r="BM15">
        <f>VLOOKUP($A15&amp;BM$3&amp;BM$1,DB!$A:$J,10,0)</f>
        <v>0.73899999999999999</v>
      </c>
      <c r="BN15">
        <f>VLOOKUP($A15&amp;BN$3&amp;BN$1,DB!$A:$J,10,0)</f>
        <v>0.79159999999999997</v>
      </c>
      <c r="BO15">
        <f>VLOOKUP($A15&amp;BO$3&amp;BO$1,DB!$A:$J,10,0)</f>
        <v>0</v>
      </c>
      <c r="BP15">
        <f>VLOOKUP($A15&amp;BP$3&amp;BP$1,DB!$A:$J,10,0)</f>
        <v>0.8014</v>
      </c>
      <c r="BQ15">
        <f>VLOOKUP($A15&amp;BQ$3&amp;BQ$1,DB!$A:$J,10,0)</f>
        <v>0.48830000000000001</v>
      </c>
      <c r="BR15">
        <f>VLOOKUP($A15&amp;BR$3&amp;BR$1,DB!$A:$J,10,0)</f>
        <v>0.49070000000000003</v>
      </c>
      <c r="BS15">
        <f>VLOOKUP($A15&amp;BS$3&amp;BS$1,DB!$A:$J,10,0)</f>
        <v>0.59960000000000002</v>
      </c>
      <c r="BT15">
        <f>VLOOKUP($A15&amp;BT$3&amp;BT$1,DB!$A:$J,10,0)</f>
        <v>0.23699999999999999</v>
      </c>
      <c r="BU15">
        <f>VLOOKUP($A15&amp;BU$3&amp;BU$1,DB!$A:$J,10,0)</f>
        <v>0.25629999999999997</v>
      </c>
      <c r="BV15">
        <f>VLOOKUP($A15&amp;BV$3&amp;BV$1,DB!$A:$J,10,0)</f>
        <v>0.25059999999999999</v>
      </c>
      <c r="BW15">
        <f>VLOOKUP($A15&amp;BW$3&amp;BW$1,DB!$A:$J,10,0)</f>
        <v>0.2006</v>
      </c>
      <c r="BX15">
        <f>VLOOKUP($A15&amp;BX$3&amp;BX$1,DB!$A:$J,10,0)</f>
        <v>0.29310000000000003</v>
      </c>
      <c r="BY15">
        <f>VLOOKUP($A15&amp;BY$3&amp;BY$1,DB!$A:$J,10,0)</f>
        <v>0</v>
      </c>
      <c r="BZ15">
        <f>VLOOKUP($A15&amp;BZ$3&amp;BZ$1,DB!$A:$J,10,0)</f>
        <v>0.1797</v>
      </c>
      <c r="CA15">
        <f>VLOOKUP($A15&amp;CA$3&amp;CA$1,DB!$A:$J,10,0)</f>
        <v>0.21560000000000001</v>
      </c>
      <c r="CB15">
        <f>VLOOKUP($A15&amp;CB$3&amp;CB$1,DB!$A:$J,10,0)</f>
        <v>0.24030000000000001</v>
      </c>
      <c r="CC15">
        <f>VLOOKUP($A15&amp;CC$3&amp;CC$1,DB!$A:$J,10,0)</f>
        <v>0.2069</v>
      </c>
      <c r="CD15">
        <f>VLOOKUP($A15&amp;CD$3&amp;CD$1,DB!$A:$J,10,0)</f>
        <v>2878.98</v>
      </c>
      <c r="CE15">
        <f>VLOOKUP($A15&amp;CE$3&amp;CE$1,DB!$A:$J,10,0)</f>
        <v>2211.7800000000002</v>
      </c>
      <c r="CF15">
        <f>VLOOKUP($A15&amp;CF$3&amp;CF$1,DB!$A:$J,10,0)</f>
        <v>426.83</v>
      </c>
      <c r="CG15">
        <f>VLOOKUP($A15&amp;CG$3&amp;CG$1,DB!$A:$J,10,0)</f>
        <v>2173.41</v>
      </c>
      <c r="CH15">
        <f>VLOOKUP($A15&amp;CH$3&amp;CH$1,DB!$A:$J,10,0)</f>
        <v>2052.2399999999998</v>
      </c>
      <c r="CI15">
        <f>VLOOKUP($A15&amp;CI$3&amp;CI$1,DB!$A:$J,10,0)</f>
        <v>1914.89</v>
      </c>
      <c r="CJ15">
        <f>VLOOKUP($A15&amp;CJ$3&amp;CJ$1,DB!$A:$J,10,0)</f>
        <v>1892.84</v>
      </c>
      <c r="CK15">
        <f>VLOOKUP($A15&amp;CK$3&amp;CK$1,DB!$A:$J,10,0)</f>
        <v>5925.51</v>
      </c>
      <c r="CL15">
        <f>VLOOKUP($A15&amp;CL$3&amp;CL$1,DB!$A:$J,10,0)</f>
        <v>6625.2</v>
      </c>
      <c r="CM15">
        <f>VLOOKUP($A15&amp;CM$3&amp;CM$1,DB!$A:$J,10,0)</f>
        <v>4310.2</v>
      </c>
      <c r="CN15">
        <f>VLOOKUP($A15&amp;CN$3&amp;CN$1,DB!$A:$J,10,0)</f>
        <v>4933.1400000000003</v>
      </c>
      <c r="CO15">
        <f>VLOOKUP($A15&amp;CO$3&amp;CO$1,DB!$A:$J,10,0)</f>
        <v>6596.5</v>
      </c>
      <c r="CP15">
        <f>VLOOKUP($A15&amp;CP$3&amp;CP$1,DB!$A:$J,10,0)</f>
        <v>7228.98</v>
      </c>
      <c r="CQ15">
        <f>VLOOKUP($A15&amp;CQ$3&amp;CQ$1,DB!$A:$J,10,0)</f>
        <v>7360.24</v>
      </c>
      <c r="CR15">
        <f>VLOOKUP($A15&amp;CR$3&amp;CR$1,DB!$A:$J,10,0)</f>
        <v>9718.83</v>
      </c>
      <c r="CS15">
        <f>VLOOKUP($A15&amp;CS$3&amp;CS$1,DB!$A:$J,10,0)</f>
        <v>10708.95</v>
      </c>
      <c r="CT15">
        <f>VLOOKUP($A15&amp;CT$3&amp;CT$1,DB!$A:$J,10,0)</f>
        <v>10992.34</v>
      </c>
      <c r="CU15">
        <f>VLOOKUP($A15&amp;CU$3&amp;CU$1,DB!$A:$J,10,0)</f>
        <v>11848.71</v>
      </c>
      <c r="CV15">
        <f>VLOOKUP($A15&amp;CV$3&amp;CV$1,DB!$A:$J,10,0)</f>
        <v>12583.3</v>
      </c>
      <c r="CW15">
        <f>VLOOKUP($A15&amp;CW$3&amp;CW$1,DB!$A:$J,10,0)</f>
        <v>14862.19</v>
      </c>
      <c r="CX15">
        <f>VLOOKUP($A15&amp;CX$3&amp;CX$1,DB!$A:$J,10,0)</f>
        <v>4404.95</v>
      </c>
      <c r="CY15">
        <f>VLOOKUP($A15&amp;CY$3&amp;CY$1,DB!$A:$J,10,0)</f>
        <v>4928.78</v>
      </c>
      <c r="CZ15">
        <f>VLOOKUP($A15&amp;CZ$3&amp;CZ$1,DB!$A:$J,10,0)</f>
        <v>4693.71</v>
      </c>
      <c r="DA15">
        <f>VLOOKUP($A15&amp;DA$3&amp;DA$1,DB!$A:$J,10,0)</f>
        <v>5259.98</v>
      </c>
      <c r="DB15">
        <f>VLOOKUP($A15&amp;DB$3&amp;DB$1,DB!$A:$J,10,0)</f>
        <v>6580.34</v>
      </c>
      <c r="DC15">
        <f>VLOOKUP($A15&amp;DC$3&amp;DC$1,DB!$A:$J,10,0)</f>
        <v>7076.96</v>
      </c>
      <c r="DD15">
        <f>VLOOKUP($A15&amp;DD$3&amp;DD$1,DB!$A:$J,10,0)</f>
        <v>8103.36</v>
      </c>
      <c r="DE15">
        <f>VLOOKUP($A15&amp;DE$3&amp;DE$1,DB!$A:$J,10,0)</f>
        <v>14687.57</v>
      </c>
      <c r="DF15">
        <f>VLOOKUP($A15&amp;DF$3&amp;DF$1,DB!$A:$J,10,0)</f>
        <v>15967.85</v>
      </c>
      <c r="DG15">
        <f>VLOOKUP($A15&amp;DG$3&amp;DG$1,DB!$A:$J,10,0)</f>
        <v>15130.59</v>
      </c>
      <c r="DH15">
        <f>VLOOKUP($A15&amp;DH$3&amp;DH$1,DB!$A:$J,10,0)</f>
        <v>4404.95</v>
      </c>
      <c r="DI15">
        <f>VLOOKUP($A15&amp;DI$3&amp;DI$1,DB!$A:$J,10,0)</f>
        <v>4833.47</v>
      </c>
      <c r="DJ15">
        <f>VLOOKUP($A15&amp;DJ$3&amp;DJ$1,DB!$A:$J,10,0)</f>
        <v>4707.8900000000003</v>
      </c>
      <c r="DK15">
        <f>VLOOKUP($A15&amp;DK$3&amp;DK$1,DB!$A:$J,10,0)</f>
        <v>5259.98</v>
      </c>
      <c r="DL15">
        <f>VLOOKUP($A15&amp;DL$3&amp;DL$1,DB!$A:$J,10,0)</f>
        <v>6580.34</v>
      </c>
      <c r="DM15">
        <f>VLOOKUP($A15&amp;DM$3&amp;DM$1,DB!$A:$J,10,0)</f>
        <v>7076.96</v>
      </c>
      <c r="DN15">
        <f>VLOOKUP($A15&amp;DN$3&amp;DN$1,DB!$A:$J,10,0)</f>
        <v>8103.36</v>
      </c>
      <c r="DO15">
        <f>VLOOKUP($A15&amp;DO$3&amp;DO$1,DB!$A:$J,10,0)</f>
        <v>14687.57</v>
      </c>
      <c r="DP15">
        <f>VLOOKUP($A15&amp;DP$3&amp;DP$1,DB!$A:$J,10,0)</f>
        <v>15967.85</v>
      </c>
      <c r="DQ15">
        <f>VLOOKUP($A15&amp;DQ$3&amp;DQ$1,DB!$A:$J,10,0)</f>
        <v>15130.59</v>
      </c>
      <c r="DR15">
        <f>VLOOKUP($A15&amp;DR$3&amp;DR$1,DB!$A:$J,10,0)</f>
        <v>2680.96</v>
      </c>
      <c r="DS15">
        <f>VLOOKUP($A15&amp;DS$3&amp;DS$1,DB!$A:$J,10,0)</f>
        <v>3624.2</v>
      </c>
      <c r="DT15">
        <f>VLOOKUP($A15&amp;DT$3&amp;DT$1,DB!$A:$J,10,0)</f>
        <v>3538.53</v>
      </c>
      <c r="DU15">
        <f>VLOOKUP($A15&amp;DU$3&amp;DU$1,DB!$A:$J,10,0)</f>
        <v>4461.05</v>
      </c>
      <c r="DV15">
        <f>VLOOKUP($A15&amp;DV$3&amp;DV$1,DB!$A:$J,10,0)</f>
        <v>3817.01</v>
      </c>
      <c r="DW15">
        <f>VLOOKUP($A15&amp;DW$3&amp;DW$1,DB!$A:$J,10,0)</f>
        <v>0</v>
      </c>
      <c r="DX15">
        <f>VLOOKUP($A15&amp;DX$3&amp;DX$1,DB!$A:$J,10,0)</f>
        <v>4194.7700000000004</v>
      </c>
      <c r="DY15">
        <f>VLOOKUP($A15&amp;DY$3&amp;DY$1,DB!$A:$J,10,0)</f>
        <v>6042.46</v>
      </c>
      <c r="DZ15">
        <f>VLOOKUP($A15&amp;DZ$3&amp;DZ$1,DB!$A:$J,10,0)</f>
        <v>5829.65</v>
      </c>
      <c r="EA15">
        <f>VLOOKUP($A15&amp;EA$3&amp;EA$1,DB!$A:$J,10,0)</f>
        <v>5447.92</v>
      </c>
      <c r="EB15">
        <f>VLOOKUP($A15&amp;EB$3&amp;EB$1,DB!$A:$J,10,0)</f>
        <v>795.5</v>
      </c>
      <c r="EC15">
        <f>VLOOKUP($A15&amp;EC$3&amp;EC$1,DB!$A:$J,10,0)</f>
        <v>299.63</v>
      </c>
      <c r="ED15">
        <f>VLOOKUP($A15&amp;ED$3&amp;ED$1,DB!$A:$J,10,0)</f>
        <v>1013.33</v>
      </c>
      <c r="EE15">
        <f>VLOOKUP($A15&amp;EE$3&amp;EE$1,DB!$A:$J,10,0)</f>
        <v>798.93</v>
      </c>
      <c r="EF15">
        <f>VLOOKUP($A15&amp;EF$3&amp;EF$1,DB!$A:$J,10,0)</f>
        <v>2313.58</v>
      </c>
      <c r="EG15">
        <f>VLOOKUP($A15&amp;EG$3&amp;EG$1,DB!$A:$J,10,0)</f>
        <v>6140.45</v>
      </c>
      <c r="EH15">
        <f>VLOOKUP($A15&amp;EH$3&amp;EH$1,DB!$A:$J,10,0)</f>
        <v>980.6</v>
      </c>
      <c r="EI15">
        <f>VLOOKUP($A15&amp;EI$3&amp;EI$1,DB!$A:$J,10,0)</f>
        <v>170.83</v>
      </c>
      <c r="EJ15">
        <f>VLOOKUP($A15&amp;EJ$3&amp;EJ$1,DB!$A:$J,10,0)</f>
        <v>0</v>
      </c>
      <c r="EK15" t="e">
        <f>VLOOKUP($A15&amp;EK$3&amp;EK$1,DB!$A:$J,10,0)</f>
        <v>#N/A</v>
      </c>
    </row>
    <row r="16" spans="1:141" hidden="1" x14ac:dyDescent="0.35">
      <c r="A16" t="s">
        <v>52</v>
      </c>
      <c r="B16">
        <f>VLOOKUP($A16&amp;B$3&amp;B$1,DB!$A:$J,10,0)</f>
        <v>0.29370000000000002</v>
      </c>
      <c r="C16">
        <f>VLOOKUP($A16&amp;C$3&amp;C$1,DB!$A:$J,10,0)</f>
        <v>0.25829999999999997</v>
      </c>
      <c r="D16">
        <f>VLOOKUP($A16&amp;D$3&amp;D$1,DB!$A:$J,10,0)</f>
        <v>0.25690000000000002</v>
      </c>
      <c r="E16">
        <f>VLOOKUP($A16&amp;E$3&amp;E$1,DB!$A:$J,10,0)</f>
        <v>0.26219999999999999</v>
      </c>
      <c r="F16">
        <f>VLOOKUP($A16&amp;F$3&amp;F$1,DB!$A:$J,10,0)</f>
        <v>0.254</v>
      </c>
      <c r="G16">
        <f>VLOOKUP($A16&amp;G$3&amp;G$1,DB!$A:$J,10,0)</f>
        <v>0.26829999999999998</v>
      </c>
      <c r="H16">
        <f>VLOOKUP($A16&amp;H$3&amp;H$1,DB!$A:$J,10,0)</f>
        <v>0.25080000000000002</v>
      </c>
      <c r="I16">
        <f>VLOOKUP($A16&amp;I$3&amp;I$1,DB!$A:$J,10,0)</f>
        <v>0.25240000000000001</v>
      </c>
      <c r="J16">
        <f>VLOOKUP($A16&amp;J$3&amp;J$1,DB!$A:$J,10,0)</f>
        <v>0.31969999999999998</v>
      </c>
      <c r="K16">
        <f>VLOOKUP($A16&amp;K$3&amp;K$1,DB!$A:$J,10,0)</f>
        <v>0.25919999999999999</v>
      </c>
      <c r="L16">
        <f>VLOOKUP($A16&amp;L$3&amp;L$1,DB!$A:$J,10,0)</f>
        <v>0.69669999999999999</v>
      </c>
      <c r="M16">
        <f>VLOOKUP($A16&amp;M$3&amp;M$1,DB!$A:$J,10,0)</f>
        <v>0.70169999999999999</v>
      </c>
      <c r="N16">
        <f>VLOOKUP($A16&amp;N$3&amp;N$1,DB!$A:$J,10,0)</f>
        <v>0.64</v>
      </c>
      <c r="O16">
        <f>VLOOKUP($A16&amp;O$3&amp;O$1,DB!$A:$J,10,0)</f>
        <v>0.78310000000000002</v>
      </c>
      <c r="P16">
        <f>VLOOKUP($A16&amp;P$3&amp;P$1,DB!$A:$J,10,0)</f>
        <v>0.75760000000000005</v>
      </c>
      <c r="Q16">
        <f>VLOOKUP($A16&amp;Q$3&amp;Q$1,DB!$A:$J,10,0)</f>
        <v>0.65690000000000004</v>
      </c>
      <c r="R16">
        <f>VLOOKUP($A16&amp;R$3&amp;R$1,DB!$A:$J,10,0)</f>
        <v>0.70279999999999998</v>
      </c>
      <c r="S16">
        <f>VLOOKUP($A16&amp;S$3&amp;S$1,DB!$A:$J,10,0)</f>
        <v>0.91749999999999998</v>
      </c>
      <c r="T16">
        <f>VLOOKUP($A16&amp;T$3&amp;T$1,DB!$A:$J,10,0)</f>
        <v>0.90749999999999997</v>
      </c>
      <c r="U16">
        <f>VLOOKUP($A16&amp;U$3&amp;U$1,DB!$A:$J,10,0)</f>
        <v>0.97850000000000004</v>
      </c>
      <c r="V16">
        <f>VLOOKUP($A16&amp;V$3&amp;V$1,DB!$A:$J,10,0)</f>
        <v>0.27089999999999997</v>
      </c>
      <c r="W16">
        <f>VLOOKUP($A16&amp;W$3&amp;W$1,DB!$A:$J,10,0)</f>
        <v>0.28689999999999999</v>
      </c>
      <c r="X16">
        <f>VLOOKUP($A16&amp;X$3&amp;X$1,DB!$A:$J,10,0)</f>
        <v>0.35859999999999997</v>
      </c>
      <c r="Y16">
        <f>VLOOKUP($A16&amp;Y$3&amp;Y$1,DB!$A:$J,10,0)</f>
        <v>0.21690000000000001</v>
      </c>
      <c r="Z16">
        <f>VLOOKUP($A16&amp;Z$3&amp;Z$1,DB!$A:$J,10,0)</f>
        <v>0.22500000000000001</v>
      </c>
      <c r="AA16">
        <f>VLOOKUP($A16&amp;AA$3&amp;AA$1,DB!$A:$J,10,0)</f>
        <v>0.33810000000000001</v>
      </c>
      <c r="AB16">
        <f>VLOOKUP($A16&amp;AB$3&amp;AB$1,DB!$A:$J,10,0)</f>
        <v>0.2303</v>
      </c>
      <c r="AC16">
        <f>VLOOKUP($A16&amp;AC$3&amp;AC$1,DB!$A:$J,10,0)</f>
        <v>7.1199999999999999E-2</v>
      </c>
      <c r="AD16">
        <f>VLOOKUP($A16&amp;AD$3&amp;AD$1,DB!$A:$J,10,0)</f>
        <v>4.7500000000000001E-2</v>
      </c>
      <c r="AE16">
        <f>VLOOKUP($A16&amp;AE$3&amp;AE$1,DB!$A:$J,10,0)</f>
        <v>2.0000000000000001E-4</v>
      </c>
      <c r="AF16">
        <f>VLOOKUP($A16&amp;AF$3&amp;AF$1,DB!$A:$J,10,0)</f>
        <v>8.1900000000000001E-2</v>
      </c>
      <c r="AG16">
        <f>VLOOKUP($A16&amp;AG$3&amp;AG$1,DB!$A:$J,10,0)</f>
        <v>0.1492</v>
      </c>
      <c r="AH16">
        <f>VLOOKUP($A16&amp;AH$3&amp;AH$1,DB!$A:$J,10,0)</f>
        <v>0.47260000000000002</v>
      </c>
      <c r="AI16">
        <f>VLOOKUP($A16&amp;AI$3&amp;AI$1,DB!$A:$J,10,0)</f>
        <v>0</v>
      </c>
      <c r="AJ16">
        <f>VLOOKUP($A16&amp;AJ$3&amp;AJ$1,DB!$A:$J,10,0)</f>
        <v>0</v>
      </c>
      <c r="AK16">
        <f>VLOOKUP($A16&amp;AK$3&amp;AK$1,DB!$A:$J,10,0)</f>
        <v>0.53410000000000002</v>
      </c>
      <c r="AL16">
        <f>VLOOKUP($A16&amp;AL$3&amp;AL$1,DB!$A:$J,10,0)</f>
        <v>0.44640000000000002</v>
      </c>
      <c r="AM16">
        <f>VLOOKUP($A16&amp;AM$3&amp;AM$1,DB!$A:$J,10,0)</f>
        <v>0.44629999999999997</v>
      </c>
      <c r="AN16">
        <f>VLOOKUP($A16&amp;AN$3&amp;AN$1,DB!$A:$J,10,0)</f>
        <v>0.5444</v>
      </c>
      <c r="AO16">
        <f>VLOOKUP($A16&amp;AO$3&amp;AO$1,DB!$A:$J,10,0)</f>
        <v>0.46260000000000001</v>
      </c>
      <c r="AP16">
        <f>VLOOKUP($A16&amp;AP$3&amp;AP$1,DB!$A:$J,10,0)</f>
        <v>0.62</v>
      </c>
      <c r="AQ16">
        <f>VLOOKUP($A16&amp;AQ$3&amp;AQ$1,DB!$A:$J,10,0)</f>
        <v>0.64859999999999995</v>
      </c>
      <c r="AR16">
        <f>VLOOKUP($A16&amp;AR$3&amp;AR$1,DB!$A:$J,10,0)</f>
        <v>0.52600000000000002</v>
      </c>
      <c r="AS16">
        <f>VLOOKUP($A16&amp;AS$3&amp;AS$1,DB!$A:$J,10,0)</f>
        <v>0.57399999999999995</v>
      </c>
      <c r="AT16">
        <f>VLOOKUP($A16&amp;AT$3&amp;AT$1,DB!$A:$J,10,0)</f>
        <v>0.49509999999999998</v>
      </c>
      <c r="AU16">
        <f>VLOOKUP($A16&amp;AU$3&amp;AU$1,DB!$A:$J,10,0)</f>
        <v>0.46089999999999998</v>
      </c>
      <c r="AV16">
        <f>VLOOKUP($A16&amp;AV$3&amp;AV$1,DB!$A:$J,10,0)</f>
        <v>0.48659999999999998</v>
      </c>
      <c r="AW16">
        <f>VLOOKUP($A16&amp;AW$3&amp;AW$1,DB!$A:$J,10,0)</f>
        <v>0.54159999999999997</v>
      </c>
      <c r="AX16">
        <f>VLOOKUP($A16&amp;AX$3&amp;AX$1,DB!$A:$J,10,0)</f>
        <v>0.28710000000000002</v>
      </c>
      <c r="AY16">
        <f>VLOOKUP($A16&amp;AY$3&amp;AY$1,DB!$A:$J,10,0)</f>
        <v>0.4743</v>
      </c>
      <c r="AZ16">
        <f>VLOOKUP($A16&amp;AZ$3&amp;AZ$1,DB!$A:$J,10,0)</f>
        <v>0.15770000000000001</v>
      </c>
      <c r="BA16">
        <f>VLOOKUP($A16&amp;BA$3&amp;BA$1,DB!$A:$J,10,0)</f>
        <v>0.1515</v>
      </c>
      <c r="BB16">
        <f>VLOOKUP($A16&amp;BB$3&amp;BB$1,DB!$A:$J,10,0)</f>
        <v>0.28949999999999998</v>
      </c>
      <c r="BC16">
        <f>VLOOKUP($A16&amp;BC$3&amp;BC$1,DB!$A:$J,10,0)</f>
        <v>0.2109</v>
      </c>
      <c r="BD16">
        <f>VLOOKUP($A16&amp;BD$3&amp;BD$1,DB!$A:$J,10,0)</f>
        <v>0.28010000000000002</v>
      </c>
      <c r="BE16">
        <f>VLOOKUP($A16&amp;BE$3&amp;BE$1,DB!$A:$J,10,0)</f>
        <v>0</v>
      </c>
      <c r="BF16">
        <f>VLOOKUP($A16&amp;BF$3&amp;BF$1,DB!$A:$J,10,0)</f>
        <v>0.32890000000000003</v>
      </c>
      <c r="BG16">
        <f>VLOOKUP($A16&amp;BG$3&amp;BG$1,DB!$A:$J,10,0)</f>
        <v>0.31709999999999999</v>
      </c>
      <c r="BH16">
        <f>VLOOKUP($A16&amp;BH$3&amp;BH$1,DB!$A:$J,10,0)</f>
        <v>0.28699999999999998</v>
      </c>
      <c r="BI16">
        <f>VLOOKUP($A16&amp;BI$3&amp;BI$1,DB!$A:$J,10,0)</f>
        <v>0.34239999999999998</v>
      </c>
      <c r="BJ16">
        <f>VLOOKUP($A16&amp;BJ$3&amp;BJ$1,DB!$A:$J,10,0)</f>
        <v>0.78480000000000005</v>
      </c>
      <c r="BK16">
        <f>VLOOKUP($A16&amp;BK$3&amp;BK$1,DB!$A:$J,10,0)</f>
        <v>0.45760000000000001</v>
      </c>
      <c r="BL16">
        <f>VLOOKUP($A16&amp;BL$3&amp;BL$1,DB!$A:$J,10,0)</f>
        <v>0.43130000000000002</v>
      </c>
      <c r="BM16">
        <f>VLOOKUP($A16&amp;BM$3&amp;BM$1,DB!$A:$J,10,0)</f>
        <v>0.43980000000000002</v>
      </c>
      <c r="BN16">
        <f>VLOOKUP($A16&amp;BN$3&amp;BN$1,DB!$A:$J,10,0)</f>
        <v>0.4582</v>
      </c>
      <c r="BO16">
        <f>VLOOKUP($A16&amp;BO$3&amp;BO$1,DB!$A:$J,10,0)</f>
        <v>0</v>
      </c>
      <c r="BP16">
        <f>VLOOKUP($A16&amp;BP$3&amp;BP$1,DB!$A:$J,10,0)</f>
        <v>0.53759999999999997</v>
      </c>
      <c r="BQ16">
        <f>VLOOKUP($A16&amp;BQ$3&amp;BQ$1,DB!$A:$J,10,0)</f>
        <v>0.57330000000000003</v>
      </c>
      <c r="BR16">
        <f>VLOOKUP($A16&amp;BR$3&amp;BR$1,DB!$A:$J,10,0)</f>
        <v>0.48820000000000002</v>
      </c>
      <c r="BS16">
        <f>VLOOKUP($A16&amp;BS$3&amp;BS$1,DB!$A:$J,10,0)</f>
        <v>0.44990000000000002</v>
      </c>
      <c r="BT16">
        <f>VLOOKUP($A16&amp;BT$3&amp;BT$1,DB!$A:$J,10,0)</f>
        <v>0.2351</v>
      </c>
      <c r="BU16">
        <f>VLOOKUP($A16&amp;BU$3&amp;BU$1,DB!$A:$J,10,0)</f>
        <v>0.25059999999999999</v>
      </c>
      <c r="BV16">
        <f>VLOOKUP($A16&amp;BV$3&amp;BV$1,DB!$A:$J,10,0)</f>
        <v>0.25509999999999999</v>
      </c>
      <c r="BW16">
        <f>VLOOKUP($A16&amp;BW$3&amp;BW$1,DB!$A:$J,10,0)</f>
        <v>0.2833</v>
      </c>
      <c r="BX16">
        <f>VLOOKUP($A16&amp;BX$3&amp;BX$1,DB!$A:$J,10,0)</f>
        <v>0.20899999999999999</v>
      </c>
      <c r="BY16">
        <f>VLOOKUP($A16&amp;BY$3&amp;BY$1,DB!$A:$J,10,0)</f>
        <v>0</v>
      </c>
      <c r="BZ16">
        <f>VLOOKUP($A16&amp;BZ$3&amp;BZ$1,DB!$A:$J,10,0)</f>
        <v>0.24440000000000001</v>
      </c>
      <c r="CA16">
        <f>VLOOKUP($A16&amp;CA$3&amp;CA$1,DB!$A:$J,10,0)</f>
        <v>0.1673</v>
      </c>
      <c r="CB16">
        <f>VLOOKUP($A16&amp;CB$3&amp;CB$1,DB!$A:$J,10,0)</f>
        <v>0.2165</v>
      </c>
      <c r="CC16">
        <f>VLOOKUP($A16&amp;CC$3&amp;CC$1,DB!$A:$J,10,0)</f>
        <v>0.1883</v>
      </c>
      <c r="CD16">
        <f>VLOOKUP($A16&amp;CD$3&amp;CD$1,DB!$A:$J,10,0)</f>
        <v>2120.83</v>
      </c>
      <c r="CE16">
        <f>VLOOKUP($A16&amp;CE$3&amp;CE$1,DB!$A:$J,10,0)</f>
        <v>2691.12</v>
      </c>
      <c r="CF16">
        <f>VLOOKUP($A16&amp;CF$3&amp;CF$1,DB!$A:$J,10,0)</f>
        <v>3638.88</v>
      </c>
      <c r="CG16">
        <f>VLOOKUP($A16&amp;CG$3&amp;CG$1,DB!$A:$J,10,0)</f>
        <v>2650.3</v>
      </c>
      <c r="CH16">
        <f>VLOOKUP($A16&amp;CH$3&amp;CH$1,DB!$A:$J,10,0)</f>
        <v>4053.78</v>
      </c>
      <c r="CI16">
        <f>VLOOKUP($A16&amp;CI$3&amp;CI$1,DB!$A:$J,10,0)</f>
        <v>5266.92</v>
      </c>
      <c r="CJ16">
        <f>VLOOKUP($A16&amp;CJ$3&amp;CJ$1,DB!$A:$J,10,0)</f>
        <v>5230.1899999999996</v>
      </c>
      <c r="CK16">
        <f>VLOOKUP($A16&amp;CK$3&amp;CK$1,DB!$A:$J,10,0)</f>
        <v>6631.66</v>
      </c>
      <c r="CL16">
        <f>VLOOKUP($A16&amp;CL$3&amp;CL$1,DB!$A:$J,10,0)</f>
        <v>7893.97</v>
      </c>
      <c r="CM16">
        <f>VLOOKUP($A16&amp;CM$3&amp;CM$1,DB!$A:$J,10,0)</f>
        <v>9298.7199999999993</v>
      </c>
      <c r="CN16">
        <f>VLOOKUP($A16&amp;CN$3&amp;CN$1,DB!$A:$J,10,0)</f>
        <v>9507.4500000000007</v>
      </c>
      <c r="CO16">
        <f>VLOOKUP($A16&amp;CO$3&amp;CO$1,DB!$A:$J,10,0)</f>
        <v>7864.53</v>
      </c>
      <c r="CP16">
        <f>VLOOKUP($A16&amp;CP$3&amp;CP$1,DB!$A:$J,10,0)</f>
        <v>6235.58</v>
      </c>
      <c r="CQ16">
        <f>VLOOKUP($A16&amp;CQ$3&amp;CQ$1,DB!$A:$J,10,0)</f>
        <v>7699.39</v>
      </c>
      <c r="CR16">
        <f>VLOOKUP($A16&amp;CR$3&amp;CR$1,DB!$A:$J,10,0)</f>
        <v>8444.99</v>
      </c>
      <c r="CS16">
        <f>VLOOKUP($A16&amp;CS$3&amp;CS$1,DB!$A:$J,10,0)</f>
        <v>8830.34</v>
      </c>
      <c r="CT16">
        <f>VLOOKUP($A16&amp;CT$3&amp;CT$1,DB!$A:$J,10,0)</f>
        <v>12222.23</v>
      </c>
      <c r="CU16">
        <f>VLOOKUP($A16&amp;CU$3&amp;CU$1,DB!$A:$J,10,0)</f>
        <v>13299.91</v>
      </c>
      <c r="CV16">
        <f>VLOOKUP($A16&amp;CV$3&amp;CV$1,DB!$A:$J,10,0)</f>
        <v>15692.89</v>
      </c>
      <c r="CW16">
        <f>VLOOKUP($A16&amp;CW$3&amp;CW$1,DB!$A:$J,10,0)</f>
        <v>16642.919999999998</v>
      </c>
      <c r="CX16">
        <f>VLOOKUP($A16&amp;CX$3&amp;CX$1,DB!$A:$J,10,0)</f>
        <v>5825.21</v>
      </c>
      <c r="CY16">
        <f>VLOOKUP($A16&amp;CY$3&amp;CY$1,DB!$A:$J,10,0)</f>
        <v>5290.05</v>
      </c>
      <c r="CZ16">
        <f>VLOOKUP($A16&amp;CZ$3&amp;CZ$1,DB!$A:$J,10,0)</f>
        <v>4540.92</v>
      </c>
      <c r="DA16">
        <f>VLOOKUP($A16&amp;DA$3&amp;DA$1,DB!$A:$J,10,0)</f>
        <v>4639.32</v>
      </c>
      <c r="DB16">
        <f>VLOOKUP($A16&amp;DB$3&amp;DB$1,DB!$A:$J,10,0)</f>
        <v>5758.01</v>
      </c>
      <c r="DC16">
        <f>VLOOKUP($A16&amp;DC$3&amp;DC$1,DB!$A:$J,10,0)</f>
        <v>6427.93</v>
      </c>
      <c r="DD16">
        <f>VLOOKUP($A16&amp;DD$3&amp;DD$1,DB!$A:$J,10,0)</f>
        <v>8718.64</v>
      </c>
      <c r="DE16">
        <f>VLOOKUP($A16&amp;DE$3&amp;DE$1,DB!$A:$J,10,0)</f>
        <v>10310.969999999999</v>
      </c>
      <c r="DF16">
        <f>VLOOKUP($A16&amp;DF$3&amp;DF$1,DB!$A:$J,10,0)</f>
        <v>13976.02</v>
      </c>
      <c r="DG16">
        <f>VLOOKUP($A16&amp;DG$3&amp;DG$1,DB!$A:$J,10,0)</f>
        <v>15661.43</v>
      </c>
      <c r="DH16">
        <f>VLOOKUP($A16&amp;DH$3&amp;DH$1,DB!$A:$J,10,0)</f>
        <v>5825.21</v>
      </c>
      <c r="DI16">
        <f>VLOOKUP($A16&amp;DI$3&amp;DI$1,DB!$A:$J,10,0)</f>
        <v>5290.05</v>
      </c>
      <c r="DJ16">
        <f>VLOOKUP($A16&amp;DJ$3&amp;DJ$1,DB!$A:$J,10,0)</f>
        <v>4540.92</v>
      </c>
      <c r="DK16">
        <f>VLOOKUP($A16&amp;DK$3&amp;DK$1,DB!$A:$J,10,0)</f>
        <v>4639.32</v>
      </c>
      <c r="DL16">
        <f>VLOOKUP($A16&amp;DL$3&amp;DL$1,DB!$A:$J,10,0)</f>
        <v>5758.01</v>
      </c>
      <c r="DM16">
        <f>VLOOKUP($A16&amp;DM$3&amp;DM$1,DB!$A:$J,10,0)</f>
        <v>6427.93</v>
      </c>
      <c r="DN16">
        <f>VLOOKUP($A16&amp;DN$3&amp;DN$1,DB!$A:$J,10,0)</f>
        <v>8718.64</v>
      </c>
      <c r="DO16">
        <f>VLOOKUP($A16&amp;DO$3&amp;DO$1,DB!$A:$J,10,0)</f>
        <v>10310.969999999999</v>
      </c>
      <c r="DP16">
        <f>VLOOKUP($A16&amp;DP$3&amp;DP$1,DB!$A:$J,10,0)</f>
        <v>13976.02</v>
      </c>
      <c r="DQ16">
        <f>VLOOKUP($A16&amp;DQ$3&amp;DQ$1,DB!$A:$J,10,0)</f>
        <v>15661.43</v>
      </c>
      <c r="DR16">
        <f>VLOOKUP($A16&amp;DR$3&amp;DR$1,DB!$A:$J,10,0)</f>
        <v>1900.47</v>
      </c>
      <c r="DS16">
        <f>VLOOKUP($A16&amp;DS$3&amp;DS$1,DB!$A:$J,10,0)</f>
        <v>2403.02</v>
      </c>
      <c r="DT16">
        <f>VLOOKUP($A16&amp;DT$3&amp;DT$1,DB!$A:$J,10,0)</f>
        <v>2362.44</v>
      </c>
      <c r="DU16">
        <f>VLOOKUP($A16&amp;DU$3&amp;DU$1,DB!$A:$J,10,0)</f>
        <v>2915.53</v>
      </c>
      <c r="DV16">
        <f>VLOOKUP($A16&amp;DV$3&amp;DV$1,DB!$A:$J,10,0)</f>
        <v>3735.15</v>
      </c>
      <c r="DW16">
        <f>VLOOKUP($A16&amp;DW$3&amp;DW$1,DB!$A:$J,10,0)</f>
        <v>0</v>
      </c>
      <c r="DX16">
        <f>VLOOKUP($A16&amp;DX$3&amp;DX$1,DB!$A:$J,10,0)</f>
        <v>3975.86</v>
      </c>
      <c r="DY16">
        <f>VLOOKUP($A16&amp;DY$3&amp;DY$1,DB!$A:$J,10,0)</f>
        <v>5820.17</v>
      </c>
      <c r="DZ16">
        <f>VLOOKUP($A16&amp;DZ$3&amp;DZ$1,DB!$A:$J,10,0)</f>
        <v>4787.82</v>
      </c>
      <c r="EA16">
        <f>VLOOKUP($A16&amp;EA$3&amp;EA$1,DB!$A:$J,10,0)</f>
        <v>6820.11</v>
      </c>
      <c r="EB16">
        <f>VLOOKUP($A16&amp;EB$3&amp;EB$1,DB!$A:$J,10,0)</f>
        <v>1710.54</v>
      </c>
      <c r="EC16">
        <f>VLOOKUP($A16&amp;EC$3&amp;EC$1,DB!$A:$J,10,0)</f>
        <v>1707.2</v>
      </c>
      <c r="ED16">
        <f>VLOOKUP($A16&amp;ED$3&amp;ED$1,DB!$A:$J,10,0)</f>
        <v>1308.71</v>
      </c>
      <c r="EE16">
        <f>VLOOKUP($A16&amp;EE$3&amp;EE$1,DB!$A:$J,10,0)</f>
        <v>1318.48</v>
      </c>
      <c r="EF16">
        <f>VLOOKUP($A16&amp;EF$3&amp;EF$1,DB!$A:$J,10,0)</f>
        <v>1103.3</v>
      </c>
      <c r="EG16">
        <f>VLOOKUP($A16&amp;EG$3&amp;EG$1,DB!$A:$J,10,0)</f>
        <v>3863.72</v>
      </c>
      <c r="EH16">
        <f>VLOOKUP($A16&amp;EH$3&amp;EH$1,DB!$A:$J,10,0)</f>
        <v>441.44</v>
      </c>
      <c r="EI16">
        <f>VLOOKUP($A16&amp;EI$3&amp;EI$1,DB!$A:$J,10,0)</f>
        <v>116.23</v>
      </c>
      <c r="EJ16">
        <f>VLOOKUP($A16&amp;EJ$3&amp;EJ$1,DB!$A:$J,10,0)</f>
        <v>0</v>
      </c>
      <c r="EK16">
        <f>VLOOKUP($A16&amp;EK$3&amp;EK$1,DB!$A:$J,10,0)</f>
        <v>0</v>
      </c>
    </row>
    <row r="17" spans="1:141" hidden="1" x14ac:dyDescent="0.35">
      <c r="A17" t="s">
        <v>53</v>
      </c>
      <c r="B17">
        <f>VLOOKUP($A17&amp;B$3&amp;B$1,DB!$A:$J,10,0)</f>
        <v>0.28620000000000001</v>
      </c>
      <c r="C17">
        <f>VLOOKUP($A17&amp;C$3&amp;C$1,DB!$A:$J,10,0)</f>
        <v>0.25040000000000001</v>
      </c>
      <c r="D17">
        <f>VLOOKUP($A17&amp;D$3&amp;D$1,DB!$A:$J,10,0)</f>
        <v>0.30909999999999999</v>
      </c>
      <c r="E17">
        <f>VLOOKUP($A17&amp;E$3&amp;E$1,DB!$A:$J,10,0)</f>
        <v>0.34610000000000002</v>
      </c>
      <c r="F17">
        <f>VLOOKUP($A17&amp;F$3&amp;F$1,DB!$A:$J,10,0)</f>
        <v>0.29320000000000002</v>
      </c>
      <c r="G17">
        <f>VLOOKUP($A17&amp;G$3&amp;G$1,DB!$A:$J,10,0)</f>
        <v>0.26729999999999998</v>
      </c>
      <c r="H17">
        <f>VLOOKUP($A17&amp;H$3&amp;H$1,DB!$A:$J,10,0)</f>
        <v>0.25030000000000002</v>
      </c>
      <c r="I17">
        <f>VLOOKUP($A17&amp;I$3&amp;I$1,DB!$A:$J,10,0)</f>
        <v>0.2626</v>
      </c>
      <c r="J17">
        <f>VLOOKUP($A17&amp;J$3&amp;J$1,DB!$A:$J,10,0)</f>
        <v>0.29549999999999998</v>
      </c>
      <c r="K17">
        <f>VLOOKUP($A17&amp;K$3&amp;K$1,DB!$A:$J,10,0)</f>
        <v>0.25059999999999999</v>
      </c>
      <c r="L17">
        <f>VLOOKUP($A17&amp;L$3&amp;L$1,DB!$A:$J,10,0)</f>
        <v>0.77549999999999997</v>
      </c>
      <c r="M17">
        <f>VLOOKUP($A17&amp;M$3&amp;M$1,DB!$A:$J,10,0)</f>
        <v>0.73839999999999995</v>
      </c>
      <c r="N17">
        <f>VLOOKUP($A17&amp;N$3&amp;N$1,DB!$A:$J,10,0)</f>
        <v>0.87590000000000001</v>
      </c>
      <c r="O17">
        <f>VLOOKUP($A17&amp;O$3&amp;O$1,DB!$A:$J,10,0)</f>
        <v>0.96850000000000003</v>
      </c>
      <c r="P17">
        <f>VLOOKUP($A17&amp;P$3&amp;P$1,DB!$A:$J,10,0)</f>
        <v>0.96409999999999996</v>
      </c>
      <c r="Q17">
        <f>VLOOKUP($A17&amp;Q$3&amp;Q$1,DB!$A:$J,10,0)</f>
        <v>0.89790000000000003</v>
      </c>
      <c r="R17">
        <f>VLOOKUP($A17&amp;R$3&amp;R$1,DB!$A:$J,10,0)</f>
        <v>0.70630000000000004</v>
      </c>
      <c r="S17">
        <f>VLOOKUP($A17&amp;S$3&amp;S$1,DB!$A:$J,10,0)</f>
        <v>0.92889999999999995</v>
      </c>
      <c r="T17">
        <f>VLOOKUP($A17&amp;T$3&amp;T$1,DB!$A:$J,10,0)</f>
        <v>0.72260000000000002</v>
      </c>
      <c r="U17">
        <f>VLOOKUP($A17&amp;U$3&amp;U$1,DB!$A:$J,10,0)</f>
        <v>0.83860000000000001</v>
      </c>
      <c r="V17">
        <f>VLOOKUP($A17&amp;V$3&amp;V$1,DB!$A:$J,10,0)</f>
        <v>0.22450000000000001</v>
      </c>
      <c r="W17">
        <f>VLOOKUP($A17&amp;W$3&amp;W$1,DB!$A:$J,10,0)</f>
        <v>0.2616</v>
      </c>
      <c r="X17">
        <f>VLOOKUP($A17&amp;X$3&amp;X$1,DB!$A:$J,10,0)</f>
        <v>0.12139999999999999</v>
      </c>
      <c r="Y17">
        <f>VLOOKUP($A17&amp;Y$3&amp;Y$1,DB!$A:$J,10,0)</f>
        <v>3.1300000000000001E-2</v>
      </c>
      <c r="Z17">
        <f>VLOOKUP($A17&amp;Z$3&amp;Z$1,DB!$A:$J,10,0)</f>
        <v>3.5900000000000001E-2</v>
      </c>
      <c r="AA17">
        <f>VLOOKUP($A17&amp;AA$3&amp;AA$1,DB!$A:$J,10,0)</f>
        <v>7.1800000000000003E-2</v>
      </c>
      <c r="AB17">
        <f>VLOOKUP($A17&amp;AB$3&amp;AB$1,DB!$A:$J,10,0)</f>
        <v>0.2571</v>
      </c>
      <c r="AC17">
        <f>VLOOKUP($A17&amp;AC$3&amp;AC$1,DB!$A:$J,10,0)</f>
        <v>6.7799999999999999E-2</v>
      </c>
      <c r="AD17">
        <f>VLOOKUP($A17&amp;AD$3&amp;AD$1,DB!$A:$J,10,0)</f>
        <v>0.15240000000000001</v>
      </c>
      <c r="AE17">
        <f>VLOOKUP($A17&amp;AE$3&amp;AE$1,DB!$A:$J,10,0)</f>
        <v>0.1229</v>
      </c>
      <c r="AF17">
        <f>VLOOKUP($A17&amp;AF$3&amp;AF$1,DB!$A:$J,10,0)</f>
        <v>8.1799999999999998E-2</v>
      </c>
      <c r="AG17">
        <f>VLOOKUP($A17&amp;AG$3&amp;AG$1,DB!$A:$J,10,0)</f>
        <v>3.73E-2</v>
      </c>
      <c r="AH17">
        <f>VLOOKUP($A17&amp;AH$3&amp;AH$1,DB!$A:$J,10,0)</f>
        <v>0.30669999999999997</v>
      </c>
      <c r="AI17">
        <f>VLOOKUP($A17&amp;AI$3&amp;AI$1,DB!$A:$J,10,0)</f>
        <v>0</v>
      </c>
      <c r="AJ17">
        <f>VLOOKUP($A17&amp;AJ$3&amp;AJ$1,DB!$A:$J,10,0)</f>
        <v>0</v>
      </c>
      <c r="AK17">
        <f>VLOOKUP($A17&amp;AK$3&amp;AK$1,DB!$A:$J,10,0)</f>
        <v>0.29120000000000001</v>
      </c>
      <c r="AL17">
        <f>VLOOKUP($A17&amp;AL$3&amp;AL$1,DB!$A:$J,10,0)</f>
        <v>0.21099999999999999</v>
      </c>
      <c r="AM17">
        <f>VLOOKUP($A17&amp;AM$3&amp;AM$1,DB!$A:$J,10,0)</f>
        <v>0.17929999999999999</v>
      </c>
      <c r="AN17">
        <f>VLOOKUP($A17&amp;AN$3&amp;AN$1,DB!$A:$J,10,0)</f>
        <v>0.1648</v>
      </c>
      <c r="AO17">
        <f>VLOOKUP($A17&amp;AO$3&amp;AO$1,DB!$A:$J,10,0)</f>
        <v>0.19839999999999999</v>
      </c>
      <c r="AP17">
        <f>VLOOKUP($A17&amp;AP$3&amp;AP$1,DB!$A:$J,10,0)</f>
        <v>0.73</v>
      </c>
      <c r="AQ17">
        <f>VLOOKUP($A17&amp;AQ$3&amp;AQ$1,DB!$A:$J,10,0)</f>
        <v>0.65669999999999995</v>
      </c>
      <c r="AR17">
        <f>VLOOKUP($A17&amp;AR$3&amp;AR$1,DB!$A:$J,10,0)</f>
        <v>0.6905</v>
      </c>
      <c r="AS17">
        <f>VLOOKUP($A17&amp;AS$3&amp;AS$1,DB!$A:$J,10,0)</f>
        <v>0.66869999999999996</v>
      </c>
      <c r="AT17">
        <f>VLOOKUP($A17&amp;AT$3&amp;AT$1,DB!$A:$J,10,0)</f>
        <v>0.73340000000000005</v>
      </c>
      <c r="AU17">
        <f>VLOOKUP($A17&amp;AU$3&amp;AU$1,DB!$A:$J,10,0)</f>
        <v>0.67849999999999999</v>
      </c>
      <c r="AV17">
        <f>VLOOKUP($A17&amp;AV$3&amp;AV$1,DB!$A:$J,10,0)</f>
        <v>0.75239999999999996</v>
      </c>
      <c r="AW17">
        <f>VLOOKUP($A17&amp;AW$3&amp;AW$1,DB!$A:$J,10,0)</f>
        <v>0.81730000000000003</v>
      </c>
      <c r="AX17">
        <f>VLOOKUP($A17&amp;AX$3&amp;AX$1,DB!$A:$J,10,0)</f>
        <v>0.68140000000000001</v>
      </c>
      <c r="AY17">
        <f>VLOOKUP($A17&amp;AY$3&amp;AY$1,DB!$A:$J,10,0)</f>
        <v>0.75149999999999995</v>
      </c>
      <c r="AZ17">
        <f>VLOOKUP($A17&amp;AZ$3&amp;AZ$1,DB!$A:$J,10,0)</f>
        <v>0.18129999999999999</v>
      </c>
      <c r="BA17">
        <f>VLOOKUP($A17&amp;BA$3&amp;BA$1,DB!$A:$J,10,0)</f>
        <v>0.2954</v>
      </c>
      <c r="BB17">
        <f>VLOOKUP($A17&amp;BB$3&amp;BB$1,DB!$A:$J,10,0)</f>
        <v>0.26540000000000002</v>
      </c>
      <c r="BC17">
        <f>VLOOKUP($A17&amp;BC$3&amp;BC$1,DB!$A:$J,10,0)</f>
        <v>0.28189999999999998</v>
      </c>
      <c r="BD17">
        <f>VLOOKUP($A17&amp;BD$3&amp;BD$1,DB!$A:$J,10,0)</f>
        <v>0.29409999999999997</v>
      </c>
      <c r="BE17">
        <f>VLOOKUP($A17&amp;BE$3&amp;BE$1,DB!$A:$J,10,0)</f>
        <v>0</v>
      </c>
      <c r="BF17">
        <f>VLOOKUP($A17&amp;BF$3&amp;BF$1,DB!$A:$J,10,0)</f>
        <v>0.26419999999999999</v>
      </c>
      <c r="BG17">
        <f>VLOOKUP($A17&amp;BG$3&amp;BG$1,DB!$A:$J,10,0)</f>
        <v>0.17230000000000001</v>
      </c>
      <c r="BH17">
        <f>VLOOKUP($A17&amp;BH$3&amp;BH$1,DB!$A:$J,10,0)</f>
        <v>0.22689999999999999</v>
      </c>
      <c r="BI17">
        <f>VLOOKUP($A17&amp;BI$3&amp;BI$1,DB!$A:$J,10,0)</f>
        <v>0.2258</v>
      </c>
      <c r="BJ17">
        <f>VLOOKUP($A17&amp;BJ$3&amp;BJ$1,DB!$A:$J,10,0)</f>
        <v>0.74309999999999998</v>
      </c>
      <c r="BK17">
        <f>VLOOKUP($A17&amp;BK$3&amp;BK$1,DB!$A:$J,10,0)</f>
        <v>0.62960000000000005</v>
      </c>
      <c r="BL17">
        <f>VLOOKUP($A17&amp;BL$3&amp;BL$1,DB!$A:$J,10,0)</f>
        <v>0.64800000000000002</v>
      </c>
      <c r="BM17">
        <f>VLOOKUP($A17&amp;BM$3&amp;BM$1,DB!$A:$J,10,0)</f>
        <v>0.60609999999999997</v>
      </c>
      <c r="BN17">
        <f>VLOOKUP($A17&amp;BN$3&amp;BN$1,DB!$A:$J,10,0)</f>
        <v>0.61099999999999999</v>
      </c>
      <c r="BO17">
        <f>VLOOKUP($A17&amp;BO$3&amp;BO$1,DB!$A:$J,10,0)</f>
        <v>0</v>
      </c>
      <c r="BP17">
        <f>VLOOKUP($A17&amp;BP$3&amp;BP$1,DB!$A:$J,10,0)</f>
        <v>0.55030000000000001</v>
      </c>
      <c r="BQ17">
        <f>VLOOKUP($A17&amp;BQ$3&amp;BQ$1,DB!$A:$J,10,0)</f>
        <v>0.49990000000000001</v>
      </c>
      <c r="BR17">
        <f>VLOOKUP($A17&amp;BR$3&amp;BR$1,DB!$A:$J,10,0)</f>
        <v>0.62929999999999997</v>
      </c>
      <c r="BS17">
        <f>VLOOKUP($A17&amp;BS$3&amp;BS$1,DB!$A:$J,10,0)</f>
        <v>0.61309999999999998</v>
      </c>
      <c r="BT17">
        <f>VLOOKUP($A17&amp;BT$3&amp;BT$1,DB!$A:$J,10,0)</f>
        <v>0.22159999999999999</v>
      </c>
      <c r="BU17">
        <f>VLOOKUP($A17&amp;BU$3&amp;BU$1,DB!$A:$J,10,0)</f>
        <v>0.17860000000000001</v>
      </c>
      <c r="BV17">
        <f>VLOOKUP($A17&amp;BV$3&amp;BV$1,DB!$A:$J,10,0)</f>
        <v>0.2114</v>
      </c>
      <c r="BW17">
        <f>VLOOKUP($A17&amp;BW$3&amp;BW$1,DB!$A:$J,10,0)</f>
        <v>0.18940000000000001</v>
      </c>
      <c r="BX17">
        <f>VLOOKUP($A17&amp;BX$3&amp;BX$1,DB!$A:$J,10,0)</f>
        <v>0.2031</v>
      </c>
      <c r="BY17">
        <f>VLOOKUP($A17&amp;BY$3&amp;BY$1,DB!$A:$J,10,0)</f>
        <v>0</v>
      </c>
      <c r="BZ17">
        <f>VLOOKUP($A17&amp;BZ$3&amp;BZ$1,DB!$A:$J,10,0)</f>
        <v>0.24759999999999999</v>
      </c>
      <c r="CA17">
        <f>VLOOKUP($A17&amp;CA$3&amp;CA$1,DB!$A:$J,10,0)</f>
        <v>0.23139999999999999</v>
      </c>
      <c r="CB17">
        <f>VLOOKUP($A17&amp;CB$3&amp;CB$1,DB!$A:$J,10,0)</f>
        <v>0.17649999999999999</v>
      </c>
      <c r="CC17">
        <f>VLOOKUP($A17&amp;CC$3&amp;CC$1,DB!$A:$J,10,0)</f>
        <v>0.1623</v>
      </c>
      <c r="CD17">
        <f>VLOOKUP($A17&amp;CD$3&amp;CD$1,DB!$A:$J,10,0)</f>
        <v>1909.95</v>
      </c>
      <c r="CE17">
        <f>VLOOKUP($A17&amp;CE$3&amp;CE$1,DB!$A:$J,10,0)</f>
        <v>4657.3599999999997</v>
      </c>
      <c r="CF17">
        <f>VLOOKUP($A17&amp;CF$3&amp;CF$1,DB!$A:$J,10,0)</f>
        <v>4591.74</v>
      </c>
      <c r="CG17">
        <f>VLOOKUP($A17&amp;CG$3&amp;CG$1,DB!$A:$J,10,0)</f>
        <v>5099.3999999999996</v>
      </c>
      <c r="CH17">
        <f>VLOOKUP($A17&amp;CH$3&amp;CH$1,DB!$A:$J,10,0)</f>
        <v>5476.66</v>
      </c>
      <c r="CI17">
        <f>VLOOKUP($A17&amp;CI$3&amp;CI$1,DB!$A:$J,10,0)</f>
        <v>5002.47</v>
      </c>
      <c r="CJ17">
        <f>VLOOKUP($A17&amp;CJ$3&amp;CJ$1,DB!$A:$J,10,0)</f>
        <v>6294.45</v>
      </c>
      <c r="CK17">
        <f>VLOOKUP($A17&amp;CK$3&amp;CK$1,DB!$A:$J,10,0)</f>
        <v>5428.79</v>
      </c>
      <c r="CL17">
        <f>VLOOKUP($A17&amp;CL$3&amp;CL$1,DB!$A:$J,10,0)</f>
        <v>6899.04</v>
      </c>
      <c r="CM17">
        <f>VLOOKUP($A17&amp;CM$3&amp;CM$1,DB!$A:$J,10,0)</f>
        <v>6901.33</v>
      </c>
      <c r="CN17">
        <f>VLOOKUP($A17&amp;CN$3&amp;CN$1,DB!$A:$J,10,0)</f>
        <v>7606.31</v>
      </c>
      <c r="CO17">
        <f>VLOOKUP($A17&amp;CO$3&amp;CO$1,DB!$A:$J,10,0)</f>
        <v>6604.35</v>
      </c>
      <c r="CP17">
        <f>VLOOKUP($A17&amp;CP$3&amp;CP$1,DB!$A:$J,10,0)</f>
        <v>7193.35</v>
      </c>
      <c r="CQ17">
        <f>VLOOKUP($A17&amp;CQ$3&amp;CQ$1,DB!$A:$J,10,0)</f>
        <v>6558.61</v>
      </c>
      <c r="CR17">
        <f>VLOOKUP($A17&amp;CR$3&amp;CR$1,DB!$A:$J,10,0)</f>
        <v>6793.61</v>
      </c>
      <c r="CS17">
        <f>VLOOKUP($A17&amp;CS$3&amp;CS$1,DB!$A:$J,10,0)</f>
        <v>8428.68</v>
      </c>
      <c r="CT17">
        <f>VLOOKUP($A17&amp;CT$3&amp;CT$1,DB!$A:$J,10,0)</f>
        <v>11565.56</v>
      </c>
      <c r="CU17">
        <f>VLOOKUP($A17&amp;CU$3&amp;CU$1,DB!$A:$J,10,0)</f>
        <v>13074.85</v>
      </c>
      <c r="CV17">
        <f>VLOOKUP($A17&amp;CV$3&amp;CV$1,DB!$A:$J,10,0)</f>
        <v>18087.14</v>
      </c>
      <c r="CW17">
        <f>VLOOKUP($A17&amp;CW$3&amp;CW$1,DB!$A:$J,10,0)</f>
        <v>18918.21</v>
      </c>
      <c r="CX17">
        <f>VLOOKUP($A17&amp;CX$3&amp;CX$1,DB!$A:$J,10,0)</f>
        <v>4603.12</v>
      </c>
      <c r="CY17">
        <f>VLOOKUP($A17&amp;CY$3&amp;CY$1,DB!$A:$J,10,0)</f>
        <v>5466.01</v>
      </c>
      <c r="CZ17">
        <f>VLOOKUP($A17&amp;CZ$3&amp;CZ$1,DB!$A:$J,10,0)</f>
        <v>5864.94</v>
      </c>
      <c r="DA17">
        <f>VLOOKUP($A17&amp;DA$3&amp;DA$1,DB!$A:$J,10,0)</f>
        <v>6217.3</v>
      </c>
      <c r="DB17">
        <f>VLOOKUP($A17&amp;DB$3&amp;DB$1,DB!$A:$J,10,0)</f>
        <v>6522.78</v>
      </c>
      <c r="DC17">
        <f>VLOOKUP($A17&amp;DC$3&amp;DC$1,DB!$A:$J,10,0)</f>
        <v>7108.04</v>
      </c>
      <c r="DD17">
        <f>VLOOKUP($A17&amp;DD$3&amp;DD$1,DB!$A:$J,10,0)</f>
        <v>9753.7800000000007</v>
      </c>
      <c r="DE17">
        <f>VLOOKUP($A17&amp;DE$3&amp;DE$1,DB!$A:$J,10,0)</f>
        <v>12882.07</v>
      </c>
      <c r="DF17">
        <f>VLOOKUP($A17&amp;DF$3&amp;DF$1,DB!$A:$J,10,0)</f>
        <v>13677.52</v>
      </c>
      <c r="DG17">
        <f>VLOOKUP($A17&amp;DG$3&amp;DG$1,DB!$A:$J,10,0)</f>
        <v>14682.78</v>
      </c>
      <c r="DH17">
        <f>VLOOKUP($A17&amp;DH$3&amp;DH$1,DB!$A:$J,10,0)</f>
        <v>4603.12</v>
      </c>
      <c r="DI17">
        <f>VLOOKUP($A17&amp;DI$3&amp;DI$1,DB!$A:$J,10,0)</f>
        <v>5466.01</v>
      </c>
      <c r="DJ17">
        <f>VLOOKUP($A17&amp;DJ$3&amp;DJ$1,DB!$A:$J,10,0)</f>
        <v>5864.94</v>
      </c>
      <c r="DK17">
        <f>VLOOKUP($A17&amp;DK$3&amp;DK$1,DB!$A:$J,10,0)</f>
        <v>6217.3</v>
      </c>
      <c r="DL17">
        <f>VLOOKUP($A17&amp;DL$3&amp;DL$1,DB!$A:$J,10,0)</f>
        <v>6522.78</v>
      </c>
      <c r="DM17">
        <f>VLOOKUP($A17&amp;DM$3&amp;DM$1,DB!$A:$J,10,0)</f>
        <v>7108.04</v>
      </c>
      <c r="DN17">
        <f>VLOOKUP($A17&amp;DN$3&amp;DN$1,DB!$A:$J,10,0)</f>
        <v>9753.7800000000007</v>
      </c>
      <c r="DO17">
        <f>VLOOKUP($A17&amp;DO$3&amp;DO$1,DB!$A:$J,10,0)</f>
        <v>12882.07</v>
      </c>
      <c r="DP17">
        <f>VLOOKUP($A17&amp;DP$3&amp;DP$1,DB!$A:$J,10,0)</f>
        <v>13677.52</v>
      </c>
      <c r="DQ17">
        <f>VLOOKUP($A17&amp;DQ$3&amp;DQ$1,DB!$A:$J,10,0)</f>
        <v>14682.78</v>
      </c>
      <c r="DR17">
        <f>VLOOKUP($A17&amp;DR$3&amp;DR$1,DB!$A:$J,10,0)</f>
        <v>2420.41</v>
      </c>
      <c r="DS17">
        <f>VLOOKUP($A17&amp;DS$3&amp;DS$1,DB!$A:$J,10,0)</f>
        <v>3160.16</v>
      </c>
      <c r="DT17">
        <f>VLOOKUP($A17&amp;DT$3&amp;DT$1,DB!$A:$J,10,0)</f>
        <v>4948.47</v>
      </c>
      <c r="DU17">
        <f>VLOOKUP($A17&amp;DU$3&amp;DU$1,DB!$A:$J,10,0)</f>
        <v>5353.32</v>
      </c>
      <c r="DV17">
        <f>VLOOKUP($A17&amp;DV$3&amp;DV$1,DB!$A:$J,10,0)</f>
        <v>5303.11</v>
      </c>
      <c r="DW17">
        <f>VLOOKUP($A17&amp;DW$3&amp;DW$1,DB!$A:$J,10,0)</f>
        <v>0</v>
      </c>
      <c r="DX17">
        <f>VLOOKUP($A17&amp;DX$3&amp;DX$1,DB!$A:$J,10,0)</f>
        <v>3824.25</v>
      </c>
      <c r="DY17">
        <f>VLOOKUP($A17&amp;DY$3&amp;DY$1,DB!$A:$J,10,0)</f>
        <v>5877.89</v>
      </c>
      <c r="DZ17">
        <f>VLOOKUP($A17&amp;DZ$3&amp;DZ$1,DB!$A:$J,10,0)</f>
        <v>5629.71</v>
      </c>
      <c r="EA17">
        <f>VLOOKUP($A17&amp;EA$3&amp;EA$1,DB!$A:$J,10,0)</f>
        <v>6268.14</v>
      </c>
      <c r="EB17">
        <f>VLOOKUP($A17&amp;EB$3&amp;EB$1,DB!$A:$J,10,0)</f>
        <v>1118.8</v>
      </c>
      <c r="EC17">
        <f>VLOOKUP($A17&amp;EC$3&amp;EC$1,DB!$A:$J,10,0)</f>
        <v>1423.53</v>
      </c>
      <c r="ED17">
        <f>VLOOKUP($A17&amp;ED$3&amp;ED$1,DB!$A:$J,10,0)</f>
        <v>470.6</v>
      </c>
      <c r="EE17">
        <f>VLOOKUP($A17&amp;EE$3&amp;EE$1,DB!$A:$J,10,0)</f>
        <v>446.18</v>
      </c>
      <c r="EF17">
        <f>VLOOKUP($A17&amp;EF$3&amp;EF$1,DB!$A:$J,10,0)</f>
        <v>815.67</v>
      </c>
      <c r="EG17">
        <f>VLOOKUP($A17&amp;EG$3&amp;EG$1,DB!$A:$J,10,0)</f>
        <v>6605.37</v>
      </c>
      <c r="EH17">
        <f>VLOOKUP($A17&amp;EH$3&amp;EH$1,DB!$A:$J,10,0)</f>
        <v>694.75</v>
      </c>
      <c r="EI17">
        <f>VLOOKUP($A17&amp;EI$3&amp;EI$1,DB!$A:$J,10,0)</f>
        <v>8.1199999999999992</v>
      </c>
      <c r="EJ17">
        <f>VLOOKUP($A17&amp;EJ$3&amp;EJ$1,DB!$A:$J,10,0)</f>
        <v>90.52</v>
      </c>
      <c r="EK17">
        <f>VLOOKUP($A17&amp;EK$3&amp;EK$1,DB!$A:$J,10,0)</f>
        <v>803.64</v>
      </c>
    </row>
    <row r="18" spans="1:141" hidden="1" x14ac:dyDescent="0.35">
      <c r="A18" t="s">
        <v>54</v>
      </c>
      <c r="B18">
        <f>VLOOKUP($A18&amp;B$3&amp;B$1,DB!$A:$J,10,0)</f>
        <v>0.28029999999999999</v>
      </c>
      <c r="C18">
        <f>VLOOKUP($A18&amp;C$3&amp;C$1,DB!$A:$J,10,0)</f>
        <v>0.25109999999999999</v>
      </c>
      <c r="D18">
        <f>VLOOKUP($A18&amp;D$3&amp;D$1,DB!$A:$J,10,0)</f>
        <v>0.25569999999999998</v>
      </c>
      <c r="E18">
        <f>VLOOKUP($A18&amp;E$3&amp;E$1,DB!$A:$J,10,0)</f>
        <v>0.26719999999999999</v>
      </c>
      <c r="F18">
        <f>VLOOKUP($A18&amp;F$3&amp;F$1,DB!$A:$J,10,0)</f>
        <v>0.31490000000000001</v>
      </c>
      <c r="G18">
        <f>VLOOKUP($A18&amp;G$3&amp;G$1,DB!$A:$J,10,0)</f>
        <v>0.33910000000000001</v>
      </c>
      <c r="H18">
        <f>VLOOKUP($A18&amp;H$3&amp;H$1,DB!$A:$J,10,0)</f>
        <v>0.29380000000000001</v>
      </c>
      <c r="I18">
        <f>VLOOKUP($A18&amp;I$3&amp;I$1,DB!$A:$J,10,0)</f>
        <v>0.26750000000000002</v>
      </c>
      <c r="J18">
        <f>VLOOKUP($A18&amp;J$3&amp;J$1,DB!$A:$J,10,0)</f>
        <v>0.35920000000000002</v>
      </c>
      <c r="K18">
        <f>VLOOKUP($A18&amp;K$3&amp;K$1,DB!$A:$J,10,0)</f>
        <v>0.27129999999999999</v>
      </c>
      <c r="L18">
        <f>VLOOKUP($A18&amp;L$3&amp;L$1,DB!$A:$J,10,0)</f>
        <v>0.76190000000000002</v>
      </c>
      <c r="M18">
        <f>VLOOKUP($A18&amp;M$3&amp;M$1,DB!$A:$J,10,0)</f>
        <v>0.69450000000000001</v>
      </c>
      <c r="N18">
        <f>VLOOKUP($A18&amp;N$3&amp;N$1,DB!$A:$J,10,0)</f>
        <v>0.66379999999999995</v>
      </c>
      <c r="O18">
        <f>VLOOKUP($A18&amp;O$3&amp;O$1,DB!$A:$J,10,0)</f>
        <v>0.65080000000000005</v>
      </c>
      <c r="P18">
        <f>VLOOKUP($A18&amp;P$3&amp;P$1,DB!$A:$J,10,0)</f>
        <v>0.72009999999999996</v>
      </c>
      <c r="Q18">
        <f>VLOOKUP($A18&amp;Q$3&amp;Q$1,DB!$A:$J,10,0)</f>
        <v>0.70830000000000004</v>
      </c>
      <c r="R18">
        <f>VLOOKUP($A18&amp;R$3&amp;R$1,DB!$A:$J,10,0)</f>
        <v>0.81240000000000001</v>
      </c>
      <c r="S18">
        <f>VLOOKUP($A18&amp;S$3&amp;S$1,DB!$A:$J,10,0)</f>
        <v>0.80079999999999996</v>
      </c>
      <c r="T18">
        <f>VLOOKUP($A18&amp;T$3&amp;T$1,DB!$A:$J,10,0)</f>
        <v>0.92020000000000002</v>
      </c>
      <c r="U18">
        <f>VLOOKUP($A18&amp;U$3&amp;U$1,DB!$A:$J,10,0)</f>
        <v>0.96760000000000002</v>
      </c>
      <c r="V18">
        <f>VLOOKUP($A18&amp;V$3&amp;V$1,DB!$A:$J,10,0)</f>
        <v>0.23810000000000001</v>
      </c>
      <c r="W18">
        <f>VLOOKUP($A18&amp;W$3&amp;W$1,DB!$A:$J,10,0)</f>
        <v>0.30549999999999999</v>
      </c>
      <c r="X18">
        <f>VLOOKUP($A18&amp;X$3&amp;X$1,DB!$A:$J,10,0)</f>
        <v>0.3362</v>
      </c>
      <c r="Y18">
        <f>VLOOKUP($A18&amp;Y$3&amp;Y$1,DB!$A:$J,10,0)</f>
        <v>0.34920000000000001</v>
      </c>
      <c r="Z18">
        <f>VLOOKUP($A18&amp;Z$3&amp;Z$1,DB!$A:$J,10,0)</f>
        <v>0.27989999999999998</v>
      </c>
      <c r="AA18">
        <f>VLOOKUP($A18&amp;AA$3&amp;AA$1,DB!$A:$J,10,0)</f>
        <v>0.28860000000000002</v>
      </c>
      <c r="AB18">
        <f>VLOOKUP($A18&amp;AB$3&amp;AB$1,DB!$A:$J,10,0)</f>
        <v>0.1452</v>
      </c>
      <c r="AC18">
        <f>VLOOKUP($A18&amp;AC$3&amp;AC$1,DB!$A:$J,10,0)</f>
        <v>0.1177</v>
      </c>
      <c r="AD18">
        <f>VLOOKUP($A18&amp;AD$3&amp;AD$1,DB!$A:$J,10,0)</f>
        <v>1.9099999999999999E-2</v>
      </c>
      <c r="AE18">
        <f>VLOOKUP($A18&amp;AE$3&amp;AE$1,DB!$A:$J,10,0)</f>
        <v>4.0000000000000002E-4</v>
      </c>
      <c r="AF18">
        <f>VLOOKUP($A18&amp;AF$3&amp;AF$1,DB!$A:$J,10,0)</f>
        <v>0.128</v>
      </c>
      <c r="AG18">
        <f>VLOOKUP($A18&amp;AG$3&amp;AG$1,DB!$A:$J,10,0)</f>
        <v>8.3299999999999999E-2</v>
      </c>
      <c r="AH18">
        <f>VLOOKUP($A18&amp;AH$3&amp;AH$1,DB!$A:$J,10,0)</f>
        <v>0.29530000000000001</v>
      </c>
      <c r="AI18">
        <f>VLOOKUP($A18&amp;AI$3&amp;AI$1,DB!$A:$J,10,0)</f>
        <v>0</v>
      </c>
      <c r="AJ18">
        <f>VLOOKUP($A18&amp;AJ$3&amp;AJ$1,DB!$A:$J,10,0)</f>
        <v>0</v>
      </c>
      <c r="AK18">
        <f>VLOOKUP($A18&amp;AK$3&amp;AK$1,DB!$A:$J,10,0)</f>
        <v>0</v>
      </c>
      <c r="AL18">
        <f>VLOOKUP($A18&amp;AL$3&amp;AL$1,DB!$A:$J,10,0)</f>
        <v>8.9800000000000005E-2</v>
      </c>
      <c r="AM18">
        <f>VLOOKUP($A18&amp;AM$3&amp;AM$1,DB!$A:$J,10,0)</f>
        <v>8.6999999999999994E-2</v>
      </c>
      <c r="AN18">
        <f>VLOOKUP($A18&amp;AN$3&amp;AN$1,DB!$A:$J,10,0)</f>
        <v>9.0300000000000005E-2</v>
      </c>
      <c r="AO18">
        <f>VLOOKUP($A18&amp;AO$3&amp;AO$1,DB!$A:$J,10,0)</f>
        <v>0.1077</v>
      </c>
      <c r="AP18">
        <f>VLOOKUP($A18&amp;AP$3&amp;AP$1,DB!$A:$J,10,0)</f>
        <v>0.62470000000000003</v>
      </c>
      <c r="AQ18">
        <f>VLOOKUP($A18&amp;AQ$3&amp;AQ$1,DB!$A:$J,10,0)</f>
        <v>0.78500000000000003</v>
      </c>
      <c r="AR18">
        <f>VLOOKUP($A18&amp;AR$3&amp;AR$1,DB!$A:$J,10,0)</f>
        <v>0.70469999999999999</v>
      </c>
      <c r="AS18">
        <f>VLOOKUP($A18&amp;AS$3&amp;AS$1,DB!$A:$J,10,0)</f>
        <v>0.71450000000000002</v>
      </c>
      <c r="AT18">
        <f>VLOOKUP($A18&amp;AT$3&amp;AT$1,DB!$A:$J,10,0)</f>
        <v>0.81869999999999998</v>
      </c>
      <c r="AU18">
        <f>VLOOKUP($A18&amp;AU$3&amp;AU$1,DB!$A:$J,10,0)</f>
        <v>0.99690000000000001</v>
      </c>
      <c r="AV18">
        <f>VLOOKUP($A18&amp;AV$3&amp;AV$1,DB!$A:$J,10,0)</f>
        <v>0.86780000000000002</v>
      </c>
      <c r="AW18">
        <f>VLOOKUP($A18&amp;AW$3&amp;AW$1,DB!$A:$J,10,0)</f>
        <v>0.83150000000000002</v>
      </c>
      <c r="AX18">
        <f>VLOOKUP($A18&amp;AX$3&amp;AX$1,DB!$A:$J,10,0)</f>
        <v>0.84909999999999997</v>
      </c>
      <c r="AY18">
        <f>VLOOKUP($A18&amp;AY$3&amp;AY$1,DB!$A:$J,10,0)</f>
        <v>0.86040000000000005</v>
      </c>
      <c r="AZ18">
        <f>VLOOKUP($A18&amp;AZ$3&amp;AZ$1,DB!$A:$J,10,0)</f>
        <v>0.20610000000000001</v>
      </c>
      <c r="BA18">
        <f>VLOOKUP($A18&amp;BA$3&amp;BA$1,DB!$A:$J,10,0)</f>
        <v>0.1217</v>
      </c>
      <c r="BB18">
        <f>VLOOKUP($A18&amp;BB$3&amp;BB$1,DB!$A:$J,10,0)</f>
        <v>0.16059999999999999</v>
      </c>
      <c r="BC18">
        <f>VLOOKUP($A18&amp;BC$3&amp;BC$1,DB!$A:$J,10,0)</f>
        <v>0.13009999999999999</v>
      </c>
      <c r="BD18">
        <f>VLOOKUP($A18&amp;BD$3&amp;BD$1,DB!$A:$J,10,0)</f>
        <v>9.1800000000000007E-2</v>
      </c>
      <c r="BE18">
        <f>VLOOKUP($A18&amp;BE$3&amp;BE$1,DB!$A:$J,10,0)</f>
        <v>0</v>
      </c>
      <c r="BF18">
        <f>VLOOKUP($A18&amp;BF$3&amp;BF$1,DB!$A:$J,10,0)</f>
        <v>9.0899999999999995E-2</v>
      </c>
      <c r="BG18">
        <f>VLOOKUP($A18&amp;BG$3&amp;BG$1,DB!$A:$J,10,0)</f>
        <v>0.17419999999999999</v>
      </c>
      <c r="BH18">
        <f>VLOOKUP($A18&amp;BH$3&amp;BH$1,DB!$A:$J,10,0)</f>
        <v>7.9399999999999998E-2</v>
      </c>
      <c r="BI18">
        <f>VLOOKUP($A18&amp;BI$3&amp;BI$1,DB!$A:$J,10,0)</f>
        <v>7.0999999999999994E-2</v>
      </c>
      <c r="BJ18">
        <f>VLOOKUP($A18&amp;BJ$3&amp;BJ$1,DB!$A:$J,10,0)</f>
        <v>0.70130000000000003</v>
      </c>
      <c r="BK18">
        <f>VLOOKUP($A18&amp;BK$3&amp;BK$1,DB!$A:$J,10,0)</f>
        <v>0.72550000000000003</v>
      </c>
      <c r="BL18">
        <f>VLOOKUP($A18&amp;BL$3&amp;BL$1,DB!$A:$J,10,0)</f>
        <v>0.63959999999999995</v>
      </c>
      <c r="BM18">
        <f>VLOOKUP($A18&amp;BM$3&amp;BM$1,DB!$A:$J,10,0)</f>
        <v>0.64639999999999997</v>
      </c>
      <c r="BN18">
        <f>VLOOKUP($A18&amp;BN$3&amp;BN$1,DB!$A:$J,10,0)</f>
        <v>0.79759999999999998</v>
      </c>
      <c r="BO18">
        <f>VLOOKUP($A18&amp;BO$3&amp;BO$1,DB!$A:$J,10,0)</f>
        <v>0</v>
      </c>
      <c r="BP18">
        <f>VLOOKUP($A18&amp;BP$3&amp;BP$1,DB!$A:$J,10,0)</f>
        <v>0.72319999999999995</v>
      </c>
      <c r="BQ18">
        <f>VLOOKUP($A18&amp;BQ$3&amp;BQ$1,DB!$A:$J,10,0)</f>
        <v>0.60719999999999996</v>
      </c>
      <c r="BR18">
        <f>VLOOKUP($A18&amp;BR$3&amp;BR$1,DB!$A:$J,10,0)</f>
        <v>0.68089999999999995</v>
      </c>
      <c r="BS18">
        <f>VLOOKUP($A18&amp;BS$3&amp;BS$1,DB!$A:$J,10,0)</f>
        <v>0.62290000000000001</v>
      </c>
      <c r="BT18">
        <f>VLOOKUP($A18&amp;BT$3&amp;BT$1,DB!$A:$J,10,0)</f>
        <v>0.31840000000000002</v>
      </c>
      <c r="BU18">
        <f>VLOOKUP($A18&amp;BU$3&amp;BU$1,DB!$A:$J,10,0)</f>
        <v>0.32369999999999999</v>
      </c>
      <c r="BV18">
        <f>VLOOKUP($A18&amp;BV$3&amp;BV$1,DB!$A:$J,10,0)</f>
        <v>0.46410000000000001</v>
      </c>
      <c r="BW18">
        <f>VLOOKUP($A18&amp;BW$3&amp;BW$1,DB!$A:$J,10,0)</f>
        <v>0.28270000000000001</v>
      </c>
      <c r="BX18">
        <f>VLOOKUP($A18&amp;BX$3&amp;BX$1,DB!$A:$J,10,0)</f>
        <v>0.37830000000000003</v>
      </c>
      <c r="BY18">
        <f>VLOOKUP($A18&amp;BY$3&amp;BY$1,DB!$A:$J,10,0)</f>
        <v>0</v>
      </c>
      <c r="BZ18">
        <f>VLOOKUP($A18&amp;BZ$3&amp;BZ$1,DB!$A:$J,10,0)</f>
        <v>0.52270000000000005</v>
      </c>
      <c r="CA18">
        <f>VLOOKUP($A18&amp;CA$3&amp;CA$1,DB!$A:$J,10,0)</f>
        <v>0.29820000000000002</v>
      </c>
      <c r="CB18">
        <f>VLOOKUP($A18&amp;CB$3&amp;CB$1,DB!$A:$J,10,0)</f>
        <v>0.31740000000000002</v>
      </c>
      <c r="CC18">
        <f>VLOOKUP($A18&amp;CC$3&amp;CC$1,DB!$A:$J,10,0)</f>
        <v>0.30520000000000003</v>
      </c>
      <c r="CD18">
        <f>VLOOKUP($A18&amp;CD$3&amp;CD$1,DB!$A:$J,10,0)</f>
        <v>3578.19</v>
      </c>
      <c r="CE18">
        <f>VLOOKUP($A18&amp;CE$3&amp;CE$1,DB!$A:$J,10,0)</f>
        <v>2199.4299999999998</v>
      </c>
      <c r="CF18">
        <f>VLOOKUP($A18&amp;CF$3&amp;CF$1,DB!$A:$J,10,0)</f>
        <v>2925.79</v>
      </c>
      <c r="CG18">
        <f>VLOOKUP($A18&amp;CG$3&amp;CG$1,DB!$A:$J,10,0)</f>
        <v>2125.77</v>
      </c>
      <c r="CH18">
        <f>VLOOKUP($A18&amp;CH$3&amp;CH$1,DB!$A:$J,10,0)</f>
        <v>2034.88</v>
      </c>
      <c r="CI18">
        <f>VLOOKUP($A18&amp;CI$3&amp;CI$1,DB!$A:$J,10,0)</f>
        <v>1737.97</v>
      </c>
      <c r="CJ18">
        <f>VLOOKUP($A18&amp;CJ$3&amp;CJ$1,DB!$A:$J,10,0)</f>
        <v>2643</v>
      </c>
      <c r="CK18">
        <f>VLOOKUP($A18&amp;CK$3&amp;CK$1,DB!$A:$J,10,0)</f>
        <v>6221.12</v>
      </c>
      <c r="CL18">
        <f>VLOOKUP($A18&amp;CL$3&amp;CL$1,DB!$A:$J,10,0)</f>
        <v>3358.37</v>
      </c>
      <c r="CM18">
        <f>VLOOKUP($A18&amp;CM$3&amp;CM$1,DB!$A:$J,10,0)</f>
        <v>3220.03</v>
      </c>
      <c r="CN18">
        <f>VLOOKUP($A18&amp;CN$3&amp;CN$1,DB!$A:$J,10,0)</f>
        <v>5740.98</v>
      </c>
      <c r="CO18">
        <f>VLOOKUP($A18&amp;CO$3&amp;CO$1,DB!$A:$J,10,0)</f>
        <v>7008.69</v>
      </c>
      <c r="CP18">
        <f>VLOOKUP($A18&amp;CP$3&amp;CP$1,DB!$A:$J,10,0)</f>
        <v>6289.39</v>
      </c>
      <c r="CQ18">
        <f>VLOOKUP($A18&amp;CQ$3&amp;CQ$1,DB!$A:$J,10,0)</f>
        <v>6021.51</v>
      </c>
      <c r="CR18">
        <f>VLOOKUP($A18&amp;CR$3&amp;CR$1,DB!$A:$J,10,0)</f>
        <v>10109.68</v>
      </c>
      <c r="CS18">
        <f>VLOOKUP($A18&amp;CS$3&amp;CS$1,DB!$A:$J,10,0)</f>
        <v>11465.3</v>
      </c>
      <c r="CT18">
        <f>VLOOKUP($A18&amp;CT$3&amp;CT$1,DB!$A:$J,10,0)</f>
        <v>12274.2</v>
      </c>
      <c r="CU18">
        <f>VLOOKUP($A18&amp;CU$3&amp;CU$1,DB!$A:$J,10,0)</f>
        <v>13050.29</v>
      </c>
      <c r="CV18">
        <f>VLOOKUP($A18&amp;CV$3&amp;CV$1,DB!$A:$J,10,0)</f>
        <v>18282.73</v>
      </c>
      <c r="CW18">
        <f>VLOOKUP($A18&amp;CW$3&amp;CW$1,DB!$A:$J,10,0)</f>
        <v>19144.5</v>
      </c>
      <c r="CX18">
        <f>VLOOKUP($A18&amp;CX$3&amp;CX$1,DB!$A:$J,10,0)</f>
        <v>5047.97</v>
      </c>
      <c r="CY18">
        <f>VLOOKUP($A18&amp;CY$3&amp;CY$1,DB!$A:$J,10,0)</f>
        <v>5295.02</v>
      </c>
      <c r="CZ18">
        <f>VLOOKUP($A18&amp;CZ$3&amp;CZ$1,DB!$A:$J,10,0)</f>
        <v>4810.76</v>
      </c>
      <c r="DA18">
        <f>VLOOKUP($A18&amp;DA$3&amp;DA$1,DB!$A:$J,10,0)</f>
        <v>4419.49</v>
      </c>
      <c r="DB18">
        <f>VLOOKUP($A18&amp;DB$3&amp;DB$1,DB!$A:$J,10,0)</f>
        <v>6687.43</v>
      </c>
      <c r="DC18">
        <f>VLOOKUP($A18&amp;DC$3&amp;DC$1,DB!$A:$J,10,0)</f>
        <v>7630.33</v>
      </c>
      <c r="DD18">
        <f>VLOOKUP($A18&amp;DD$3&amp;DD$1,DB!$A:$J,10,0)</f>
        <v>10558.45</v>
      </c>
      <c r="DE18">
        <f>VLOOKUP($A18&amp;DE$3&amp;DE$1,DB!$A:$J,10,0)</f>
        <v>13416.79</v>
      </c>
      <c r="DF18">
        <f>VLOOKUP($A18&amp;DF$3&amp;DF$1,DB!$A:$J,10,0)</f>
        <v>16015.91</v>
      </c>
      <c r="DG18">
        <f>VLOOKUP($A18&amp;DG$3&amp;DG$1,DB!$A:$J,10,0)</f>
        <v>17796.48</v>
      </c>
      <c r="DH18">
        <f>VLOOKUP($A18&amp;DH$3&amp;DH$1,DB!$A:$J,10,0)</f>
        <v>5047.97</v>
      </c>
      <c r="DI18">
        <f>VLOOKUP($A18&amp;DI$3&amp;DI$1,DB!$A:$J,10,0)</f>
        <v>5295.02</v>
      </c>
      <c r="DJ18">
        <f>VLOOKUP($A18&amp;DJ$3&amp;DJ$1,DB!$A:$J,10,0)</f>
        <v>4545.63</v>
      </c>
      <c r="DK18">
        <f>VLOOKUP($A18&amp;DK$3&amp;DK$1,DB!$A:$J,10,0)</f>
        <v>4289.57</v>
      </c>
      <c r="DL18">
        <f>VLOOKUP($A18&amp;DL$3&amp;DL$1,DB!$A:$J,10,0)</f>
        <v>6427.86</v>
      </c>
      <c r="DM18">
        <f>VLOOKUP($A18&amp;DM$3&amp;DM$1,DB!$A:$J,10,0)</f>
        <v>7630.33</v>
      </c>
      <c r="DN18">
        <f>VLOOKUP($A18&amp;DN$3&amp;DN$1,DB!$A:$J,10,0)</f>
        <v>10558.45</v>
      </c>
      <c r="DO18">
        <f>VLOOKUP($A18&amp;DO$3&amp;DO$1,DB!$A:$J,10,0)</f>
        <v>13416.79</v>
      </c>
      <c r="DP18">
        <f>VLOOKUP($A18&amp;DP$3&amp;DP$1,DB!$A:$J,10,0)</f>
        <v>16015.91</v>
      </c>
      <c r="DQ18">
        <f>VLOOKUP($A18&amp;DQ$3&amp;DQ$1,DB!$A:$J,10,0)</f>
        <v>17796.48</v>
      </c>
      <c r="DR18">
        <f>VLOOKUP($A18&amp;DR$3&amp;DR$1,DB!$A:$J,10,0)</f>
        <v>3195.5</v>
      </c>
      <c r="DS18">
        <f>VLOOKUP($A18&amp;DS$3&amp;DS$1,DB!$A:$J,10,0)</f>
        <v>2975.78</v>
      </c>
      <c r="DT18">
        <f>VLOOKUP($A18&amp;DT$3&amp;DT$1,DB!$A:$J,10,0)</f>
        <v>2704.57</v>
      </c>
      <c r="DU18">
        <f>VLOOKUP($A18&amp;DU$3&amp;DU$1,DB!$A:$J,10,0)</f>
        <v>3559.5</v>
      </c>
      <c r="DV18">
        <f>VLOOKUP($A18&amp;DV$3&amp;DV$1,DB!$A:$J,10,0)</f>
        <v>5487.6</v>
      </c>
      <c r="DW18">
        <f>VLOOKUP($A18&amp;DW$3&amp;DW$1,DB!$A:$J,10,0)</f>
        <v>0</v>
      </c>
      <c r="DX18">
        <f>VLOOKUP($A18&amp;DX$3&amp;DX$1,DB!$A:$J,10,0)</f>
        <v>4910.78</v>
      </c>
      <c r="DY18">
        <f>VLOOKUP($A18&amp;DY$3&amp;DY$1,DB!$A:$J,10,0)</f>
        <v>6291.01</v>
      </c>
      <c r="DZ18">
        <f>VLOOKUP($A18&amp;DZ$3&amp;DZ$1,DB!$A:$J,10,0)</f>
        <v>7035.32</v>
      </c>
      <c r="EA18">
        <f>VLOOKUP($A18&amp;EA$3&amp;EA$1,DB!$A:$J,10,0)</f>
        <v>8990.27</v>
      </c>
      <c r="EB18">
        <f>VLOOKUP($A18&amp;EB$3&amp;EB$1,DB!$A:$J,10,0)</f>
        <v>521.99</v>
      </c>
      <c r="EC18">
        <f>VLOOKUP($A18&amp;EC$3&amp;EC$1,DB!$A:$J,10,0)</f>
        <v>1105.8800000000001</v>
      </c>
      <c r="ED18">
        <f>VLOOKUP($A18&amp;ED$3&amp;ED$1,DB!$A:$J,10,0)</f>
        <v>1946.97</v>
      </c>
      <c r="EE18">
        <f>VLOOKUP($A18&amp;EE$3&amp;EE$1,DB!$A:$J,10,0)</f>
        <v>811.91</v>
      </c>
      <c r="EF18">
        <f>VLOOKUP($A18&amp;EF$3&amp;EF$1,DB!$A:$J,10,0)</f>
        <v>1199.83</v>
      </c>
      <c r="EG18">
        <f>VLOOKUP($A18&amp;EG$3&amp;EG$1,DB!$A:$J,10,0)</f>
        <v>6255.46</v>
      </c>
      <c r="EH18">
        <f>VLOOKUP($A18&amp;EH$3&amp;EH$1,DB!$A:$J,10,0)</f>
        <v>458.92</v>
      </c>
      <c r="EI18">
        <f>VLOOKUP($A18&amp;EI$3&amp;EI$1,DB!$A:$J,10,0)</f>
        <v>199.3</v>
      </c>
      <c r="EJ18">
        <f>VLOOKUP($A18&amp;EJ$3&amp;EJ$1,DB!$A:$J,10,0)</f>
        <v>0</v>
      </c>
      <c r="EK18">
        <f>VLOOKUP($A18&amp;EK$3&amp;EK$1,DB!$A:$J,10,0)</f>
        <v>3.82</v>
      </c>
    </row>
    <row r="19" spans="1:141" hidden="1" x14ac:dyDescent="0.35">
      <c r="A19" t="s">
        <v>55</v>
      </c>
      <c r="B19">
        <f>VLOOKUP($A19&amp;B$3&amp;B$1,DB!$A:$J,10,0)</f>
        <v>0.27529999999999999</v>
      </c>
      <c r="C19">
        <f>VLOOKUP($A19&amp;C$3&amp;C$1,DB!$A:$J,10,0)</f>
        <v>0.2525</v>
      </c>
      <c r="D19">
        <f>VLOOKUP($A19&amp;D$3&amp;D$1,DB!$A:$J,10,0)</f>
        <v>0.26939999999999997</v>
      </c>
      <c r="E19">
        <f>VLOOKUP($A19&amp;E$3&amp;E$1,DB!$A:$J,10,0)</f>
        <v>0.2918</v>
      </c>
      <c r="F19">
        <f>VLOOKUP($A19&amp;F$3&amp;F$1,DB!$A:$J,10,0)</f>
        <v>0.28320000000000001</v>
      </c>
      <c r="G19">
        <f>VLOOKUP($A19&amp;G$3&amp;G$1,DB!$A:$J,10,0)</f>
        <v>0.2767</v>
      </c>
      <c r="H19">
        <f>VLOOKUP($A19&amp;H$3&amp;H$1,DB!$A:$J,10,0)</f>
        <v>0.21390000000000001</v>
      </c>
      <c r="I19">
        <f>VLOOKUP($A19&amp;I$3&amp;I$1,DB!$A:$J,10,0)</f>
        <v>0.25019999999999998</v>
      </c>
      <c r="J19">
        <f>VLOOKUP($A19&amp;J$3&amp;J$1,DB!$A:$J,10,0)</f>
        <v>0.27910000000000001</v>
      </c>
      <c r="K19">
        <f>VLOOKUP($A19&amp;K$3&amp;K$1,DB!$A:$J,10,0)</f>
        <v>0.25669999999999998</v>
      </c>
      <c r="L19">
        <f>VLOOKUP($A19&amp;L$3&amp;L$1,DB!$A:$J,10,0)</f>
        <v>0.8105</v>
      </c>
      <c r="M19">
        <f>VLOOKUP($A19&amp;M$3&amp;M$1,DB!$A:$J,10,0)</f>
        <v>0.92720000000000002</v>
      </c>
      <c r="N19">
        <f>VLOOKUP($A19&amp;N$3&amp;N$1,DB!$A:$J,10,0)</f>
        <v>0.72230000000000005</v>
      </c>
      <c r="O19">
        <f>VLOOKUP($A19&amp;O$3&amp;O$1,DB!$A:$J,10,0)</f>
        <v>0.81369999999999998</v>
      </c>
      <c r="P19">
        <f>VLOOKUP($A19&amp;P$3&amp;P$1,DB!$A:$J,10,0)</f>
        <v>0.99980000000000002</v>
      </c>
      <c r="Q19">
        <f>VLOOKUP($A19&amp;Q$3&amp;Q$1,DB!$A:$J,10,0)</f>
        <v>0.79120000000000001</v>
      </c>
      <c r="R19">
        <f>VLOOKUP($A19&amp;R$3&amp;R$1,DB!$A:$J,10,0)</f>
        <v>0.73819999999999997</v>
      </c>
      <c r="S19">
        <f>VLOOKUP($A19&amp;S$3&amp;S$1,DB!$A:$J,10,0)</f>
        <v>0.97840000000000005</v>
      </c>
      <c r="T19">
        <f>VLOOKUP($A19&amp;T$3&amp;T$1,DB!$A:$J,10,0)</f>
        <v>0.94410000000000005</v>
      </c>
      <c r="U19">
        <f>VLOOKUP($A19&amp;U$3&amp;U$1,DB!$A:$J,10,0)</f>
        <v>0.70379999999999998</v>
      </c>
      <c r="V19">
        <f>VLOOKUP($A19&amp;V$3&amp;V$1,DB!$A:$J,10,0)</f>
        <v>0.1895</v>
      </c>
      <c r="W19">
        <f>VLOOKUP($A19&amp;W$3&amp;W$1,DB!$A:$J,10,0)</f>
        <v>7.2800000000000004E-2</v>
      </c>
      <c r="X19">
        <f>VLOOKUP($A19&amp;X$3&amp;X$1,DB!$A:$J,10,0)</f>
        <v>0.2777</v>
      </c>
      <c r="Y19">
        <f>VLOOKUP($A19&amp;Y$3&amp;Y$1,DB!$A:$J,10,0)</f>
        <v>0.18629999999999999</v>
      </c>
      <c r="Z19">
        <f>VLOOKUP($A19&amp;Z$3&amp;Z$1,DB!$A:$J,10,0)</f>
        <v>2.0000000000000001E-4</v>
      </c>
      <c r="AA19">
        <f>VLOOKUP($A19&amp;AA$3&amp;AA$1,DB!$A:$J,10,0)</f>
        <v>0.20880000000000001</v>
      </c>
      <c r="AB19">
        <f>VLOOKUP($A19&amp;AB$3&amp;AB$1,DB!$A:$J,10,0)</f>
        <v>0.25990000000000002</v>
      </c>
      <c r="AC19">
        <f>VLOOKUP($A19&amp;AC$3&amp;AC$1,DB!$A:$J,10,0)</f>
        <v>1.9199999999999998E-2</v>
      </c>
      <c r="AD19">
        <f>VLOOKUP($A19&amp;AD$3&amp;AD$1,DB!$A:$J,10,0)</f>
        <v>1.24E-2</v>
      </c>
      <c r="AE19">
        <f>VLOOKUP($A19&amp;AE$3&amp;AE$1,DB!$A:$J,10,0)</f>
        <v>0.2883</v>
      </c>
      <c r="AF19">
        <f>VLOOKUP($A19&amp;AF$3&amp;AF$1,DB!$A:$J,10,0)</f>
        <v>0.16159999999999999</v>
      </c>
      <c r="AG19">
        <f>VLOOKUP($A19&amp;AG$3&amp;AG$1,DB!$A:$J,10,0)</f>
        <v>0.1062</v>
      </c>
      <c r="AH19">
        <f>VLOOKUP($A19&amp;AH$3&amp;AH$1,DB!$A:$J,10,0)</f>
        <v>0.1779</v>
      </c>
      <c r="AI19">
        <f>VLOOKUP($A19&amp;AI$3&amp;AI$1,DB!$A:$J,10,0)</f>
        <v>0</v>
      </c>
      <c r="AJ19">
        <f>VLOOKUP($A19&amp;AJ$3&amp;AJ$1,DB!$A:$J,10,0)</f>
        <v>0</v>
      </c>
      <c r="AK19">
        <f>VLOOKUP($A19&amp;AK$3&amp;AK$1,DB!$A:$J,10,0)</f>
        <v>0.42130000000000001</v>
      </c>
      <c r="AL19">
        <f>VLOOKUP($A19&amp;AL$3&amp;AL$1,DB!$A:$J,10,0)</f>
        <v>0.19520000000000001</v>
      </c>
      <c r="AM19">
        <f>VLOOKUP($A19&amp;AM$3&amp;AM$1,DB!$A:$J,10,0)</f>
        <v>0.1236</v>
      </c>
      <c r="AN19">
        <f>VLOOKUP($A19&amp;AN$3&amp;AN$1,DB!$A:$J,10,0)</f>
        <v>8.0299999999999996E-2</v>
      </c>
      <c r="AO19">
        <f>VLOOKUP($A19&amp;AO$3&amp;AO$1,DB!$A:$J,10,0)</f>
        <v>0.25209999999999999</v>
      </c>
      <c r="AP19">
        <f>VLOOKUP($A19&amp;AP$3&amp;AP$1,DB!$A:$J,10,0)</f>
        <v>0.65249999999999997</v>
      </c>
      <c r="AQ19">
        <f>VLOOKUP($A19&amp;AQ$3&amp;AQ$1,DB!$A:$J,10,0)</f>
        <v>0.75649999999999995</v>
      </c>
      <c r="AR19">
        <f>VLOOKUP($A19&amp;AR$3&amp;AR$1,DB!$A:$J,10,0)</f>
        <v>0.88260000000000005</v>
      </c>
      <c r="AS19">
        <f>VLOOKUP($A19&amp;AS$3&amp;AS$1,DB!$A:$J,10,0)</f>
        <v>1.2716000000000001</v>
      </c>
      <c r="AT19">
        <f>VLOOKUP($A19&amp;AT$3&amp;AT$1,DB!$A:$J,10,0)</f>
        <v>0.872</v>
      </c>
      <c r="AU19">
        <f>VLOOKUP($A19&amp;AU$3&amp;AU$1,DB!$A:$J,10,0)</f>
        <v>0.58899999999999997</v>
      </c>
      <c r="AV19">
        <f>VLOOKUP($A19&amp;AV$3&amp;AV$1,DB!$A:$J,10,0)</f>
        <v>0.80300000000000005</v>
      </c>
      <c r="AW19">
        <f>VLOOKUP($A19&amp;AW$3&amp;AW$1,DB!$A:$J,10,0)</f>
        <v>0.874</v>
      </c>
      <c r="AX19">
        <f>VLOOKUP($A19&amp;AX$3&amp;AX$1,DB!$A:$J,10,0)</f>
        <v>0.87619999999999998</v>
      </c>
      <c r="AY19">
        <f>VLOOKUP($A19&amp;AY$3&amp;AY$1,DB!$A:$J,10,0)</f>
        <v>0.73570000000000002</v>
      </c>
      <c r="AZ19">
        <f>VLOOKUP($A19&amp;AZ$3&amp;AZ$1,DB!$A:$J,10,0)</f>
        <v>0.1757</v>
      </c>
      <c r="BA19">
        <f>VLOOKUP($A19&amp;BA$3&amp;BA$1,DB!$A:$J,10,0)</f>
        <v>0.1245</v>
      </c>
      <c r="BB19">
        <f>VLOOKUP($A19&amp;BB$3&amp;BB$1,DB!$A:$J,10,0)</f>
        <v>0.11219999999999999</v>
      </c>
      <c r="BC19">
        <f>VLOOKUP($A19&amp;BC$3&amp;BC$1,DB!$A:$J,10,0)</f>
        <v>0.14299999999999999</v>
      </c>
      <c r="BD19">
        <f>VLOOKUP($A19&amp;BD$3&amp;BD$1,DB!$A:$J,10,0)</f>
        <v>6.7900000000000002E-2</v>
      </c>
      <c r="BE19">
        <f>VLOOKUP($A19&amp;BE$3&amp;BE$1,DB!$A:$J,10,0)</f>
        <v>0</v>
      </c>
      <c r="BF19">
        <f>VLOOKUP($A19&amp;BF$3&amp;BF$1,DB!$A:$J,10,0)</f>
        <v>0.1474</v>
      </c>
      <c r="BG19">
        <f>VLOOKUP($A19&amp;BG$3&amp;BG$1,DB!$A:$J,10,0)</f>
        <v>5.3100000000000001E-2</v>
      </c>
      <c r="BH19">
        <f>VLOOKUP($A19&amp;BH$3&amp;BH$1,DB!$A:$J,10,0)</f>
        <v>5.7599999999999998E-2</v>
      </c>
      <c r="BI19">
        <f>VLOOKUP($A19&amp;BI$3&amp;BI$1,DB!$A:$J,10,0)</f>
        <v>0.1482</v>
      </c>
      <c r="BJ19">
        <f>VLOOKUP($A19&amp;BJ$3&amp;BJ$1,DB!$A:$J,10,0)</f>
        <v>0.70230000000000004</v>
      </c>
      <c r="BK19">
        <f>VLOOKUP($A19&amp;BK$3&amp;BK$1,DB!$A:$J,10,0)</f>
        <v>0.61619999999999997</v>
      </c>
      <c r="BL19">
        <f>VLOOKUP($A19&amp;BL$3&amp;BL$1,DB!$A:$J,10,0)</f>
        <v>0.61250000000000004</v>
      </c>
      <c r="BM19">
        <f>VLOOKUP($A19&amp;BM$3&amp;BM$1,DB!$A:$J,10,0)</f>
        <v>0.49540000000000001</v>
      </c>
      <c r="BN19">
        <f>VLOOKUP($A19&amp;BN$3&amp;BN$1,DB!$A:$J,10,0)</f>
        <v>0.43809999999999999</v>
      </c>
      <c r="BO19">
        <f>VLOOKUP($A19&amp;BO$3&amp;BO$1,DB!$A:$J,10,0)</f>
        <v>0</v>
      </c>
      <c r="BP19">
        <f>VLOOKUP($A19&amp;BP$3&amp;BP$1,DB!$A:$J,10,0)</f>
        <v>0.7016</v>
      </c>
      <c r="BQ19">
        <f>VLOOKUP($A19&amp;BQ$3&amp;BQ$1,DB!$A:$J,10,0)</f>
        <v>0.4713</v>
      </c>
      <c r="BR19">
        <f>VLOOKUP($A19&amp;BR$3&amp;BR$1,DB!$A:$J,10,0)</f>
        <v>0.60860000000000003</v>
      </c>
      <c r="BS19">
        <f>VLOOKUP($A19&amp;BS$3&amp;BS$1,DB!$A:$J,10,0)</f>
        <v>0.54890000000000005</v>
      </c>
      <c r="BT19">
        <f>VLOOKUP($A19&amp;BT$3&amp;BT$1,DB!$A:$J,10,0)</f>
        <v>0.28249999999999997</v>
      </c>
      <c r="BU19">
        <f>VLOOKUP($A19&amp;BU$3&amp;BU$1,DB!$A:$J,10,0)</f>
        <v>0.31869999999999998</v>
      </c>
      <c r="BV19">
        <f>VLOOKUP($A19&amp;BV$3&amp;BV$1,DB!$A:$J,10,0)</f>
        <v>0.38529999999999998</v>
      </c>
      <c r="BW19">
        <f>VLOOKUP($A19&amp;BW$3&amp;BW$1,DB!$A:$J,10,0)</f>
        <v>0.3039</v>
      </c>
      <c r="BX19">
        <f>VLOOKUP($A19&amp;BX$3&amp;BX$1,DB!$A:$J,10,0)</f>
        <v>0.36559999999999998</v>
      </c>
      <c r="BY19">
        <f>VLOOKUP($A19&amp;BY$3&amp;BY$1,DB!$A:$J,10,0)</f>
        <v>0</v>
      </c>
      <c r="BZ19">
        <f>VLOOKUP($A19&amp;BZ$3&amp;BZ$1,DB!$A:$J,10,0)</f>
        <v>0.26979999999999998</v>
      </c>
      <c r="CA19">
        <f>VLOOKUP($A19&amp;CA$3&amp;CA$1,DB!$A:$J,10,0)</f>
        <v>0.2974</v>
      </c>
      <c r="CB19">
        <f>VLOOKUP($A19&amp;CB$3&amp;CB$1,DB!$A:$J,10,0)</f>
        <v>0.32890000000000003</v>
      </c>
      <c r="CC19">
        <f>VLOOKUP($A19&amp;CC$3&amp;CC$1,DB!$A:$J,10,0)</f>
        <v>0.30530000000000002</v>
      </c>
      <c r="CD19">
        <f>VLOOKUP($A19&amp;CD$3&amp;CD$1,DB!$A:$J,10,0)</f>
        <v>3431.63</v>
      </c>
      <c r="CE19">
        <f>VLOOKUP($A19&amp;CE$3&amp;CE$1,DB!$A:$J,10,0)</f>
        <v>3082.81</v>
      </c>
      <c r="CF19">
        <f>VLOOKUP($A19&amp;CF$3&amp;CF$1,DB!$A:$J,10,0)</f>
        <v>2997.49</v>
      </c>
      <c r="CG19">
        <f>VLOOKUP($A19&amp;CG$3&amp;CG$1,DB!$A:$J,10,0)</f>
        <v>4818.62</v>
      </c>
      <c r="CH19">
        <f>VLOOKUP($A19&amp;CH$3&amp;CH$1,DB!$A:$J,10,0)</f>
        <v>3098.34</v>
      </c>
      <c r="CI19">
        <f>VLOOKUP($A19&amp;CI$3&amp;CI$1,DB!$A:$J,10,0)</f>
        <v>4545.63</v>
      </c>
      <c r="CJ19">
        <f>VLOOKUP($A19&amp;CJ$3&amp;CJ$1,DB!$A:$J,10,0)</f>
        <v>2568.6799999999998</v>
      </c>
      <c r="CK19">
        <f>VLOOKUP($A19&amp;CK$3&amp;CK$1,DB!$A:$J,10,0)</f>
        <v>2030.97</v>
      </c>
      <c r="CL19">
        <f>VLOOKUP($A19&amp;CL$3&amp;CL$1,DB!$A:$J,10,0)</f>
        <v>2473.23</v>
      </c>
      <c r="CM19">
        <f>VLOOKUP($A19&amp;CM$3&amp;CM$1,DB!$A:$J,10,0)</f>
        <v>6292.99</v>
      </c>
      <c r="CN19">
        <f>VLOOKUP($A19&amp;CN$3&amp;CN$1,DB!$A:$J,10,0)</f>
        <v>6416.22</v>
      </c>
      <c r="CO19">
        <f>VLOOKUP($A19&amp;CO$3&amp;CO$1,DB!$A:$J,10,0)</f>
        <v>7493.16</v>
      </c>
      <c r="CP19">
        <f>VLOOKUP($A19&amp;CP$3&amp;CP$1,DB!$A:$J,10,0)</f>
        <v>8011.51</v>
      </c>
      <c r="CQ19">
        <f>VLOOKUP($A19&amp;CQ$3&amp;CQ$1,DB!$A:$J,10,0)</f>
        <v>7865.92</v>
      </c>
      <c r="CR19">
        <f>VLOOKUP($A19&amp;CR$3&amp;CR$1,DB!$A:$J,10,0)</f>
        <v>9557.8700000000008</v>
      </c>
      <c r="CS19">
        <f>VLOOKUP($A19&amp;CS$3&amp;CS$1,DB!$A:$J,10,0)</f>
        <v>9043.43</v>
      </c>
      <c r="CT19">
        <f>VLOOKUP($A19&amp;CT$3&amp;CT$1,DB!$A:$J,10,0)</f>
        <v>11353.56</v>
      </c>
      <c r="CU19">
        <f>VLOOKUP($A19&amp;CU$3&amp;CU$1,DB!$A:$J,10,0)</f>
        <v>16604.560000000001</v>
      </c>
      <c r="CV19">
        <f>VLOOKUP($A19&amp;CV$3&amp;CV$1,DB!$A:$J,10,0)</f>
        <v>15355.82</v>
      </c>
      <c r="CW19">
        <f>VLOOKUP($A19&amp;CW$3&amp;CW$1,DB!$A:$J,10,0)</f>
        <v>17195.68</v>
      </c>
      <c r="CX19">
        <f>VLOOKUP($A19&amp;CX$3&amp;CX$1,DB!$A:$J,10,0)</f>
        <v>5464.7</v>
      </c>
      <c r="CY19">
        <f>VLOOKUP($A19&amp;CY$3&amp;CY$1,DB!$A:$J,10,0)</f>
        <v>5996.78</v>
      </c>
      <c r="CZ19">
        <f>VLOOKUP($A19&amp;CZ$3&amp;CZ$1,DB!$A:$J,10,0)</f>
        <v>6320.28</v>
      </c>
      <c r="DA19">
        <f>VLOOKUP($A19&amp;DA$3&amp;DA$1,DB!$A:$J,10,0)</f>
        <v>6890.07</v>
      </c>
      <c r="DB19">
        <f>VLOOKUP($A19&amp;DB$3&amp;DB$1,DB!$A:$J,10,0)</f>
        <v>7396.67</v>
      </c>
      <c r="DC19">
        <f>VLOOKUP($A19&amp;DC$3&amp;DC$1,DB!$A:$J,10,0)</f>
        <v>7096.62</v>
      </c>
      <c r="DD19">
        <f>VLOOKUP($A19&amp;DD$3&amp;DD$1,DB!$A:$J,10,0)</f>
        <v>8390.59</v>
      </c>
      <c r="DE19">
        <f>VLOOKUP($A19&amp;DE$3&amp;DE$1,DB!$A:$J,10,0)</f>
        <v>18342.86</v>
      </c>
      <c r="DF19">
        <f>VLOOKUP($A19&amp;DF$3&amp;DF$1,DB!$A:$J,10,0)</f>
        <v>15892.91</v>
      </c>
      <c r="DG19">
        <f>VLOOKUP($A19&amp;DG$3&amp;DG$1,DB!$A:$J,10,0)</f>
        <v>18025.82</v>
      </c>
      <c r="DH19">
        <f>VLOOKUP($A19&amp;DH$3&amp;DH$1,DB!$A:$J,10,0)</f>
        <v>5464.7</v>
      </c>
      <c r="DI19">
        <f>VLOOKUP($A19&amp;DI$3&amp;DI$1,DB!$A:$J,10,0)</f>
        <v>5996.78</v>
      </c>
      <c r="DJ19">
        <f>VLOOKUP($A19&amp;DJ$3&amp;DJ$1,DB!$A:$J,10,0)</f>
        <v>6320.28</v>
      </c>
      <c r="DK19">
        <f>VLOOKUP($A19&amp;DK$3&amp;DK$1,DB!$A:$J,10,0)</f>
        <v>6890.07</v>
      </c>
      <c r="DL19">
        <f>VLOOKUP($A19&amp;DL$3&amp;DL$1,DB!$A:$J,10,0)</f>
        <v>7396.67</v>
      </c>
      <c r="DM19">
        <f>VLOOKUP($A19&amp;DM$3&amp;DM$1,DB!$A:$J,10,0)</f>
        <v>7096.62</v>
      </c>
      <c r="DN19">
        <f>VLOOKUP($A19&amp;DN$3&amp;DN$1,DB!$A:$J,10,0)</f>
        <v>8390.59</v>
      </c>
      <c r="DO19">
        <f>VLOOKUP($A19&amp;DO$3&amp;DO$1,DB!$A:$J,10,0)</f>
        <v>18342.86</v>
      </c>
      <c r="DP19">
        <f>VLOOKUP($A19&amp;DP$3&amp;DP$1,DB!$A:$J,10,0)</f>
        <v>15892.91</v>
      </c>
      <c r="DQ19">
        <f>VLOOKUP($A19&amp;DQ$3&amp;DQ$1,DB!$A:$J,10,0)</f>
        <v>18025.82</v>
      </c>
      <c r="DR19">
        <f>VLOOKUP($A19&amp;DR$3&amp;DR$1,DB!$A:$J,10,0)</f>
        <v>3092.62</v>
      </c>
      <c r="DS19">
        <f>VLOOKUP($A19&amp;DS$3&amp;DS$1,DB!$A:$J,10,0)</f>
        <v>4361.26</v>
      </c>
      <c r="DT19">
        <f>VLOOKUP($A19&amp;DT$3&amp;DT$1,DB!$A:$J,10,0)</f>
        <v>2609.7399999999998</v>
      </c>
      <c r="DU19">
        <f>VLOOKUP($A19&amp;DU$3&amp;DU$1,DB!$A:$J,10,0)</f>
        <v>4480.3900000000003</v>
      </c>
      <c r="DV19">
        <f>VLOOKUP($A19&amp;DV$3&amp;DV$1,DB!$A:$J,10,0)</f>
        <v>4378.18</v>
      </c>
      <c r="DW19">
        <f>VLOOKUP($A19&amp;DW$3&amp;DW$1,DB!$A:$J,10,0)</f>
        <v>0</v>
      </c>
      <c r="DX19">
        <f>VLOOKUP($A19&amp;DX$3&amp;DX$1,DB!$A:$J,10,0)</f>
        <v>4503.12</v>
      </c>
      <c r="DY19">
        <f>VLOOKUP($A19&amp;DY$3&amp;DY$1,DB!$A:$J,10,0)</f>
        <v>7112.25</v>
      </c>
      <c r="DZ19">
        <f>VLOOKUP($A19&amp;DZ$3&amp;DZ$1,DB!$A:$J,10,0)</f>
        <v>7622.41</v>
      </c>
      <c r="EA19">
        <f>VLOOKUP($A19&amp;EA$3&amp;EA$1,DB!$A:$J,10,0)</f>
        <v>6847.65</v>
      </c>
      <c r="EB19">
        <f>VLOOKUP($A19&amp;EB$3&amp;EB$1,DB!$A:$J,10,0)</f>
        <v>1554.39</v>
      </c>
      <c r="EC19">
        <f>VLOOKUP($A19&amp;EC$3&amp;EC$1,DB!$A:$J,10,0)</f>
        <v>1176.58</v>
      </c>
      <c r="ED19">
        <f>VLOOKUP($A19&amp;ED$3&amp;ED$1,DB!$A:$J,10,0)</f>
        <v>3328.42</v>
      </c>
      <c r="EE19">
        <f>VLOOKUP($A19&amp;EE$3&amp;EE$1,DB!$A:$J,10,0)</f>
        <v>2174.25</v>
      </c>
      <c r="EF19">
        <f>VLOOKUP($A19&amp;EF$3&amp;EF$1,DB!$A:$J,10,0)</f>
        <v>2715.24</v>
      </c>
      <c r="EG19">
        <f>VLOOKUP($A19&amp;EG$3&amp;EG$1,DB!$A:$J,10,0)</f>
        <v>5800.86</v>
      </c>
      <c r="EH19">
        <f>VLOOKUP($A19&amp;EH$3&amp;EH$1,DB!$A:$J,10,0)</f>
        <v>1487.22</v>
      </c>
      <c r="EI19">
        <f>VLOOKUP($A19&amp;EI$3&amp;EI$1,DB!$A:$J,10,0)</f>
        <v>0</v>
      </c>
      <c r="EJ19">
        <f>VLOOKUP($A19&amp;EJ$3&amp;EJ$1,DB!$A:$J,10,0)</f>
        <v>0</v>
      </c>
      <c r="EK19">
        <f>VLOOKUP($A19&amp;EK$3&amp;EK$1,DB!$A:$J,10,0)</f>
        <v>1164.18</v>
      </c>
    </row>
    <row r="20" spans="1:141" hidden="1" x14ac:dyDescent="0.35">
      <c r="A20" t="s">
        <v>56</v>
      </c>
      <c r="B20">
        <f>VLOOKUP($A20&amp;B$3&amp;B$1,DB!$A:$J,10,0)</f>
        <v>0.25080000000000002</v>
      </c>
      <c r="C20">
        <f>VLOOKUP($A20&amp;C$3&amp;C$1,DB!$A:$J,10,0)</f>
        <v>0.26300000000000001</v>
      </c>
      <c r="D20">
        <f>VLOOKUP($A20&amp;D$3&amp;D$1,DB!$A:$J,10,0)</f>
        <v>0.25509999999999999</v>
      </c>
      <c r="E20">
        <f>VLOOKUP($A20&amp;E$3&amp;E$1,DB!$A:$J,10,0)</f>
        <v>0.28570000000000001</v>
      </c>
      <c r="F20">
        <f>VLOOKUP($A20&amp;F$3&amp;F$1,DB!$A:$J,10,0)</f>
        <v>0.34910000000000002</v>
      </c>
      <c r="G20">
        <f>VLOOKUP($A20&amp;G$3&amp;G$1,DB!$A:$J,10,0)</f>
        <v>0.25580000000000003</v>
      </c>
      <c r="H20">
        <f>VLOOKUP($A20&amp;H$3&amp;H$1,DB!$A:$J,10,0)</f>
        <v>0.25480000000000003</v>
      </c>
      <c r="I20">
        <f>VLOOKUP($A20&amp;I$3&amp;I$1,DB!$A:$J,10,0)</f>
        <v>0.27229999999999999</v>
      </c>
      <c r="J20">
        <f>VLOOKUP($A20&amp;J$3&amp;J$1,DB!$A:$J,10,0)</f>
        <v>0.26419999999999999</v>
      </c>
      <c r="K20">
        <f>VLOOKUP($A20&amp;K$3&amp;K$1,DB!$A:$J,10,0)</f>
        <v>0.25040000000000001</v>
      </c>
      <c r="L20">
        <f>VLOOKUP($A20&amp;L$3&amp;L$1,DB!$A:$J,10,0)</f>
        <v>0.64500000000000002</v>
      </c>
      <c r="M20">
        <f>VLOOKUP($A20&amp;M$3&amp;M$1,DB!$A:$J,10,0)</f>
        <v>0.78859999999999997</v>
      </c>
      <c r="N20">
        <f>VLOOKUP($A20&amp;N$3&amp;N$1,DB!$A:$J,10,0)</f>
        <v>0.63090000000000002</v>
      </c>
      <c r="O20">
        <f>VLOOKUP($A20&amp;O$3&amp;O$1,DB!$A:$J,10,0)</f>
        <v>0.82150000000000001</v>
      </c>
      <c r="P20">
        <f>VLOOKUP($A20&amp;P$3&amp;P$1,DB!$A:$J,10,0)</f>
        <v>0.83630000000000004</v>
      </c>
      <c r="Q20">
        <f>VLOOKUP($A20&amp;Q$3&amp;Q$1,DB!$A:$J,10,0)</f>
        <v>0.77190000000000003</v>
      </c>
      <c r="R20">
        <f>VLOOKUP($A20&amp;R$3&amp;R$1,DB!$A:$J,10,0)</f>
        <v>0.72209999999999996</v>
      </c>
      <c r="S20">
        <f>VLOOKUP($A20&amp;S$3&amp;S$1,DB!$A:$J,10,0)</f>
        <v>0.81110000000000004</v>
      </c>
      <c r="T20">
        <f>VLOOKUP($A20&amp;T$3&amp;T$1,DB!$A:$J,10,0)</f>
        <v>0.96450000000000002</v>
      </c>
      <c r="U20">
        <f>VLOOKUP($A20&amp;U$3&amp;U$1,DB!$A:$J,10,0)</f>
        <v>0.92479999999999996</v>
      </c>
      <c r="V20">
        <f>VLOOKUP($A20&amp;V$3&amp;V$1,DB!$A:$J,10,0)</f>
        <v>0.35499999999999998</v>
      </c>
      <c r="W20">
        <f>VLOOKUP($A20&amp;W$3&amp;W$1,DB!$A:$J,10,0)</f>
        <v>0.2114</v>
      </c>
      <c r="X20">
        <f>VLOOKUP($A20&amp;X$3&amp;X$1,DB!$A:$J,10,0)</f>
        <v>0.36909999999999998</v>
      </c>
      <c r="Y20">
        <f>VLOOKUP($A20&amp;Y$3&amp;Y$1,DB!$A:$J,10,0)</f>
        <v>0.17849999999999999</v>
      </c>
      <c r="Z20">
        <f>VLOOKUP($A20&amp;Z$3&amp;Z$1,DB!$A:$J,10,0)</f>
        <v>0.16370000000000001</v>
      </c>
      <c r="AA20">
        <f>VLOOKUP($A20&amp;AA$3&amp;AA$1,DB!$A:$J,10,0)</f>
        <v>0.1978</v>
      </c>
      <c r="AB20">
        <f>VLOOKUP($A20&amp;AB$3&amp;AB$1,DB!$A:$J,10,0)</f>
        <v>0.27789999999999998</v>
      </c>
      <c r="AC20">
        <f>VLOOKUP($A20&amp;AC$3&amp;AC$1,DB!$A:$J,10,0)</f>
        <v>0.18590000000000001</v>
      </c>
      <c r="AD20">
        <f>VLOOKUP($A20&amp;AD$3&amp;AD$1,DB!$A:$J,10,0)</f>
        <v>0</v>
      </c>
      <c r="AE20">
        <f>VLOOKUP($A20&amp;AE$3&amp;AE$1,DB!$A:$J,10,0)</f>
        <v>2.1700000000000001E-2</v>
      </c>
      <c r="AF20">
        <f>VLOOKUP($A20&amp;AF$3&amp;AF$1,DB!$A:$J,10,0)</f>
        <v>6.7900000000000002E-2</v>
      </c>
      <c r="AG20">
        <f>VLOOKUP($A20&amp;AG$3&amp;AG$1,DB!$A:$J,10,0)</f>
        <v>0.33529999999999999</v>
      </c>
      <c r="AH20">
        <f>VLOOKUP($A20&amp;AH$3&amp;AH$1,DB!$A:$J,10,0)</f>
        <v>0.55049999999999999</v>
      </c>
      <c r="AI20">
        <f>VLOOKUP($A20&amp;AI$3&amp;AI$1,DB!$A:$J,10,0)</f>
        <v>0</v>
      </c>
      <c r="AJ20">
        <f>VLOOKUP($A20&amp;AJ$3&amp;AJ$1,DB!$A:$J,10,0)</f>
        <v>0</v>
      </c>
      <c r="AK20">
        <f>VLOOKUP($A20&amp;AK$3&amp;AK$1,DB!$A:$J,10,0)</f>
        <v>1.7299999999999999E-2</v>
      </c>
      <c r="AL20">
        <f>VLOOKUP($A20&amp;AL$3&amp;AL$1,DB!$A:$J,10,0)</f>
        <v>0.2278</v>
      </c>
      <c r="AM20">
        <f>VLOOKUP($A20&amp;AM$3&amp;AM$1,DB!$A:$J,10,0)</f>
        <v>0.25069999999999998</v>
      </c>
      <c r="AN20">
        <f>VLOOKUP($A20&amp;AN$3&amp;AN$1,DB!$A:$J,10,0)</f>
        <v>7.7200000000000005E-2</v>
      </c>
      <c r="AO20">
        <f>VLOOKUP($A20&amp;AO$3&amp;AO$1,DB!$A:$J,10,0)</f>
        <v>0.182</v>
      </c>
      <c r="AP20">
        <f>VLOOKUP($A20&amp;AP$3&amp;AP$1,DB!$A:$J,10,0)</f>
        <v>0.81010000000000004</v>
      </c>
      <c r="AQ20">
        <f>VLOOKUP($A20&amp;AQ$3&amp;AQ$1,DB!$A:$J,10,0)</f>
        <v>0.6552</v>
      </c>
      <c r="AR20">
        <f>VLOOKUP($A20&amp;AR$3&amp;AR$1,DB!$A:$J,10,0)</f>
        <v>0.44950000000000001</v>
      </c>
      <c r="AS20">
        <f>VLOOKUP($A20&amp;AS$3&amp;AS$1,DB!$A:$J,10,0)</f>
        <v>0.6532</v>
      </c>
      <c r="AT20">
        <f>VLOOKUP($A20&amp;AT$3&amp;AT$1,DB!$A:$J,10,0)</f>
        <v>0.81040000000000001</v>
      </c>
      <c r="AU20">
        <f>VLOOKUP($A20&amp;AU$3&amp;AU$1,DB!$A:$J,10,0)</f>
        <v>0.95250000000000001</v>
      </c>
      <c r="AV20">
        <f>VLOOKUP($A20&amp;AV$3&amp;AV$1,DB!$A:$J,10,0)</f>
        <v>0.7722</v>
      </c>
      <c r="AW20">
        <f>VLOOKUP($A20&amp;AW$3&amp;AW$1,DB!$A:$J,10,0)</f>
        <v>0.76910000000000001</v>
      </c>
      <c r="AX20">
        <f>VLOOKUP($A20&amp;AX$3&amp;AX$1,DB!$A:$J,10,0)</f>
        <v>0.74070000000000003</v>
      </c>
      <c r="AY20">
        <f>VLOOKUP($A20&amp;AY$3&amp;AY$1,DB!$A:$J,10,0)</f>
        <v>0.70920000000000005</v>
      </c>
      <c r="AZ20">
        <f>VLOOKUP($A20&amp;AZ$3&amp;AZ$1,DB!$A:$J,10,0)</f>
        <v>0.1585</v>
      </c>
      <c r="BA20">
        <f>VLOOKUP($A20&amp;BA$3&amp;BA$1,DB!$A:$J,10,0)</f>
        <v>0.20549999999999999</v>
      </c>
      <c r="BB20">
        <f>VLOOKUP($A20&amp;BB$3&amp;BB$1,DB!$A:$J,10,0)</f>
        <v>0.22689999999999999</v>
      </c>
      <c r="BC20">
        <f>VLOOKUP($A20&amp;BC$3&amp;BC$1,DB!$A:$J,10,0)</f>
        <v>0.1211</v>
      </c>
      <c r="BD20">
        <f>VLOOKUP($A20&amp;BD$3&amp;BD$1,DB!$A:$J,10,0)</f>
        <v>7.9500000000000001E-2</v>
      </c>
      <c r="BE20">
        <f>VLOOKUP($A20&amp;BE$3&amp;BE$1,DB!$A:$J,10,0)</f>
        <v>0</v>
      </c>
      <c r="BF20">
        <f>VLOOKUP($A20&amp;BF$3&amp;BF$1,DB!$A:$J,10,0)</f>
        <v>0.22470000000000001</v>
      </c>
      <c r="BG20">
        <f>VLOOKUP($A20&amp;BG$3&amp;BG$1,DB!$A:$J,10,0)</f>
        <v>0.19470000000000001</v>
      </c>
      <c r="BH20">
        <f>VLOOKUP($A20&amp;BH$3&amp;BH$1,DB!$A:$J,10,0)</f>
        <v>0.12989999999999999</v>
      </c>
      <c r="BI20">
        <f>VLOOKUP($A20&amp;BI$3&amp;BI$1,DB!$A:$J,10,0)</f>
        <v>0.17949999999999999</v>
      </c>
      <c r="BJ20">
        <f>VLOOKUP($A20&amp;BJ$3&amp;BJ$1,DB!$A:$J,10,0)</f>
        <v>0.77500000000000002</v>
      </c>
      <c r="BK20">
        <f>VLOOKUP($A20&amp;BK$3&amp;BK$1,DB!$A:$J,10,0)</f>
        <v>0.65800000000000003</v>
      </c>
      <c r="BL20">
        <f>VLOOKUP($A20&amp;BL$3&amp;BL$1,DB!$A:$J,10,0)</f>
        <v>0.70740000000000003</v>
      </c>
      <c r="BM20">
        <f>VLOOKUP($A20&amp;BM$3&amp;BM$1,DB!$A:$J,10,0)</f>
        <v>0.73540000000000005</v>
      </c>
      <c r="BN20">
        <f>VLOOKUP($A20&amp;BN$3&amp;BN$1,DB!$A:$J,10,0)</f>
        <v>0.86240000000000006</v>
      </c>
      <c r="BO20">
        <f>VLOOKUP($A20&amp;BO$3&amp;BO$1,DB!$A:$J,10,0)</f>
        <v>0</v>
      </c>
      <c r="BP20">
        <f>VLOOKUP($A20&amp;BP$3&amp;BP$1,DB!$A:$J,10,0)</f>
        <v>0.66869999999999996</v>
      </c>
      <c r="BQ20">
        <f>VLOOKUP($A20&amp;BQ$3&amp;BQ$1,DB!$A:$J,10,0)</f>
        <v>0.4617</v>
      </c>
      <c r="BR20">
        <f>VLOOKUP($A20&amp;BR$3&amp;BR$1,DB!$A:$J,10,0)</f>
        <v>0.50480000000000003</v>
      </c>
      <c r="BS20">
        <f>VLOOKUP($A20&amp;BS$3&amp;BS$1,DB!$A:$J,10,0)</f>
        <v>0.43759999999999999</v>
      </c>
      <c r="BT20">
        <f>VLOOKUP($A20&amp;BT$3&amp;BT$1,DB!$A:$J,10,0)</f>
        <v>0.22500000000000001</v>
      </c>
      <c r="BU20">
        <f>VLOOKUP($A20&amp;BU$3&amp;BU$1,DB!$A:$J,10,0)</f>
        <v>0.29070000000000001</v>
      </c>
      <c r="BV20">
        <f>VLOOKUP($A20&amp;BV$3&amp;BV$1,DB!$A:$J,10,0)</f>
        <v>0.27510000000000001</v>
      </c>
      <c r="BW20">
        <f>VLOOKUP($A20&amp;BW$3&amp;BW$1,DB!$A:$J,10,0)</f>
        <v>0.2074</v>
      </c>
      <c r="BX20">
        <f>VLOOKUP($A20&amp;BX$3&amp;BX$1,DB!$A:$J,10,0)</f>
        <v>0.27950000000000003</v>
      </c>
      <c r="BY20">
        <f>VLOOKUP($A20&amp;BY$3&amp;BY$1,DB!$A:$J,10,0)</f>
        <v>0</v>
      </c>
      <c r="BZ20">
        <f>VLOOKUP($A20&amp;BZ$3&amp;BZ$1,DB!$A:$J,10,0)</f>
        <v>0.2029</v>
      </c>
      <c r="CA20">
        <f>VLOOKUP($A20&amp;CA$3&amp;CA$1,DB!$A:$J,10,0)</f>
        <v>0.24099999999999999</v>
      </c>
      <c r="CB20">
        <f>VLOOKUP($A20&amp;CB$3&amp;CB$1,DB!$A:$J,10,0)</f>
        <v>0.20610000000000001</v>
      </c>
      <c r="CC20">
        <f>VLOOKUP($A20&amp;CC$3&amp;CC$1,DB!$A:$J,10,0)</f>
        <v>0.24940000000000001</v>
      </c>
      <c r="CD20">
        <f>VLOOKUP($A20&amp;CD$3&amp;CD$1,DB!$A:$J,10,0)</f>
        <v>2150.4</v>
      </c>
      <c r="CE20">
        <f>VLOOKUP($A20&amp;CE$3&amp;CE$1,DB!$A:$J,10,0)</f>
        <v>6015.94</v>
      </c>
      <c r="CF20">
        <f>VLOOKUP($A20&amp;CF$3&amp;CF$1,DB!$A:$J,10,0)</f>
        <v>6181.28</v>
      </c>
      <c r="CG20">
        <f>VLOOKUP($A20&amp;CG$3&amp;CG$1,DB!$A:$J,10,0)</f>
        <v>2034.06</v>
      </c>
      <c r="CH20">
        <f>VLOOKUP($A20&amp;CH$3&amp;CH$1,DB!$A:$J,10,0)</f>
        <v>1837.84</v>
      </c>
      <c r="CI20">
        <f>VLOOKUP($A20&amp;CI$3&amp;CI$1,DB!$A:$J,10,0)</f>
        <v>2248.67</v>
      </c>
      <c r="CJ20">
        <f>VLOOKUP($A20&amp;CJ$3&amp;CJ$1,DB!$A:$J,10,0)</f>
        <v>5011.97</v>
      </c>
      <c r="CK20">
        <f>VLOOKUP($A20&amp;CK$3&amp;CK$1,DB!$A:$J,10,0)</f>
        <v>6764.29</v>
      </c>
      <c r="CL20">
        <f>VLOOKUP($A20&amp;CL$3&amp;CL$1,DB!$A:$J,10,0)</f>
        <v>6044.7</v>
      </c>
      <c r="CM20">
        <f>VLOOKUP($A20&amp;CM$3&amp;CM$1,DB!$A:$J,10,0)</f>
        <v>7367.73</v>
      </c>
      <c r="CN20">
        <f>VLOOKUP($A20&amp;CN$3&amp;CN$1,DB!$A:$J,10,0)</f>
        <v>7877.99</v>
      </c>
      <c r="CO20">
        <f>VLOOKUP($A20&amp;CO$3&amp;CO$1,DB!$A:$J,10,0)</f>
        <v>9868.66</v>
      </c>
      <c r="CP20">
        <f>VLOOKUP($A20&amp;CP$3&amp;CP$1,DB!$A:$J,10,0)</f>
        <v>9947.39</v>
      </c>
      <c r="CQ20">
        <f>VLOOKUP($A20&amp;CQ$3&amp;CQ$1,DB!$A:$J,10,0)</f>
        <v>8367.94</v>
      </c>
      <c r="CR20">
        <f>VLOOKUP($A20&amp;CR$3&amp;CR$1,DB!$A:$J,10,0)</f>
        <v>13643.25</v>
      </c>
      <c r="CS20">
        <f>VLOOKUP($A20&amp;CS$3&amp;CS$1,DB!$A:$J,10,0)</f>
        <v>10812.7</v>
      </c>
      <c r="CT20">
        <f>VLOOKUP($A20&amp;CT$3&amp;CT$1,DB!$A:$J,10,0)</f>
        <v>12520.62</v>
      </c>
      <c r="CU20">
        <f>VLOOKUP($A20&amp;CU$3&amp;CU$1,DB!$A:$J,10,0)</f>
        <v>14406.86</v>
      </c>
      <c r="CV20">
        <f>VLOOKUP($A20&amp;CV$3&amp;CV$1,DB!$A:$J,10,0)</f>
        <v>14526.73</v>
      </c>
      <c r="CW20">
        <f>VLOOKUP($A20&amp;CW$3&amp;CW$1,DB!$A:$J,10,0)</f>
        <v>17820.96</v>
      </c>
      <c r="CX20">
        <f>VLOOKUP($A20&amp;CX$3&amp;CX$1,DB!$A:$J,10,0)</f>
        <v>5295.49</v>
      </c>
      <c r="CY20">
        <f>VLOOKUP($A20&amp;CY$3&amp;CY$1,DB!$A:$J,10,0)</f>
        <v>8651.1200000000008</v>
      </c>
      <c r="CZ20">
        <f>VLOOKUP($A20&amp;CZ$3&amp;CZ$1,DB!$A:$J,10,0)</f>
        <v>7964.49</v>
      </c>
      <c r="DA20">
        <f>VLOOKUP($A20&amp;DA$3&amp;DA$1,DB!$A:$J,10,0)</f>
        <v>5785.96</v>
      </c>
      <c r="DB20">
        <f>VLOOKUP($A20&amp;DB$3&amp;DB$1,DB!$A:$J,10,0)</f>
        <v>8755.9699999999993</v>
      </c>
      <c r="DC20">
        <f>VLOOKUP($A20&amp;DC$3&amp;DC$1,DB!$A:$J,10,0)</f>
        <v>7004.27</v>
      </c>
      <c r="DD20">
        <f>VLOOKUP($A20&amp;DD$3&amp;DD$1,DB!$A:$J,10,0)</f>
        <v>10110.4</v>
      </c>
      <c r="DE20">
        <f>VLOOKUP($A20&amp;DE$3&amp;DE$1,DB!$A:$J,10,0)</f>
        <v>16366.41</v>
      </c>
      <c r="DF20">
        <f>VLOOKUP($A20&amp;DF$3&amp;DF$1,DB!$A:$J,10,0)</f>
        <v>17616.77</v>
      </c>
      <c r="DG20">
        <f>VLOOKUP($A20&amp;DG$3&amp;DG$1,DB!$A:$J,10,0)</f>
        <v>20442.05</v>
      </c>
      <c r="DH20">
        <f>VLOOKUP($A20&amp;DH$3&amp;DH$1,DB!$A:$J,10,0)</f>
        <v>5295.49</v>
      </c>
      <c r="DI20">
        <f>VLOOKUP($A20&amp;DI$3&amp;DI$1,DB!$A:$J,10,0)</f>
        <v>8651.1200000000008</v>
      </c>
      <c r="DJ20">
        <f>VLOOKUP($A20&amp;DJ$3&amp;DJ$1,DB!$A:$J,10,0)</f>
        <v>7964.49</v>
      </c>
      <c r="DK20">
        <f>VLOOKUP($A20&amp;DK$3&amp;DK$1,DB!$A:$J,10,0)</f>
        <v>5785.96</v>
      </c>
      <c r="DL20">
        <f>VLOOKUP($A20&amp;DL$3&amp;DL$1,DB!$A:$J,10,0)</f>
        <v>8755.9699999999993</v>
      </c>
      <c r="DM20">
        <f>VLOOKUP($A20&amp;DM$3&amp;DM$1,DB!$A:$J,10,0)</f>
        <v>7004.27</v>
      </c>
      <c r="DN20">
        <f>VLOOKUP($A20&amp;DN$3&amp;DN$1,DB!$A:$J,10,0)</f>
        <v>10110.4</v>
      </c>
      <c r="DO20">
        <f>VLOOKUP($A20&amp;DO$3&amp;DO$1,DB!$A:$J,10,0)</f>
        <v>16366.41</v>
      </c>
      <c r="DP20">
        <f>VLOOKUP($A20&amp;DP$3&amp;DP$1,DB!$A:$J,10,0)</f>
        <v>17616.77</v>
      </c>
      <c r="DQ20">
        <f>VLOOKUP($A20&amp;DQ$3&amp;DQ$1,DB!$A:$J,10,0)</f>
        <v>20442.05</v>
      </c>
      <c r="DR20">
        <f>VLOOKUP($A20&amp;DR$3&amp;DR$1,DB!$A:$J,10,0)</f>
        <v>2773.87</v>
      </c>
      <c r="DS20">
        <f>VLOOKUP($A20&amp;DS$3&amp;DS$1,DB!$A:$J,10,0)</f>
        <v>5379.79</v>
      </c>
      <c r="DT20">
        <f>VLOOKUP($A20&amp;DT$3&amp;DT$1,DB!$A:$J,10,0)</f>
        <v>2216.79</v>
      </c>
      <c r="DU20">
        <f>VLOOKUP($A20&amp;DU$3&amp;DU$1,DB!$A:$J,10,0)</f>
        <v>5364.91</v>
      </c>
      <c r="DV20">
        <f>VLOOKUP($A20&amp;DV$3&amp;DV$1,DB!$A:$J,10,0)</f>
        <v>6634.62</v>
      </c>
      <c r="DW20">
        <f>VLOOKUP($A20&amp;DW$3&amp;DW$1,DB!$A:$J,10,0)</f>
        <v>0</v>
      </c>
      <c r="DX20">
        <f>VLOOKUP($A20&amp;DX$3&amp;DX$1,DB!$A:$J,10,0)</f>
        <v>4232.6000000000004</v>
      </c>
      <c r="DY20">
        <f>VLOOKUP($A20&amp;DY$3&amp;DY$1,DB!$A:$J,10,0)</f>
        <v>4960.71</v>
      </c>
      <c r="DZ20">
        <f>VLOOKUP($A20&amp;DZ$3&amp;DZ$1,DB!$A:$J,10,0)</f>
        <v>6354.63</v>
      </c>
      <c r="EA20">
        <f>VLOOKUP($A20&amp;EA$3&amp;EA$1,DB!$A:$J,10,0)</f>
        <v>8233.6200000000008</v>
      </c>
      <c r="EB20">
        <f>VLOOKUP($A20&amp;EB$3&amp;EB$1,DB!$A:$J,10,0)</f>
        <v>804.69</v>
      </c>
      <c r="EC20">
        <f>VLOOKUP($A20&amp;EC$3&amp;EC$1,DB!$A:$J,10,0)</f>
        <v>1697.84</v>
      </c>
      <c r="ED20">
        <f>VLOOKUP($A20&amp;ED$3&amp;ED$1,DB!$A:$J,10,0)</f>
        <v>2793.66</v>
      </c>
      <c r="EE20">
        <f>VLOOKUP($A20&amp;EE$3&amp;EE$1,DB!$A:$J,10,0)</f>
        <v>234.29</v>
      </c>
      <c r="EF20">
        <f>VLOOKUP($A20&amp;EF$3&amp;EF$1,DB!$A:$J,10,0)</f>
        <v>2121.35</v>
      </c>
      <c r="EG20">
        <f>VLOOKUP($A20&amp;EG$3&amp;EG$1,DB!$A:$J,10,0)</f>
        <v>6106.53</v>
      </c>
      <c r="EH20">
        <f>VLOOKUP($A20&amp;EH$3&amp;EH$1,DB!$A:$J,10,0)</f>
        <v>739.89</v>
      </c>
      <c r="EI20">
        <f>VLOOKUP($A20&amp;EI$3&amp;EI$1,DB!$A:$J,10,0)</f>
        <v>1105.54</v>
      </c>
      <c r="EJ20">
        <f>VLOOKUP($A20&amp;EJ$3&amp;EJ$1,DB!$A:$J,10,0)</f>
        <v>0</v>
      </c>
      <c r="EK20">
        <f>VLOOKUP($A20&amp;EK$3&amp;EK$1,DB!$A:$J,10,0)</f>
        <v>172.75</v>
      </c>
    </row>
    <row r="21" spans="1:141" hidden="1" x14ac:dyDescent="0.35">
      <c r="A21" t="s">
        <v>57</v>
      </c>
      <c r="B21">
        <f>VLOOKUP($A21&amp;B$3&amp;B$1,DB!$A:$J,10,0)</f>
        <v>0.28139999999999998</v>
      </c>
      <c r="C21">
        <f>VLOOKUP($A21&amp;C$3&amp;C$1,DB!$A:$J,10,0)</f>
        <v>0.27010000000000001</v>
      </c>
      <c r="D21">
        <f>VLOOKUP($A21&amp;D$3&amp;D$1,DB!$A:$J,10,0)</f>
        <v>0.34510000000000002</v>
      </c>
      <c r="E21">
        <f>VLOOKUP($A21&amp;E$3&amp;E$1,DB!$A:$J,10,0)</f>
        <v>0.25080000000000002</v>
      </c>
      <c r="F21">
        <f>VLOOKUP($A21&amp;F$3&amp;F$1,DB!$A:$J,10,0)</f>
        <v>0.2515</v>
      </c>
      <c r="G21">
        <f>VLOOKUP($A21&amp;G$3&amp;G$1,DB!$A:$J,10,0)</f>
        <v>0.25130000000000002</v>
      </c>
      <c r="H21">
        <f>VLOOKUP($A21&amp;H$3&amp;H$1,DB!$A:$J,10,0)</f>
        <v>0.21360000000000001</v>
      </c>
      <c r="I21">
        <f>VLOOKUP($A21&amp;I$3&amp;I$1,DB!$A:$J,10,0)</f>
        <v>0.28050000000000003</v>
      </c>
      <c r="J21">
        <f>VLOOKUP($A21&amp;J$3&amp;J$1,DB!$A:$J,10,0)</f>
        <v>0.28510000000000002</v>
      </c>
      <c r="K21">
        <f>VLOOKUP($A21&amp;K$3&amp;K$1,DB!$A:$J,10,0)</f>
        <v>0.30759999999999998</v>
      </c>
      <c r="L21">
        <f>VLOOKUP($A21&amp;L$3&amp;L$1,DB!$A:$J,10,0)</f>
        <v>0.89729999999999999</v>
      </c>
      <c r="M21">
        <f>VLOOKUP($A21&amp;M$3&amp;M$1,DB!$A:$J,10,0)</f>
        <v>0.85819999999999996</v>
      </c>
      <c r="N21">
        <f>VLOOKUP($A21&amp;N$3&amp;N$1,DB!$A:$J,10,0)</f>
        <v>0.78010000000000002</v>
      </c>
      <c r="O21">
        <f>VLOOKUP($A21&amp;O$3&amp;O$1,DB!$A:$J,10,0)</f>
        <v>0.60289999999999999</v>
      </c>
      <c r="P21">
        <f>VLOOKUP($A21&amp;P$3&amp;P$1,DB!$A:$J,10,0)</f>
        <v>0.69379999999999997</v>
      </c>
      <c r="Q21">
        <f>VLOOKUP($A21&amp;Q$3&amp;Q$1,DB!$A:$J,10,0)</f>
        <v>0.6522</v>
      </c>
      <c r="R21">
        <f>VLOOKUP($A21&amp;R$3&amp;R$1,DB!$A:$J,10,0)</f>
        <v>0.67989999999999995</v>
      </c>
      <c r="S21">
        <f>VLOOKUP($A21&amp;S$3&amp;S$1,DB!$A:$J,10,0)</f>
        <v>0.97509999999999997</v>
      </c>
      <c r="T21">
        <f>VLOOKUP($A21&amp;T$3&amp;T$1,DB!$A:$J,10,0)</f>
        <v>0.99550000000000005</v>
      </c>
      <c r="U21">
        <f>VLOOKUP($A21&amp;U$3&amp;U$1,DB!$A:$J,10,0)</f>
        <v>0.9103</v>
      </c>
      <c r="V21">
        <f>VLOOKUP($A21&amp;V$3&amp;V$1,DB!$A:$J,10,0)</f>
        <v>0.1027</v>
      </c>
      <c r="W21">
        <f>VLOOKUP($A21&amp;W$3&amp;W$1,DB!$A:$J,10,0)</f>
        <v>0.14180000000000001</v>
      </c>
      <c r="X21">
        <f>VLOOKUP($A21&amp;X$3&amp;X$1,DB!$A:$J,10,0)</f>
        <v>0.21990000000000001</v>
      </c>
      <c r="Y21">
        <f>VLOOKUP($A21&amp;Y$3&amp;Y$1,DB!$A:$J,10,0)</f>
        <v>0.39710000000000001</v>
      </c>
      <c r="Z21">
        <f>VLOOKUP($A21&amp;Z$3&amp;Z$1,DB!$A:$J,10,0)</f>
        <v>0.30620000000000003</v>
      </c>
      <c r="AA21">
        <f>VLOOKUP($A21&amp;AA$3&amp;AA$1,DB!$A:$J,10,0)</f>
        <v>0.30759999999999998</v>
      </c>
      <c r="AB21">
        <f>VLOOKUP($A21&amp;AB$3&amp;AB$1,DB!$A:$J,10,0)</f>
        <v>0.19769999999999999</v>
      </c>
      <c r="AC21">
        <f>VLOOKUP($A21&amp;AC$3&amp;AC$1,DB!$A:$J,10,0)</f>
        <v>2.41E-2</v>
      </c>
      <c r="AD21">
        <f>VLOOKUP($A21&amp;AD$3&amp;AD$1,DB!$A:$J,10,0)</f>
        <v>4.4999999999999997E-3</v>
      </c>
      <c r="AE21">
        <f>VLOOKUP($A21&amp;AE$3&amp;AE$1,DB!$A:$J,10,0)</f>
        <v>1.95E-2</v>
      </c>
      <c r="AF21">
        <f>VLOOKUP($A21&amp;AF$3&amp;AF$1,DB!$A:$J,10,0)</f>
        <v>2.52E-2</v>
      </c>
      <c r="AG21">
        <f>VLOOKUP($A21&amp;AG$3&amp;AG$1,DB!$A:$J,10,0)</f>
        <v>7.3200000000000001E-2</v>
      </c>
      <c r="AH21">
        <f>VLOOKUP($A21&amp;AH$3&amp;AH$1,DB!$A:$J,10,0)</f>
        <v>0.30220000000000002</v>
      </c>
      <c r="AI21">
        <f>VLOOKUP($A21&amp;AI$3&amp;AI$1,DB!$A:$J,10,0)</f>
        <v>0</v>
      </c>
      <c r="AJ21">
        <f>VLOOKUP($A21&amp;AJ$3&amp;AJ$1,DB!$A:$J,10,0)</f>
        <v>0</v>
      </c>
      <c r="AK21">
        <f>VLOOKUP($A21&amp;AK$3&amp;AK$1,DB!$A:$J,10,0)</f>
        <v>0.25030000000000002</v>
      </c>
      <c r="AL21">
        <f>VLOOKUP($A21&amp;AL$3&amp;AL$1,DB!$A:$J,10,0)</f>
        <v>0.16139999999999999</v>
      </c>
      <c r="AM21">
        <f>VLOOKUP($A21&amp;AM$3&amp;AM$1,DB!$A:$J,10,0)</f>
        <v>0.16520000000000001</v>
      </c>
      <c r="AN21">
        <f>VLOOKUP($A21&amp;AN$3&amp;AN$1,DB!$A:$J,10,0)</f>
        <v>0.1391</v>
      </c>
      <c r="AO21">
        <f>VLOOKUP($A21&amp;AO$3&amp;AO$1,DB!$A:$J,10,0)</f>
        <v>0.16059999999999999</v>
      </c>
      <c r="AP21">
        <f>VLOOKUP($A21&amp;AP$3&amp;AP$1,DB!$A:$J,10,0)</f>
        <v>0.89929999999999999</v>
      </c>
      <c r="AQ21">
        <f>VLOOKUP($A21&amp;AQ$3&amp;AQ$1,DB!$A:$J,10,0)</f>
        <v>0.87560000000000004</v>
      </c>
      <c r="AR21">
        <f>VLOOKUP($A21&amp;AR$3&amp;AR$1,DB!$A:$J,10,0)</f>
        <v>0.72509999999999997</v>
      </c>
      <c r="AS21">
        <f>VLOOKUP($A21&amp;AS$3&amp;AS$1,DB!$A:$J,10,0)</f>
        <v>1.0959000000000001</v>
      </c>
      <c r="AT21">
        <f>VLOOKUP($A21&amp;AT$3&amp;AT$1,DB!$A:$J,10,0)</f>
        <v>0.95789999999999997</v>
      </c>
      <c r="AU21">
        <f>VLOOKUP($A21&amp;AU$3&amp;AU$1,DB!$A:$J,10,0)</f>
        <v>0.70950000000000002</v>
      </c>
      <c r="AV21">
        <f>VLOOKUP($A21&amp;AV$3&amp;AV$1,DB!$A:$J,10,0)</f>
        <v>0.71619999999999995</v>
      </c>
      <c r="AW21">
        <f>VLOOKUP($A21&amp;AW$3&amp;AW$1,DB!$A:$J,10,0)</f>
        <v>0.83399999999999996</v>
      </c>
      <c r="AX21">
        <f>VLOOKUP($A21&amp;AX$3&amp;AX$1,DB!$A:$J,10,0)</f>
        <v>0.82630000000000003</v>
      </c>
      <c r="AY21">
        <f>VLOOKUP($A21&amp;AY$3&amp;AY$1,DB!$A:$J,10,0)</f>
        <v>0.746</v>
      </c>
      <c r="AZ21">
        <f>VLOOKUP($A21&amp;AZ$3&amp;AZ$1,DB!$A:$J,10,0)</f>
        <v>0.1487</v>
      </c>
      <c r="BA21">
        <f>VLOOKUP($A21&amp;BA$3&amp;BA$1,DB!$A:$J,10,0)</f>
        <v>0.14269999999999999</v>
      </c>
      <c r="BB21">
        <f>VLOOKUP($A21&amp;BB$3&amp;BB$1,DB!$A:$J,10,0)</f>
        <v>0.2014</v>
      </c>
      <c r="BC21">
        <f>VLOOKUP($A21&amp;BC$3&amp;BC$1,DB!$A:$J,10,0)</f>
        <v>0.1201</v>
      </c>
      <c r="BD21">
        <f>VLOOKUP($A21&amp;BD$3&amp;BD$1,DB!$A:$J,10,0)</f>
        <v>0.1124</v>
      </c>
      <c r="BE21">
        <f>VLOOKUP($A21&amp;BE$3&amp;BE$1,DB!$A:$J,10,0)</f>
        <v>0</v>
      </c>
      <c r="BF21">
        <f>VLOOKUP($A21&amp;BF$3&amp;BF$1,DB!$A:$J,10,0)</f>
        <v>0.1361</v>
      </c>
      <c r="BG21">
        <f>VLOOKUP($A21&amp;BG$3&amp;BG$1,DB!$A:$J,10,0)</f>
        <v>0.13150000000000001</v>
      </c>
      <c r="BH21">
        <f>VLOOKUP($A21&amp;BH$3&amp;BH$1,DB!$A:$J,10,0)</f>
        <v>7.2099999999999997E-2</v>
      </c>
      <c r="BI21">
        <f>VLOOKUP($A21&amp;BI$3&amp;BI$1,DB!$A:$J,10,0)</f>
        <v>0.15110000000000001</v>
      </c>
      <c r="BJ21">
        <f>VLOOKUP($A21&amp;BJ$3&amp;BJ$1,DB!$A:$J,10,0)</f>
        <v>0.78720000000000001</v>
      </c>
      <c r="BK21">
        <f>VLOOKUP($A21&amp;BK$3&amp;BK$1,DB!$A:$J,10,0)</f>
        <v>0.63490000000000002</v>
      </c>
      <c r="BL21">
        <f>VLOOKUP($A21&amp;BL$3&amp;BL$1,DB!$A:$J,10,0)</f>
        <v>0.65720000000000001</v>
      </c>
      <c r="BM21">
        <f>VLOOKUP($A21&amp;BM$3&amp;BM$1,DB!$A:$J,10,0)</f>
        <v>0.63749999999999996</v>
      </c>
      <c r="BN21">
        <f>VLOOKUP($A21&amp;BN$3&amp;BN$1,DB!$A:$J,10,0)</f>
        <v>0.65159999999999996</v>
      </c>
      <c r="BO21">
        <f>VLOOKUP($A21&amp;BO$3&amp;BO$1,DB!$A:$J,10,0)</f>
        <v>0</v>
      </c>
      <c r="BP21">
        <f>VLOOKUP($A21&amp;BP$3&amp;BP$1,DB!$A:$J,10,0)</f>
        <v>0.7349</v>
      </c>
      <c r="BQ21">
        <f>VLOOKUP($A21&amp;BQ$3&amp;BQ$1,DB!$A:$J,10,0)</f>
        <v>0.55679999999999996</v>
      </c>
      <c r="BR21">
        <f>VLOOKUP($A21&amp;BR$3&amp;BR$1,DB!$A:$J,10,0)</f>
        <v>0.28489999999999999</v>
      </c>
      <c r="BS21">
        <f>VLOOKUP($A21&amp;BS$3&amp;BS$1,DB!$A:$J,10,0)</f>
        <v>0.51480000000000004</v>
      </c>
      <c r="BT21">
        <f>VLOOKUP($A21&amp;BT$3&amp;BT$1,DB!$A:$J,10,0)</f>
        <v>0.30740000000000001</v>
      </c>
      <c r="BU21">
        <f>VLOOKUP($A21&amp;BU$3&amp;BU$1,DB!$A:$J,10,0)</f>
        <v>0.29099999999999998</v>
      </c>
      <c r="BV21">
        <f>VLOOKUP($A21&amp;BV$3&amp;BV$1,DB!$A:$J,10,0)</f>
        <v>0.4909</v>
      </c>
      <c r="BW21">
        <f>VLOOKUP($A21&amp;BW$3&amp;BW$1,DB!$A:$J,10,0)</f>
        <v>0.30459999999999998</v>
      </c>
      <c r="BX21">
        <f>VLOOKUP($A21&amp;BX$3&amp;BX$1,DB!$A:$J,10,0)</f>
        <v>0.28799999999999998</v>
      </c>
      <c r="BY21">
        <f>VLOOKUP($A21&amp;BY$3&amp;BY$1,DB!$A:$J,10,0)</f>
        <v>0</v>
      </c>
      <c r="BZ21">
        <f>VLOOKUP($A21&amp;BZ$3&amp;BZ$1,DB!$A:$J,10,0)</f>
        <v>0.23369999999999999</v>
      </c>
      <c r="CA21">
        <f>VLOOKUP($A21&amp;CA$3&amp;CA$1,DB!$A:$J,10,0)</f>
        <v>0.27600000000000002</v>
      </c>
      <c r="CB21">
        <f>VLOOKUP($A21&amp;CB$3&amp;CB$1,DB!$A:$J,10,0)</f>
        <v>0</v>
      </c>
      <c r="CC21">
        <f>VLOOKUP($A21&amp;CC$3&amp;CC$1,DB!$A:$J,10,0)</f>
        <v>0.27900000000000003</v>
      </c>
      <c r="CD21">
        <f>VLOOKUP($A21&amp;CD$3&amp;CD$1,DB!$A:$J,10,0)</f>
        <v>3101.12</v>
      </c>
      <c r="CE21">
        <f>VLOOKUP($A21&amp;CE$3&amp;CE$1,DB!$A:$J,10,0)</f>
        <v>3175.67</v>
      </c>
      <c r="CF21">
        <f>VLOOKUP($A21&amp;CF$3&amp;CF$1,DB!$A:$J,10,0)</f>
        <v>4671.22</v>
      </c>
      <c r="CG21">
        <f>VLOOKUP($A21&amp;CG$3&amp;CG$1,DB!$A:$J,10,0)</f>
        <v>2718.07</v>
      </c>
      <c r="CH21">
        <f>VLOOKUP($A21&amp;CH$3&amp;CH$1,DB!$A:$J,10,0)</f>
        <v>2424</v>
      </c>
      <c r="CI21">
        <f>VLOOKUP($A21&amp;CI$3&amp;CI$1,DB!$A:$J,10,0)</f>
        <v>4623</v>
      </c>
      <c r="CJ21">
        <f>VLOOKUP($A21&amp;CJ$3&amp;CJ$1,DB!$A:$J,10,0)</f>
        <v>3545.16</v>
      </c>
      <c r="CK21">
        <f>VLOOKUP($A21&amp;CK$3&amp;CK$1,DB!$A:$J,10,0)</f>
        <v>5538.56</v>
      </c>
      <c r="CL21">
        <f>VLOOKUP($A21&amp;CL$3&amp;CL$1,DB!$A:$J,10,0)</f>
        <v>5652.4</v>
      </c>
      <c r="CM21">
        <f>VLOOKUP($A21&amp;CM$3&amp;CM$1,DB!$A:$J,10,0)</f>
        <v>7250.44</v>
      </c>
      <c r="CN21">
        <f>VLOOKUP($A21&amp;CN$3&amp;CN$1,DB!$A:$J,10,0)</f>
        <v>5395.01</v>
      </c>
      <c r="CO21">
        <f>VLOOKUP($A21&amp;CO$3&amp;CO$1,DB!$A:$J,10,0)</f>
        <v>5275.6</v>
      </c>
      <c r="CP21">
        <f>VLOOKUP($A21&amp;CP$3&amp;CP$1,DB!$A:$J,10,0)</f>
        <v>5848.87</v>
      </c>
      <c r="CQ21">
        <f>VLOOKUP($A21&amp;CQ$3&amp;CQ$1,DB!$A:$J,10,0)</f>
        <v>5571.96</v>
      </c>
      <c r="CR21">
        <f>VLOOKUP($A21&amp;CR$3&amp;CR$1,DB!$A:$J,10,0)</f>
        <v>6102.5</v>
      </c>
      <c r="CS21">
        <f>VLOOKUP($A21&amp;CS$3&amp;CS$1,DB!$A:$J,10,0)</f>
        <v>5857.87</v>
      </c>
      <c r="CT21">
        <f>VLOOKUP($A21&amp;CT$3&amp;CT$1,DB!$A:$J,10,0)</f>
        <v>8627.83</v>
      </c>
      <c r="CU21">
        <f>VLOOKUP($A21&amp;CU$3&amp;CU$1,DB!$A:$J,10,0)</f>
        <v>10554.66</v>
      </c>
      <c r="CV21">
        <f>VLOOKUP($A21&amp;CV$3&amp;CV$1,DB!$A:$J,10,0)</f>
        <v>11970.99</v>
      </c>
      <c r="CW21">
        <f>VLOOKUP($A21&amp;CW$3&amp;CW$1,DB!$A:$J,10,0)</f>
        <v>15854.27</v>
      </c>
      <c r="CX21">
        <f>VLOOKUP($A21&amp;CX$3&amp;CX$1,DB!$A:$J,10,0)</f>
        <v>4755.8500000000004</v>
      </c>
      <c r="CY21">
        <f>VLOOKUP($A21&amp;CY$3&amp;CY$1,DB!$A:$J,10,0)</f>
        <v>4591.51</v>
      </c>
      <c r="CZ21">
        <f>VLOOKUP($A21&amp;CZ$3&amp;CZ$1,DB!$A:$J,10,0)</f>
        <v>5270.05</v>
      </c>
      <c r="DA21">
        <f>VLOOKUP($A21&amp;DA$3&amp;DA$1,DB!$A:$J,10,0)</f>
        <v>4842.66</v>
      </c>
      <c r="DB21">
        <f>VLOOKUP($A21&amp;DB$3&amp;DB$1,DB!$A:$J,10,0)</f>
        <v>5119.45</v>
      </c>
      <c r="DC21">
        <f>VLOOKUP($A21&amp;DC$3&amp;DC$1,DB!$A:$J,10,0)</f>
        <v>5560.61</v>
      </c>
      <c r="DD21">
        <f>VLOOKUP($A21&amp;DD$3&amp;DD$1,DB!$A:$J,10,0)</f>
        <v>7766.17</v>
      </c>
      <c r="DE21">
        <f>VLOOKUP($A21&amp;DE$3&amp;DE$1,DB!$A:$J,10,0)</f>
        <v>12749.18</v>
      </c>
      <c r="DF21">
        <f>VLOOKUP($A21&amp;DF$3&amp;DF$1,DB!$A:$J,10,0)</f>
        <v>26769.91</v>
      </c>
      <c r="DG21">
        <f>VLOOKUP($A21&amp;DG$3&amp;DG$1,DB!$A:$J,10,0)</f>
        <v>18412.04</v>
      </c>
      <c r="DH21">
        <f>VLOOKUP($A21&amp;DH$3&amp;DH$1,DB!$A:$J,10,0)</f>
        <v>4755.8500000000004</v>
      </c>
      <c r="DI21">
        <f>VLOOKUP($A21&amp;DI$3&amp;DI$1,DB!$A:$J,10,0)</f>
        <v>4591.51</v>
      </c>
      <c r="DJ21">
        <f>VLOOKUP($A21&amp;DJ$3&amp;DJ$1,DB!$A:$J,10,0)</f>
        <v>5270.05</v>
      </c>
      <c r="DK21">
        <f>VLOOKUP($A21&amp;DK$3&amp;DK$1,DB!$A:$J,10,0)</f>
        <v>4842.66</v>
      </c>
      <c r="DL21">
        <f>VLOOKUP($A21&amp;DL$3&amp;DL$1,DB!$A:$J,10,0)</f>
        <v>5119.45</v>
      </c>
      <c r="DM21">
        <f>VLOOKUP($A21&amp;DM$3&amp;DM$1,DB!$A:$J,10,0)</f>
        <v>5560.61</v>
      </c>
      <c r="DN21">
        <f>VLOOKUP($A21&amp;DN$3&amp;DN$1,DB!$A:$J,10,0)</f>
        <v>7766.17</v>
      </c>
      <c r="DO21">
        <f>VLOOKUP($A21&amp;DO$3&amp;DO$1,DB!$A:$J,10,0)</f>
        <v>12749.18</v>
      </c>
      <c r="DP21">
        <f>VLOOKUP($A21&amp;DP$3&amp;DP$1,DB!$A:$J,10,0)</f>
        <v>26769.91</v>
      </c>
      <c r="DQ21">
        <f>VLOOKUP($A21&amp;DQ$3&amp;DQ$1,DB!$A:$J,10,0)</f>
        <v>18412.04</v>
      </c>
      <c r="DR21">
        <f>VLOOKUP($A21&amp;DR$3&amp;DR$1,DB!$A:$J,10,0)</f>
        <v>2493.81</v>
      </c>
      <c r="DS21">
        <f>VLOOKUP($A21&amp;DS$3&amp;DS$1,DB!$A:$J,10,0)</f>
        <v>2693.38</v>
      </c>
      <c r="DT21">
        <f>VLOOKUP($A21&amp;DT$3&amp;DT$1,DB!$A:$J,10,0)</f>
        <v>3512.51</v>
      </c>
      <c r="DU21">
        <f>VLOOKUP($A21&amp;DU$3&amp;DU$1,DB!$A:$J,10,0)</f>
        <v>2414</v>
      </c>
      <c r="DV21">
        <f>VLOOKUP($A21&amp;DV$3&amp;DV$1,DB!$A:$J,10,0)</f>
        <v>3559.83</v>
      </c>
      <c r="DW21">
        <f>VLOOKUP($A21&amp;DW$3&amp;DW$1,DB!$A:$J,10,0)</f>
        <v>0</v>
      </c>
      <c r="DX21">
        <f>VLOOKUP($A21&amp;DX$3&amp;DX$1,DB!$A:$J,10,0)</f>
        <v>4095.26</v>
      </c>
      <c r="DY21">
        <f>VLOOKUP($A21&amp;DY$3&amp;DY$1,DB!$A:$J,10,0)</f>
        <v>6215.46</v>
      </c>
      <c r="DZ21">
        <f>VLOOKUP($A21&amp;DZ$3&amp;DZ$1,DB!$A:$J,10,0)</f>
        <v>6522.65</v>
      </c>
      <c r="EA21">
        <f>VLOOKUP($A21&amp;EA$3&amp;EA$1,DB!$A:$J,10,0)</f>
        <v>8176.29</v>
      </c>
      <c r="EB21">
        <f>VLOOKUP($A21&amp;EB$3&amp;EB$1,DB!$A:$J,10,0)</f>
        <v>799.01</v>
      </c>
      <c r="EC21">
        <f>VLOOKUP($A21&amp;EC$3&amp;EC$1,DB!$A:$J,10,0)</f>
        <v>976.18</v>
      </c>
      <c r="ED21">
        <f>VLOOKUP($A21&amp;ED$3&amp;ED$1,DB!$A:$J,10,0)</f>
        <v>920.93</v>
      </c>
      <c r="EE21">
        <f>VLOOKUP($A21&amp;EE$3&amp;EE$1,DB!$A:$J,10,0)</f>
        <v>2143.69</v>
      </c>
      <c r="EF21">
        <f>VLOOKUP($A21&amp;EF$3&amp;EF$1,DB!$A:$J,10,0)</f>
        <v>1023.18</v>
      </c>
      <c r="EG21">
        <f>VLOOKUP($A21&amp;EG$3&amp;EG$1,DB!$A:$J,10,0)</f>
        <v>3973.31</v>
      </c>
      <c r="EH21">
        <f>VLOOKUP($A21&amp;EH$3&amp;EH$1,DB!$A:$J,10,0)</f>
        <v>1088.73</v>
      </c>
      <c r="EI21">
        <f>VLOOKUP($A21&amp;EI$3&amp;EI$1,DB!$A:$J,10,0)</f>
        <v>47.68</v>
      </c>
      <c r="EJ21">
        <f>VLOOKUP($A21&amp;EJ$3&amp;EJ$1,DB!$A:$J,10,0)</f>
        <v>95.93</v>
      </c>
      <c r="EK21">
        <f>VLOOKUP($A21&amp;EK$3&amp;EK$1,DB!$A:$J,10,0)</f>
        <v>160.34</v>
      </c>
    </row>
    <row r="22" spans="1:141" hidden="1" x14ac:dyDescent="0.35">
      <c r="A22" t="s">
        <v>58</v>
      </c>
      <c r="B22">
        <f>VLOOKUP($A22&amp;B$3&amp;B$1,DB!$A:$J,10,0)</f>
        <v>0.2898</v>
      </c>
      <c r="C22">
        <f>VLOOKUP($A22&amp;C$3&amp;C$1,DB!$A:$J,10,0)</f>
        <v>0.25600000000000001</v>
      </c>
      <c r="D22">
        <f>VLOOKUP($A22&amp;D$3&amp;D$1,DB!$A:$J,10,0)</f>
        <v>0.29620000000000002</v>
      </c>
      <c r="E22">
        <f>VLOOKUP($A22&amp;E$3&amp;E$1,DB!$A:$J,10,0)</f>
        <v>0.26019999999999999</v>
      </c>
      <c r="F22">
        <f>VLOOKUP($A22&amp;F$3&amp;F$1,DB!$A:$J,10,0)</f>
        <v>0.31990000000000002</v>
      </c>
      <c r="G22">
        <f>VLOOKUP($A22&amp;G$3&amp;G$1,DB!$A:$J,10,0)</f>
        <v>0.28710000000000002</v>
      </c>
      <c r="H22">
        <f>VLOOKUP($A22&amp;H$3&amp;H$1,DB!$A:$J,10,0)</f>
        <v>0.21329999999999999</v>
      </c>
      <c r="I22">
        <f>VLOOKUP($A22&amp;I$3&amp;I$1,DB!$A:$J,10,0)</f>
        <v>0.251</v>
      </c>
      <c r="J22">
        <f>VLOOKUP($A22&amp;J$3&amp;J$1,DB!$A:$J,10,0)</f>
        <v>0.28349999999999997</v>
      </c>
      <c r="K22">
        <f>VLOOKUP($A22&amp;K$3&amp;K$1,DB!$A:$J,10,0)</f>
        <v>0.27150000000000002</v>
      </c>
      <c r="L22">
        <f>VLOOKUP($A22&amp;L$3&amp;L$1,DB!$A:$J,10,0)</f>
        <v>0.89870000000000005</v>
      </c>
      <c r="M22">
        <f>VLOOKUP($A22&amp;M$3&amp;M$1,DB!$A:$J,10,0)</f>
        <v>0.81569999999999998</v>
      </c>
      <c r="N22">
        <f>VLOOKUP($A22&amp;N$3&amp;N$1,DB!$A:$J,10,0)</f>
        <v>0.97809999999999997</v>
      </c>
      <c r="O22">
        <f>VLOOKUP($A22&amp;O$3&amp;O$1,DB!$A:$J,10,0)</f>
        <v>1</v>
      </c>
      <c r="P22">
        <f>VLOOKUP($A22&amp;P$3&amp;P$1,DB!$A:$J,10,0)</f>
        <v>0.82330000000000003</v>
      </c>
      <c r="Q22">
        <f>VLOOKUP($A22&amp;Q$3&amp;Q$1,DB!$A:$J,10,0)</f>
        <v>0.95079999999999998</v>
      </c>
      <c r="R22">
        <f>VLOOKUP($A22&amp;R$3&amp;R$1,DB!$A:$J,10,0)</f>
        <v>0.72599999999999998</v>
      </c>
      <c r="S22">
        <f>VLOOKUP($A22&amp;S$3&amp;S$1,DB!$A:$J,10,0)</f>
        <v>0.88060000000000005</v>
      </c>
      <c r="T22">
        <f>VLOOKUP($A22&amp;T$3&amp;T$1,DB!$A:$J,10,0)</f>
        <v>1</v>
      </c>
      <c r="U22">
        <f>VLOOKUP($A22&amp;U$3&amp;U$1,DB!$A:$J,10,0)</f>
        <v>1</v>
      </c>
      <c r="V22">
        <f>VLOOKUP($A22&amp;V$3&amp;V$1,DB!$A:$J,10,0)</f>
        <v>0.1013</v>
      </c>
      <c r="W22">
        <f>VLOOKUP($A22&amp;W$3&amp;W$1,DB!$A:$J,10,0)</f>
        <v>0.1842</v>
      </c>
      <c r="X22">
        <f>VLOOKUP($A22&amp;X$3&amp;X$1,DB!$A:$J,10,0)</f>
        <v>0</v>
      </c>
      <c r="Y22">
        <f>VLOOKUP($A22&amp;Y$3&amp;Y$1,DB!$A:$J,10,0)</f>
        <v>0</v>
      </c>
      <c r="Z22">
        <f>VLOOKUP($A22&amp;Z$3&amp;Z$1,DB!$A:$J,10,0)</f>
        <v>0.1767</v>
      </c>
      <c r="AA22">
        <f>VLOOKUP($A22&amp;AA$3&amp;AA$1,DB!$A:$J,10,0)</f>
        <v>4.7399999999999998E-2</v>
      </c>
      <c r="AB22">
        <f>VLOOKUP($A22&amp;AB$3&amp;AB$1,DB!$A:$J,10,0)</f>
        <v>0.1459</v>
      </c>
      <c r="AC22">
        <f>VLOOKUP($A22&amp;AC$3&amp;AC$1,DB!$A:$J,10,0)</f>
        <v>0.11940000000000001</v>
      </c>
      <c r="AD22">
        <f>VLOOKUP($A22&amp;AD$3&amp;AD$1,DB!$A:$J,10,0)</f>
        <v>0</v>
      </c>
      <c r="AE22">
        <f>VLOOKUP($A22&amp;AE$3&amp;AE$1,DB!$A:$J,10,0)</f>
        <v>0</v>
      </c>
      <c r="AF22">
        <f>VLOOKUP($A22&amp;AF$3&amp;AF$1,DB!$A:$J,10,0)</f>
        <v>0</v>
      </c>
      <c r="AG22">
        <f>VLOOKUP($A22&amp;AG$3&amp;AG$1,DB!$A:$J,10,0)</f>
        <v>3.3E-3</v>
      </c>
      <c r="AH22">
        <f>VLOOKUP($A22&amp;AH$3&amp;AH$1,DB!$A:$J,10,0)</f>
        <v>3.2500000000000001E-2</v>
      </c>
      <c r="AI22">
        <f>VLOOKUP($A22&amp;AI$3&amp;AI$1,DB!$A:$J,10,0)</f>
        <v>0</v>
      </c>
      <c r="AJ22">
        <f>VLOOKUP($A22&amp;AJ$3&amp;AJ$1,DB!$A:$J,10,0)</f>
        <v>0</v>
      </c>
      <c r="AK22">
        <f>VLOOKUP($A22&amp;AK$3&amp;AK$1,DB!$A:$J,10,0)</f>
        <v>0</v>
      </c>
      <c r="AL22">
        <f>VLOOKUP($A22&amp;AL$3&amp;AL$1,DB!$A:$J,10,0)</f>
        <v>2.76E-2</v>
      </c>
      <c r="AM22">
        <f>VLOOKUP($A22&amp;AM$3&amp;AM$1,DB!$A:$J,10,0)</f>
        <v>7.4800000000000005E-2</v>
      </c>
      <c r="AN22">
        <f>VLOOKUP($A22&amp;AN$3&amp;AN$1,DB!$A:$J,10,0)</f>
        <v>0</v>
      </c>
      <c r="AO22">
        <f>VLOOKUP($A22&amp;AO$3&amp;AO$1,DB!$A:$J,10,0)</f>
        <v>0.1066</v>
      </c>
      <c r="AP22">
        <f>VLOOKUP($A22&amp;AP$3&amp;AP$1,DB!$A:$J,10,0)</f>
        <v>0.85650000000000004</v>
      </c>
      <c r="AQ22">
        <f>VLOOKUP($A22&amp;AQ$3&amp;AQ$1,DB!$A:$J,10,0)</f>
        <v>0.79139999999999999</v>
      </c>
      <c r="AR22">
        <f>VLOOKUP($A22&amp;AR$3&amp;AR$1,DB!$A:$J,10,0)</f>
        <v>0.9456</v>
      </c>
      <c r="AS22">
        <f>VLOOKUP($A22&amp;AS$3&amp;AS$1,DB!$A:$J,10,0)</f>
        <v>0.7419</v>
      </c>
      <c r="AT22">
        <f>VLOOKUP($A22&amp;AT$3&amp;AT$1,DB!$A:$J,10,0)</f>
        <v>1</v>
      </c>
      <c r="AU22">
        <f>VLOOKUP($A22&amp;AU$3&amp;AU$1,DB!$A:$J,10,0)</f>
        <v>0.99819999999999998</v>
      </c>
      <c r="AV22">
        <f>VLOOKUP($A22&amp;AV$3&amp;AV$1,DB!$A:$J,10,0)</f>
        <v>0.84430000000000005</v>
      </c>
      <c r="AW22">
        <f>VLOOKUP($A22&amp;AW$3&amp;AW$1,DB!$A:$J,10,0)</f>
        <v>0.99360000000000004</v>
      </c>
      <c r="AX22">
        <f>VLOOKUP($A22&amp;AX$3&amp;AX$1,DB!$A:$J,10,0)</f>
        <v>1.07</v>
      </c>
      <c r="AY22">
        <f>VLOOKUP($A22&amp;AY$3&amp;AY$1,DB!$A:$J,10,0)</f>
        <v>0.94410000000000005</v>
      </c>
      <c r="AZ22">
        <f>VLOOKUP($A22&amp;AZ$3&amp;AZ$1,DB!$A:$J,10,0)</f>
        <v>7.9200000000000007E-2</v>
      </c>
      <c r="BA22">
        <f>VLOOKUP($A22&amp;BA$3&amp;BA$1,DB!$A:$J,10,0)</f>
        <v>0.10440000000000001</v>
      </c>
      <c r="BB22">
        <f>VLOOKUP($A22&amp;BB$3&amp;BB$1,DB!$A:$J,10,0)</f>
        <v>1.32E-2</v>
      </c>
      <c r="BC22">
        <f>VLOOKUP($A22&amp;BC$3&amp;BC$1,DB!$A:$J,10,0)</f>
        <v>0.11219999999999999</v>
      </c>
      <c r="BD22">
        <f>VLOOKUP($A22&amp;BD$3&amp;BD$1,DB!$A:$J,10,0)</f>
        <v>7.4499999999999997E-2</v>
      </c>
      <c r="BE22">
        <f>VLOOKUP($A22&amp;BE$3&amp;BE$1,DB!$A:$J,10,0)</f>
        <v>0</v>
      </c>
      <c r="BF22">
        <f>VLOOKUP($A22&amp;BF$3&amp;BF$1,DB!$A:$J,10,0)</f>
        <v>9.5000000000000001E-2</v>
      </c>
      <c r="BG22">
        <f>VLOOKUP($A22&amp;BG$3&amp;BG$1,DB!$A:$J,10,0)</f>
        <v>6.4699999999999994E-2</v>
      </c>
      <c r="BH22">
        <f>VLOOKUP($A22&amp;BH$3&amp;BH$1,DB!$A:$J,10,0)</f>
        <v>2.1600000000000001E-2</v>
      </c>
      <c r="BI22">
        <f>VLOOKUP($A22&amp;BI$3&amp;BI$1,DB!$A:$J,10,0)</f>
        <v>7.2499999999999995E-2</v>
      </c>
      <c r="BJ22">
        <f>VLOOKUP($A22&amp;BJ$3&amp;BJ$1,DB!$A:$J,10,0)</f>
        <v>0.84119999999999995</v>
      </c>
      <c r="BK22">
        <f>VLOOKUP($A22&amp;BK$3&amp;BK$1,DB!$A:$J,10,0)</f>
        <v>0.76780000000000004</v>
      </c>
      <c r="BL22">
        <f>VLOOKUP($A22&amp;BL$3&amp;BL$1,DB!$A:$J,10,0)</f>
        <v>0.86399999999999999</v>
      </c>
      <c r="BM22">
        <f>VLOOKUP($A22&amp;BM$3&amp;BM$1,DB!$A:$J,10,0)</f>
        <v>0.80189999999999995</v>
      </c>
      <c r="BN22">
        <f>VLOOKUP($A22&amp;BN$3&amp;BN$1,DB!$A:$J,10,0)</f>
        <v>0.76029999999999998</v>
      </c>
      <c r="BO22">
        <f>VLOOKUP($A22&amp;BO$3&amp;BO$1,DB!$A:$J,10,0)</f>
        <v>0</v>
      </c>
      <c r="BP22">
        <f>VLOOKUP($A22&amp;BP$3&amp;BP$1,DB!$A:$J,10,0)</f>
        <v>0.85760000000000003</v>
      </c>
      <c r="BQ22">
        <f>VLOOKUP($A22&amp;BQ$3&amp;BQ$1,DB!$A:$J,10,0)</f>
        <v>0.70469999999999999</v>
      </c>
      <c r="BR22">
        <f>VLOOKUP($A22&amp;BR$3&amp;BR$1,DB!$A:$J,10,0)</f>
        <v>0.2984</v>
      </c>
      <c r="BS22">
        <f>VLOOKUP($A22&amp;BS$3&amp;BS$1,DB!$A:$J,10,0)</f>
        <v>0.71020000000000005</v>
      </c>
      <c r="BT22">
        <f>VLOOKUP($A22&amp;BT$3&amp;BT$1,DB!$A:$J,10,0)</f>
        <v>0.19869999999999999</v>
      </c>
      <c r="BU22">
        <f>VLOOKUP($A22&amp;BU$3&amp;BU$1,DB!$A:$J,10,0)</f>
        <v>0.25009999999999999</v>
      </c>
      <c r="BV22">
        <f>VLOOKUP($A22&amp;BV$3&amp;BV$1,DB!$A:$J,10,0)</f>
        <v>0.26790000000000003</v>
      </c>
      <c r="BW22">
        <f>VLOOKUP($A22&amp;BW$3&amp;BW$1,DB!$A:$J,10,0)</f>
        <v>0.20519999999999999</v>
      </c>
      <c r="BX22">
        <f>VLOOKUP($A22&amp;BX$3&amp;BX$1,DB!$A:$J,10,0)</f>
        <v>0.25240000000000001</v>
      </c>
      <c r="BY22">
        <f>VLOOKUP($A22&amp;BY$3&amp;BY$1,DB!$A:$J,10,0)</f>
        <v>0</v>
      </c>
      <c r="BZ22">
        <f>VLOOKUP($A22&amp;BZ$3&amp;BZ$1,DB!$A:$J,10,0)</f>
        <v>0.13070000000000001</v>
      </c>
      <c r="CA22">
        <f>VLOOKUP($A22&amp;CA$3&amp;CA$1,DB!$A:$J,10,0)</f>
        <v>0.20949999999999999</v>
      </c>
      <c r="CB22">
        <f>VLOOKUP($A22&amp;CB$3&amp;CB$1,DB!$A:$J,10,0)</f>
        <v>0</v>
      </c>
      <c r="CC22">
        <f>VLOOKUP($A22&amp;CC$3&amp;CC$1,DB!$A:$J,10,0)</f>
        <v>0.18429999999999999</v>
      </c>
      <c r="CD22">
        <f>VLOOKUP($A22&amp;CD$3&amp;CD$1,DB!$A:$J,10,0)</f>
        <v>2240.44</v>
      </c>
      <c r="CE22">
        <f>VLOOKUP($A22&amp;CE$3&amp;CE$1,DB!$A:$J,10,0)</f>
        <v>2399.7199999999998</v>
      </c>
      <c r="CF22">
        <f>VLOOKUP($A22&amp;CF$3&amp;CF$1,DB!$A:$J,10,0)</f>
        <v>390.62</v>
      </c>
      <c r="CG22">
        <f>VLOOKUP($A22&amp;CG$3&amp;CG$1,DB!$A:$J,10,0)</f>
        <v>2329.6999999999998</v>
      </c>
      <c r="CH22">
        <f>VLOOKUP($A22&amp;CH$3&amp;CH$1,DB!$A:$J,10,0)</f>
        <v>2400</v>
      </c>
      <c r="CI22">
        <f>VLOOKUP($A22&amp;CI$3&amp;CI$1,DB!$A:$J,10,0)</f>
        <v>2272.73</v>
      </c>
      <c r="CJ22">
        <f>VLOOKUP($A22&amp;CJ$3&amp;CJ$1,DB!$A:$J,10,0)</f>
        <v>2463.02</v>
      </c>
      <c r="CK22">
        <f>VLOOKUP($A22&amp;CK$3&amp;CK$1,DB!$A:$J,10,0)</f>
        <v>3036.81</v>
      </c>
      <c r="CL22">
        <f>VLOOKUP($A22&amp;CL$3&amp;CL$1,DB!$A:$J,10,0)</f>
        <v>2943.63</v>
      </c>
      <c r="CM22">
        <f>VLOOKUP($A22&amp;CM$3&amp;CM$1,DB!$A:$J,10,0)</f>
        <v>3394.38</v>
      </c>
      <c r="CN22">
        <f>VLOOKUP($A22&amp;CN$3&amp;CN$1,DB!$A:$J,10,0)</f>
        <v>5787.97</v>
      </c>
      <c r="CO22">
        <f>VLOOKUP($A22&amp;CO$3&amp;CO$1,DB!$A:$J,10,0)</f>
        <v>6905.82</v>
      </c>
      <c r="CP22">
        <f>VLOOKUP($A22&amp;CP$3&amp;CP$1,DB!$A:$J,10,0)</f>
        <v>9653.2999999999993</v>
      </c>
      <c r="CQ22">
        <f>VLOOKUP($A22&amp;CQ$3&amp;CQ$1,DB!$A:$J,10,0)</f>
        <v>6789.51</v>
      </c>
      <c r="CR22">
        <f>VLOOKUP($A22&amp;CR$3&amp;CR$1,DB!$A:$J,10,0)</f>
        <v>10002.42</v>
      </c>
      <c r="CS22">
        <f>VLOOKUP($A22&amp;CS$3&amp;CS$1,DB!$A:$J,10,0)</f>
        <v>10369.65</v>
      </c>
      <c r="CT22">
        <f>VLOOKUP($A22&amp;CT$3&amp;CT$1,DB!$A:$J,10,0)</f>
        <v>9069.94</v>
      </c>
      <c r="CU22">
        <f>VLOOKUP($A22&amp;CU$3&amp;CU$1,DB!$A:$J,10,0)</f>
        <v>14221.76</v>
      </c>
      <c r="CV22">
        <f>VLOOKUP($A22&amp;CV$3&amp;CV$1,DB!$A:$J,10,0)</f>
        <v>17582.14</v>
      </c>
      <c r="CW22">
        <f>VLOOKUP($A22&amp;CW$3&amp;CW$1,DB!$A:$J,10,0)</f>
        <v>19622.060000000001</v>
      </c>
      <c r="CX22">
        <f>VLOOKUP($A22&amp;CX$3&amp;CX$1,DB!$A:$J,10,0)</f>
        <v>5093.3500000000004</v>
      </c>
      <c r="CY22">
        <f>VLOOKUP($A22&amp;CY$3&amp;CY$1,DB!$A:$J,10,0)</f>
        <v>5647.13</v>
      </c>
      <c r="CZ22">
        <f>VLOOKUP($A22&amp;CZ$3&amp;CZ$1,DB!$A:$J,10,0)</f>
        <v>7115.24</v>
      </c>
      <c r="DA22">
        <f>VLOOKUP($A22&amp;DA$3&amp;DA$1,DB!$A:$J,10,0)</f>
        <v>5503.51</v>
      </c>
      <c r="DB22">
        <f>VLOOKUP($A22&amp;DB$3&amp;DB$1,DB!$A:$J,10,0)</f>
        <v>7797.54</v>
      </c>
      <c r="DC22">
        <f>VLOOKUP($A22&amp;DC$3&amp;DC$1,DB!$A:$J,10,0)</f>
        <v>7717.56</v>
      </c>
      <c r="DD22">
        <f>VLOOKUP($A22&amp;DD$3&amp;DD$1,DB!$A:$J,10,0)</f>
        <v>7511.04</v>
      </c>
      <c r="DE22">
        <f>VLOOKUP($A22&amp;DE$3&amp;DE$1,DB!$A:$J,10,0)</f>
        <v>14114.85</v>
      </c>
      <c r="DF22">
        <f>VLOOKUP($A22&amp;DF$3&amp;DF$1,DB!$A:$J,10,0)</f>
        <v>41127.5</v>
      </c>
      <c r="DG22">
        <f>VLOOKUP($A22&amp;DG$3&amp;DG$1,DB!$A:$J,10,0)</f>
        <v>17371.62</v>
      </c>
      <c r="DH22">
        <f>VLOOKUP($A22&amp;DH$3&amp;DH$1,DB!$A:$J,10,0)</f>
        <v>5093.3500000000004</v>
      </c>
      <c r="DI22">
        <f>VLOOKUP($A22&amp;DI$3&amp;DI$1,DB!$A:$J,10,0)</f>
        <v>5647.13</v>
      </c>
      <c r="DJ22">
        <f>VLOOKUP($A22&amp;DJ$3&amp;DJ$1,DB!$A:$J,10,0)</f>
        <v>7115.24</v>
      </c>
      <c r="DK22">
        <f>VLOOKUP($A22&amp;DK$3&amp;DK$1,DB!$A:$J,10,0)</f>
        <v>5503.51</v>
      </c>
      <c r="DL22">
        <f>VLOOKUP($A22&amp;DL$3&amp;DL$1,DB!$A:$J,10,0)</f>
        <v>7797.54</v>
      </c>
      <c r="DM22">
        <f>VLOOKUP($A22&amp;DM$3&amp;DM$1,DB!$A:$J,10,0)</f>
        <v>7717.56</v>
      </c>
      <c r="DN22">
        <f>VLOOKUP($A22&amp;DN$3&amp;DN$1,DB!$A:$J,10,0)</f>
        <v>7511.04</v>
      </c>
      <c r="DO22">
        <f>VLOOKUP($A22&amp;DO$3&amp;DO$1,DB!$A:$J,10,0)</f>
        <v>14114.85</v>
      </c>
      <c r="DP22">
        <f>VLOOKUP($A22&amp;DP$3&amp;DP$1,DB!$A:$J,10,0)</f>
        <v>41127.5</v>
      </c>
      <c r="DQ22">
        <f>VLOOKUP($A22&amp;DQ$3&amp;DQ$1,DB!$A:$J,10,0)</f>
        <v>17371.62</v>
      </c>
      <c r="DR22">
        <f>VLOOKUP($A22&amp;DR$3&amp;DR$1,DB!$A:$J,10,0)</f>
        <v>2816.61</v>
      </c>
      <c r="DS22">
        <f>VLOOKUP($A22&amp;DS$3&amp;DS$1,DB!$A:$J,10,0)</f>
        <v>3548.86</v>
      </c>
      <c r="DT22">
        <f>VLOOKUP($A22&amp;DT$3&amp;DT$1,DB!$A:$J,10,0)</f>
        <v>7115.24</v>
      </c>
      <c r="DU22">
        <f>VLOOKUP($A22&amp;DU$3&amp;DU$1,DB!$A:$J,10,0)</f>
        <v>5503.51</v>
      </c>
      <c r="DV22">
        <f>VLOOKUP($A22&amp;DV$3&amp;DV$1,DB!$A:$J,10,0)</f>
        <v>7120.75</v>
      </c>
      <c r="DW22">
        <f>VLOOKUP($A22&amp;DW$3&amp;DW$1,DB!$A:$J,10,0)</f>
        <v>0</v>
      </c>
      <c r="DX22">
        <f>VLOOKUP($A22&amp;DX$3&amp;DX$1,DB!$A:$J,10,0)</f>
        <v>4284.04</v>
      </c>
      <c r="DY22">
        <f>VLOOKUP($A22&amp;DY$3&amp;DY$1,DB!$A:$J,10,0)</f>
        <v>6243.47</v>
      </c>
      <c r="DZ22">
        <f>VLOOKUP($A22&amp;DZ$3&amp;DZ$1,DB!$A:$J,10,0)</f>
        <v>6937.17</v>
      </c>
      <c r="EA22">
        <f>VLOOKUP($A22&amp;EA$3&amp;EA$1,DB!$A:$J,10,0)</f>
        <v>7525.81</v>
      </c>
      <c r="EB22">
        <f>VLOOKUP($A22&amp;EB$3&amp;EB$1,DB!$A:$J,10,0)</f>
        <v>284.58</v>
      </c>
      <c r="EC22">
        <f>VLOOKUP($A22&amp;EC$3&amp;EC$1,DB!$A:$J,10,0)</f>
        <v>1392.82</v>
      </c>
      <c r="ED22">
        <f>VLOOKUP($A22&amp;ED$3&amp;ED$1,DB!$A:$J,10,0)</f>
        <v>0</v>
      </c>
      <c r="EE22">
        <f>VLOOKUP($A22&amp;EE$3&amp;EE$1,DB!$A:$J,10,0)</f>
        <v>0</v>
      </c>
      <c r="EF22">
        <f>VLOOKUP($A22&amp;EF$3&amp;EF$1,DB!$A:$J,10,0)</f>
        <v>0</v>
      </c>
      <c r="EG22">
        <f>VLOOKUP($A22&amp;EG$3&amp;EG$1,DB!$A:$J,10,0)</f>
        <v>7504.15</v>
      </c>
      <c r="EH22">
        <f>VLOOKUP($A22&amp;EH$3&amp;EH$1,DB!$A:$J,10,0)</f>
        <v>259.63</v>
      </c>
      <c r="EI22">
        <f>VLOOKUP($A22&amp;EI$3&amp;EI$1,DB!$A:$J,10,0)</f>
        <v>347.4</v>
      </c>
      <c r="EJ22">
        <f>VLOOKUP($A22&amp;EJ$3&amp;EJ$1,DB!$A:$J,10,0)</f>
        <v>0</v>
      </c>
      <c r="EK22">
        <f>VLOOKUP($A22&amp;EK$3&amp;EK$1,DB!$A:$J,10,0)</f>
        <v>0</v>
      </c>
    </row>
    <row r="23" spans="1:141" hidden="1" x14ac:dyDescent="0.35">
      <c r="A23" t="s">
        <v>59</v>
      </c>
      <c r="B23">
        <f>VLOOKUP($A23&amp;B$3&amp;B$1,DB!$A:$J,10,0)</f>
        <v>0.25430000000000003</v>
      </c>
      <c r="C23">
        <f>VLOOKUP($A23&amp;C$3&amp;C$1,DB!$A:$J,10,0)</f>
        <v>0.27889999999999998</v>
      </c>
      <c r="D23">
        <f>VLOOKUP($A23&amp;D$3&amp;D$1,DB!$A:$J,10,0)</f>
        <v>0.26169999999999999</v>
      </c>
      <c r="E23">
        <f>VLOOKUP($A23&amp;E$3&amp;E$1,DB!$A:$J,10,0)</f>
        <v>0.27800000000000002</v>
      </c>
      <c r="F23">
        <f>VLOOKUP($A23&amp;F$3&amp;F$1,DB!$A:$J,10,0)</f>
        <v>0.27600000000000002</v>
      </c>
      <c r="G23">
        <f>VLOOKUP($A23&amp;G$3&amp;G$1,DB!$A:$J,10,0)</f>
        <v>0.28260000000000002</v>
      </c>
      <c r="H23">
        <f>VLOOKUP($A23&amp;H$3&amp;H$1,DB!$A:$J,10,0)</f>
        <v>0.25619999999999998</v>
      </c>
      <c r="I23">
        <f>VLOOKUP($A23&amp;I$3&amp;I$1,DB!$A:$J,10,0)</f>
        <v>0.26350000000000001</v>
      </c>
      <c r="J23">
        <f>VLOOKUP($A23&amp;J$3&amp;J$1,DB!$A:$J,10,0)</f>
        <v>0.30990000000000001</v>
      </c>
      <c r="K23">
        <f>VLOOKUP($A23&amp;K$3&amp;K$1,DB!$A:$J,10,0)</f>
        <v>0.27279999999999999</v>
      </c>
      <c r="L23">
        <f>VLOOKUP($A23&amp;L$3&amp;L$1,DB!$A:$J,10,0)</f>
        <v>0.96930000000000005</v>
      </c>
      <c r="M23">
        <f>VLOOKUP($A23&amp;M$3&amp;M$1,DB!$A:$J,10,0)</f>
        <v>0.90710000000000002</v>
      </c>
      <c r="N23">
        <f>VLOOKUP($A23&amp;N$3&amp;N$1,DB!$A:$J,10,0)</f>
        <v>0.72940000000000005</v>
      </c>
      <c r="O23">
        <f>VLOOKUP($A23&amp;O$3&amp;O$1,DB!$A:$J,10,0)</f>
        <v>0.81659999999999999</v>
      </c>
      <c r="P23">
        <f>VLOOKUP($A23&amp;P$3&amp;P$1,DB!$A:$J,10,0)</f>
        <v>0.87760000000000005</v>
      </c>
      <c r="Q23">
        <f>VLOOKUP($A23&amp;Q$3&amp;Q$1,DB!$A:$J,10,0)</f>
        <v>0.75219999999999998</v>
      </c>
      <c r="R23">
        <f>VLOOKUP($A23&amp;R$3&amp;R$1,DB!$A:$J,10,0)</f>
        <v>0.77639999999999998</v>
      </c>
      <c r="S23">
        <f>VLOOKUP($A23&amp;S$3&amp;S$1,DB!$A:$J,10,0)</f>
        <v>0.7006</v>
      </c>
      <c r="T23">
        <f>VLOOKUP($A23&amp;T$3&amp;T$1,DB!$A:$J,10,0)</f>
        <v>0.59360000000000002</v>
      </c>
      <c r="U23">
        <f>VLOOKUP($A23&amp;U$3&amp;U$1,DB!$A:$J,10,0)</f>
        <v>0.91169999999999995</v>
      </c>
      <c r="V23">
        <f>VLOOKUP($A23&amp;V$3&amp;V$1,DB!$A:$J,10,0)</f>
        <v>2.2499999999999999E-2</v>
      </c>
      <c r="W23">
        <f>VLOOKUP($A23&amp;W$3&amp;W$1,DB!$A:$J,10,0)</f>
        <v>5.4600000000000003E-2</v>
      </c>
      <c r="X23">
        <f>VLOOKUP($A23&amp;X$3&amp;X$1,DB!$A:$J,10,0)</f>
        <v>0.27060000000000001</v>
      </c>
      <c r="Y23">
        <f>VLOOKUP($A23&amp;Y$3&amp;Y$1,DB!$A:$J,10,0)</f>
        <v>0.18340000000000001</v>
      </c>
      <c r="Z23">
        <f>VLOOKUP($A23&amp;Z$3&amp;Z$1,DB!$A:$J,10,0)</f>
        <v>0.1158</v>
      </c>
      <c r="AA23">
        <f>VLOOKUP($A23&amp;AA$3&amp;AA$1,DB!$A:$J,10,0)</f>
        <v>0.24399999999999999</v>
      </c>
      <c r="AB23">
        <f>VLOOKUP($A23&amp;AB$3&amp;AB$1,DB!$A:$J,10,0)</f>
        <v>0.22209999999999999</v>
      </c>
      <c r="AC23">
        <f>VLOOKUP($A23&amp;AC$3&amp;AC$1,DB!$A:$J,10,0)</f>
        <v>0.29920000000000002</v>
      </c>
      <c r="AD23">
        <f>VLOOKUP($A23&amp;AD$3&amp;AD$1,DB!$A:$J,10,0)</f>
        <v>0.40639999999999998</v>
      </c>
      <c r="AE23">
        <f>VLOOKUP($A23&amp;AE$3&amp;AE$1,DB!$A:$J,10,0)</f>
        <v>2.0500000000000001E-2</v>
      </c>
      <c r="AF23">
        <f>VLOOKUP($A23&amp;AF$3&amp;AF$1,DB!$A:$J,10,0)</f>
        <v>8.9399999999999993E-2</v>
      </c>
      <c r="AG23">
        <f>VLOOKUP($A23&amp;AG$3&amp;AG$1,DB!$A:$J,10,0)</f>
        <v>1.9099999999999999E-2</v>
      </c>
      <c r="AH23">
        <f>VLOOKUP($A23&amp;AH$3&amp;AH$1,DB!$A:$J,10,0)</f>
        <v>0.27979999999999999</v>
      </c>
      <c r="AI23">
        <f>VLOOKUP($A23&amp;AI$3&amp;AI$1,DB!$A:$J,10,0)</f>
        <v>0</v>
      </c>
      <c r="AJ23">
        <f>VLOOKUP($A23&amp;AJ$3&amp;AJ$1,DB!$A:$J,10,0)</f>
        <v>0</v>
      </c>
      <c r="AK23">
        <f>VLOOKUP($A23&amp;AK$3&amp;AK$1,DB!$A:$J,10,0)</f>
        <v>0.4007</v>
      </c>
      <c r="AL23">
        <f>VLOOKUP($A23&amp;AL$3&amp;AL$1,DB!$A:$J,10,0)</f>
        <v>0.21560000000000001</v>
      </c>
      <c r="AM23">
        <f>VLOOKUP($A23&amp;AM$3&amp;AM$1,DB!$A:$J,10,0)</f>
        <v>0.16619999999999999</v>
      </c>
      <c r="AN23">
        <f>VLOOKUP($A23&amp;AN$3&amp;AN$1,DB!$A:$J,10,0)</f>
        <v>0.51529999999999998</v>
      </c>
      <c r="AO23">
        <f>VLOOKUP($A23&amp;AO$3&amp;AO$1,DB!$A:$J,10,0)</f>
        <v>0.41720000000000002</v>
      </c>
      <c r="AP23">
        <f>VLOOKUP($A23&amp;AP$3&amp;AP$1,DB!$A:$J,10,0)</f>
        <v>0.81259999999999999</v>
      </c>
      <c r="AQ23">
        <f>VLOOKUP($A23&amp;AQ$3&amp;AQ$1,DB!$A:$J,10,0)</f>
        <v>0.76100000000000001</v>
      </c>
      <c r="AR23">
        <f>VLOOKUP($A23&amp;AR$3&amp;AR$1,DB!$A:$J,10,0)</f>
        <v>0.73380000000000001</v>
      </c>
      <c r="AS23">
        <f>VLOOKUP($A23&amp;AS$3&amp;AS$1,DB!$A:$J,10,0)</f>
        <v>0.89680000000000004</v>
      </c>
      <c r="AT23">
        <f>VLOOKUP($A23&amp;AT$3&amp;AT$1,DB!$A:$J,10,0)</f>
        <v>0.66979999999999995</v>
      </c>
      <c r="AU23">
        <f>VLOOKUP($A23&amp;AU$3&amp;AU$1,DB!$A:$J,10,0)</f>
        <v>0.59550000000000003</v>
      </c>
      <c r="AV23">
        <f>VLOOKUP($A23&amp;AV$3&amp;AV$1,DB!$A:$J,10,0)</f>
        <v>0.78290000000000004</v>
      </c>
      <c r="AW23">
        <f>VLOOKUP($A23&amp;AW$3&amp;AW$1,DB!$A:$J,10,0)</f>
        <v>0.8337</v>
      </c>
      <c r="AX23">
        <f>VLOOKUP($A23&amp;AX$3&amp;AX$1,DB!$A:$J,10,0)</f>
        <v>0.41949999999999998</v>
      </c>
      <c r="AY23">
        <f>VLOOKUP($A23&amp;AY$3&amp;AY$1,DB!$A:$J,10,0)</f>
        <v>0.51500000000000001</v>
      </c>
      <c r="AZ23">
        <f>VLOOKUP($A23&amp;AZ$3&amp;AZ$1,DB!$A:$J,10,0)</f>
        <v>0.17249999999999999</v>
      </c>
      <c r="BA23">
        <f>VLOOKUP($A23&amp;BA$3&amp;BA$1,DB!$A:$J,10,0)</f>
        <v>0.1002</v>
      </c>
      <c r="BB23">
        <f>VLOOKUP($A23&amp;BB$3&amp;BB$1,DB!$A:$J,10,0)</f>
        <v>0.23089999999999999</v>
      </c>
      <c r="BC23">
        <f>VLOOKUP($A23&amp;BC$3&amp;BC$1,DB!$A:$J,10,0)</f>
        <v>0.2384</v>
      </c>
      <c r="BD23">
        <f>VLOOKUP($A23&amp;BD$3&amp;BD$1,DB!$A:$J,10,0)</f>
        <v>0.27750000000000002</v>
      </c>
      <c r="BE23">
        <f>VLOOKUP($A23&amp;BE$3&amp;BE$1,DB!$A:$J,10,0)</f>
        <v>0</v>
      </c>
      <c r="BF23">
        <f>VLOOKUP($A23&amp;BF$3&amp;BF$1,DB!$A:$J,10,0)</f>
        <v>0.15129999999999999</v>
      </c>
      <c r="BG23">
        <f>VLOOKUP($A23&amp;BG$3&amp;BG$1,DB!$A:$J,10,0)</f>
        <v>0.10150000000000001</v>
      </c>
      <c r="BH23">
        <f>VLOOKUP($A23&amp;BH$3&amp;BH$1,DB!$A:$J,10,0)</f>
        <v>0.14940000000000001</v>
      </c>
      <c r="BI23">
        <f>VLOOKUP($A23&amp;BI$3&amp;BI$1,DB!$A:$J,10,0)</f>
        <v>0.26379999999999998</v>
      </c>
      <c r="BJ23">
        <f>VLOOKUP($A23&amp;BJ$3&amp;BJ$1,DB!$A:$J,10,0)</f>
        <v>0.76359999999999995</v>
      </c>
      <c r="BK23">
        <f>VLOOKUP($A23&amp;BK$3&amp;BK$1,DB!$A:$J,10,0)</f>
        <v>0.76990000000000003</v>
      </c>
      <c r="BL23">
        <f>VLOOKUP($A23&amp;BL$3&amp;BL$1,DB!$A:$J,10,0)</f>
        <v>0.63190000000000002</v>
      </c>
      <c r="BM23">
        <f>VLOOKUP($A23&amp;BM$3&amp;BM$1,DB!$A:$J,10,0)</f>
        <v>0.62339999999999995</v>
      </c>
      <c r="BN23">
        <f>VLOOKUP($A23&amp;BN$3&amp;BN$1,DB!$A:$J,10,0)</f>
        <v>0.55310000000000004</v>
      </c>
      <c r="BO23">
        <f>VLOOKUP($A23&amp;BO$3&amp;BO$1,DB!$A:$J,10,0)</f>
        <v>0</v>
      </c>
      <c r="BP23">
        <f>VLOOKUP($A23&amp;BP$3&amp;BP$1,DB!$A:$J,10,0)</f>
        <v>0.72030000000000005</v>
      </c>
      <c r="BQ23">
        <f>VLOOKUP($A23&amp;BQ$3&amp;BQ$1,DB!$A:$J,10,0)</f>
        <v>0.75309999999999999</v>
      </c>
      <c r="BR23">
        <f>VLOOKUP($A23&amp;BR$3&amp;BR$1,DB!$A:$J,10,0)</f>
        <v>0.28210000000000002</v>
      </c>
      <c r="BS23">
        <f>VLOOKUP($A23&amp;BS$3&amp;BS$1,DB!$A:$J,10,0)</f>
        <v>0.50509999999999999</v>
      </c>
      <c r="BT23">
        <f>VLOOKUP($A23&amp;BT$3&amp;BT$1,DB!$A:$J,10,0)</f>
        <v>0.34250000000000003</v>
      </c>
      <c r="BU23">
        <f>VLOOKUP($A23&amp;BU$3&amp;BU$1,DB!$A:$J,10,0)</f>
        <v>0.34560000000000002</v>
      </c>
      <c r="BV23">
        <f>VLOOKUP($A23&amp;BV$3&amp;BV$1,DB!$A:$J,10,0)</f>
        <v>0.27489999999999998</v>
      </c>
      <c r="BW23">
        <f>VLOOKUP($A23&amp;BW$3&amp;BW$1,DB!$A:$J,10,0)</f>
        <v>0.23930000000000001</v>
      </c>
      <c r="BX23">
        <f>VLOOKUP($A23&amp;BX$3&amp;BX$1,DB!$A:$J,10,0)</f>
        <v>0.28249999999999997</v>
      </c>
      <c r="BY23">
        <f>VLOOKUP($A23&amp;BY$3&amp;BY$1,DB!$A:$J,10,0)</f>
        <v>0</v>
      </c>
      <c r="BZ23">
        <f>VLOOKUP($A23&amp;BZ$3&amp;BZ$1,DB!$A:$J,10,0)</f>
        <v>0.2195</v>
      </c>
      <c r="CA23">
        <f>VLOOKUP($A23&amp;CA$3&amp;CA$1,DB!$A:$J,10,0)</f>
        <v>0.2147</v>
      </c>
      <c r="CB23">
        <f>VLOOKUP($A23&amp;CB$3&amp;CB$1,DB!$A:$J,10,0)</f>
        <v>0</v>
      </c>
      <c r="CC23">
        <f>VLOOKUP($A23&amp;CC$3&amp;CC$1,DB!$A:$J,10,0)</f>
        <v>0.25609999999999999</v>
      </c>
      <c r="CD23">
        <f>VLOOKUP($A23&amp;CD$3&amp;CD$1,DB!$A:$J,10,0)</f>
        <v>2391.39</v>
      </c>
      <c r="CE23">
        <f>VLOOKUP($A23&amp;CE$3&amp;CE$1,DB!$A:$J,10,0)</f>
        <v>2049.94</v>
      </c>
      <c r="CF23">
        <f>VLOOKUP($A23&amp;CF$3&amp;CF$1,DB!$A:$J,10,0)</f>
        <v>4011.18</v>
      </c>
      <c r="CG23">
        <f>VLOOKUP($A23&amp;CG$3&amp;CG$1,DB!$A:$J,10,0)</f>
        <v>3877.8</v>
      </c>
      <c r="CH23">
        <f>VLOOKUP($A23&amp;CH$3&amp;CH$1,DB!$A:$J,10,0)</f>
        <v>5163.5200000000004</v>
      </c>
      <c r="CI23">
        <f>VLOOKUP($A23&amp;CI$3&amp;CI$1,DB!$A:$J,10,0)</f>
        <v>4859.67</v>
      </c>
      <c r="CJ23">
        <f>VLOOKUP($A23&amp;CJ$3&amp;CJ$1,DB!$A:$J,10,0)</f>
        <v>3365.53</v>
      </c>
      <c r="CK23">
        <f>VLOOKUP($A23&amp;CK$3&amp;CK$1,DB!$A:$J,10,0)</f>
        <v>2490.21</v>
      </c>
      <c r="CL23">
        <f>VLOOKUP($A23&amp;CL$3&amp;CL$1,DB!$A:$J,10,0)</f>
        <v>7997.18</v>
      </c>
      <c r="CM23">
        <f>VLOOKUP($A23&amp;CM$3&amp;CM$1,DB!$A:$J,10,0)</f>
        <v>9624.5499999999993</v>
      </c>
      <c r="CN23">
        <f>VLOOKUP($A23&amp;CN$3&amp;CN$1,DB!$A:$J,10,0)</f>
        <v>6246.53</v>
      </c>
      <c r="CO23">
        <f>VLOOKUP($A23&amp;CO$3&amp;CO$1,DB!$A:$J,10,0)</f>
        <v>8221.44</v>
      </c>
      <c r="CP23">
        <f>VLOOKUP($A23&amp;CP$3&amp;CP$1,DB!$A:$J,10,0)</f>
        <v>4789.6499999999996</v>
      </c>
      <c r="CQ23">
        <f>VLOOKUP($A23&amp;CQ$3&amp;CQ$1,DB!$A:$J,10,0)</f>
        <v>5909.28</v>
      </c>
      <c r="CR23">
        <f>VLOOKUP($A23&amp;CR$3&amp;CR$1,DB!$A:$J,10,0)</f>
        <v>6253.37</v>
      </c>
      <c r="CS23">
        <f>VLOOKUP($A23&amp;CS$3&amp;CS$1,DB!$A:$J,10,0)</f>
        <v>9095.16</v>
      </c>
      <c r="CT23">
        <f>VLOOKUP($A23&amp;CT$3&amp;CT$1,DB!$A:$J,10,0)</f>
        <v>12493.24</v>
      </c>
      <c r="CU23">
        <f>VLOOKUP($A23&amp;CU$3&amp;CU$1,DB!$A:$J,10,0)</f>
        <v>15485.2</v>
      </c>
      <c r="CV23">
        <f>VLOOKUP($A23&amp;CV$3&amp;CV$1,DB!$A:$J,10,0)</f>
        <v>13603.67</v>
      </c>
      <c r="CW23">
        <f>VLOOKUP($A23&amp;CW$3&amp;CW$1,DB!$A:$J,10,0)</f>
        <v>14667.74</v>
      </c>
      <c r="CX23">
        <f>VLOOKUP($A23&amp;CX$3&amp;CX$1,DB!$A:$J,10,0)</f>
        <v>4446.88</v>
      </c>
      <c r="CY23">
        <f>VLOOKUP($A23&amp;CY$3&amp;CY$1,DB!$A:$J,10,0)</f>
        <v>5767.42</v>
      </c>
      <c r="CZ23">
        <f>VLOOKUP($A23&amp;CZ$3&amp;CZ$1,DB!$A:$J,10,0)</f>
        <v>4438.1000000000004</v>
      </c>
      <c r="DA23">
        <f>VLOOKUP($A23&amp;DA$3&amp;DA$1,DB!$A:$J,10,0)</f>
        <v>5266.53</v>
      </c>
      <c r="DB23">
        <f>VLOOKUP($A23&amp;DB$3&amp;DB$1,DB!$A:$J,10,0)</f>
        <v>5806.72</v>
      </c>
      <c r="DC23">
        <f>VLOOKUP($A23&amp;DC$3&amp;DC$1,DB!$A:$J,10,0)</f>
        <v>7035.71</v>
      </c>
      <c r="DD23">
        <f>VLOOKUP($A23&amp;DD$3&amp;DD$1,DB!$A:$J,10,0)</f>
        <v>8329.76</v>
      </c>
      <c r="DE23">
        <f>VLOOKUP($A23&amp;DE$3&amp;DE$1,DB!$A:$J,10,0)</f>
        <v>10622.06</v>
      </c>
      <c r="DF23">
        <f>VLOOKUP($A23&amp;DF$3&amp;DF$1,DB!$A:$J,10,0)</f>
        <v>23997.33</v>
      </c>
      <c r="DG23">
        <f>VLOOKUP($A23&amp;DG$3&amp;DG$1,DB!$A:$J,10,0)</f>
        <v>16171.39</v>
      </c>
      <c r="DH23">
        <f>VLOOKUP($A23&amp;DH$3&amp;DH$1,DB!$A:$J,10,0)</f>
        <v>4446.88</v>
      </c>
      <c r="DI23">
        <f>VLOOKUP($A23&amp;DI$3&amp;DI$1,DB!$A:$J,10,0)</f>
        <v>5767.42</v>
      </c>
      <c r="DJ23">
        <f>VLOOKUP($A23&amp;DJ$3&amp;DJ$1,DB!$A:$J,10,0)</f>
        <v>4438.1000000000004</v>
      </c>
      <c r="DK23">
        <f>VLOOKUP($A23&amp;DK$3&amp;DK$1,DB!$A:$J,10,0)</f>
        <v>5266.53</v>
      </c>
      <c r="DL23">
        <f>VLOOKUP($A23&amp;DL$3&amp;DL$1,DB!$A:$J,10,0)</f>
        <v>5806.72</v>
      </c>
      <c r="DM23">
        <f>VLOOKUP($A23&amp;DM$3&amp;DM$1,DB!$A:$J,10,0)</f>
        <v>7035.71</v>
      </c>
      <c r="DN23">
        <f>VLOOKUP($A23&amp;DN$3&amp;DN$1,DB!$A:$J,10,0)</f>
        <v>8329.76</v>
      </c>
      <c r="DO23">
        <f>VLOOKUP($A23&amp;DO$3&amp;DO$1,DB!$A:$J,10,0)</f>
        <v>10622.06</v>
      </c>
      <c r="DP23">
        <f>VLOOKUP($A23&amp;DP$3&amp;DP$1,DB!$A:$J,10,0)</f>
        <v>23997.33</v>
      </c>
      <c r="DQ23">
        <f>VLOOKUP($A23&amp;DQ$3&amp;DQ$1,DB!$A:$J,10,0)</f>
        <v>16171.39</v>
      </c>
      <c r="DR23">
        <f>VLOOKUP($A23&amp;DR$3&amp;DR$1,DB!$A:$J,10,0)</f>
        <v>3830.94</v>
      </c>
      <c r="DS23">
        <f>VLOOKUP($A23&amp;DS$3&amp;DS$1,DB!$A:$J,10,0)</f>
        <v>3561.63</v>
      </c>
      <c r="DT23">
        <f>VLOOKUP($A23&amp;DT$3&amp;DT$1,DB!$A:$J,10,0)</f>
        <v>3209.16</v>
      </c>
      <c r="DU23">
        <f>VLOOKUP($A23&amp;DU$3&amp;DU$1,DB!$A:$J,10,0)</f>
        <v>3429.69</v>
      </c>
      <c r="DV23">
        <f>VLOOKUP($A23&amp;DV$3&amp;DV$1,DB!$A:$J,10,0)</f>
        <v>3995.68</v>
      </c>
      <c r="DW23">
        <f>VLOOKUP($A23&amp;DW$3&amp;DW$1,DB!$A:$J,10,0)</f>
        <v>0</v>
      </c>
      <c r="DX23">
        <f>VLOOKUP($A23&amp;DX$3&amp;DX$1,DB!$A:$J,10,0)</f>
        <v>3891.18</v>
      </c>
      <c r="DY23">
        <f>VLOOKUP($A23&amp;DY$3&amp;DY$1,DB!$A:$J,10,0)</f>
        <v>4537.58</v>
      </c>
      <c r="DZ23">
        <f>VLOOKUP($A23&amp;DZ$3&amp;DZ$1,DB!$A:$J,10,0)</f>
        <v>4076.48</v>
      </c>
      <c r="EA23">
        <f>VLOOKUP($A23&amp;EA$3&amp;EA$1,DB!$A:$J,10,0)</f>
        <v>7876.19</v>
      </c>
      <c r="EB23">
        <f>VLOOKUP($A23&amp;EB$3&amp;EB$1,DB!$A:$J,10,0)</f>
        <v>0</v>
      </c>
      <c r="EC23">
        <f>VLOOKUP($A23&amp;EC$3&amp;EC$1,DB!$A:$J,10,0)</f>
        <v>572.77</v>
      </c>
      <c r="ED23">
        <f>VLOOKUP($A23&amp;ED$3&amp;ED$1,DB!$A:$J,10,0)</f>
        <v>813.11</v>
      </c>
      <c r="EE23">
        <f>VLOOKUP($A23&amp;EE$3&amp;EE$1,DB!$A:$J,10,0)</f>
        <v>1431.95</v>
      </c>
      <c r="EF23">
        <f>VLOOKUP($A23&amp;EF$3&amp;EF$1,DB!$A:$J,10,0)</f>
        <v>1308.17</v>
      </c>
      <c r="EG23">
        <f>VLOOKUP($A23&amp;EG$3&amp;EG$1,DB!$A:$J,10,0)</f>
        <v>5077.59</v>
      </c>
      <c r="EH23">
        <f>VLOOKUP($A23&amp;EH$3&amp;EH$1,DB!$A:$J,10,0)</f>
        <v>1190.79</v>
      </c>
      <c r="EI23">
        <f>VLOOKUP($A23&amp;EI$3&amp;EI$1,DB!$A:$J,10,0)</f>
        <v>1070.8900000000001</v>
      </c>
      <c r="EJ23">
        <f>VLOOKUP($A23&amp;EJ$3&amp;EJ$1,DB!$A:$J,10,0)</f>
        <v>2680.14</v>
      </c>
      <c r="EK23">
        <f>VLOOKUP($A23&amp;EK$3&amp;EK$1,DB!$A:$J,10,0)</f>
        <v>0</v>
      </c>
    </row>
    <row r="24" spans="1:141" hidden="1" x14ac:dyDescent="0.35">
      <c r="A24" t="s">
        <v>60</v>
      </c>
      <c r="B24">
        <f>VLOOKUP($A24&amp;B$3&amp;B$1,DB!$A:$J,10,0)</f>
        <v>0.25219999999999998</v>
      </c>
      <c r="C24">
        <f>VLOOKUP($A24&amp;C$3&amp;C$1,DB!$A:$J,10,0)</f>
        <v>0.27279999999999999</v>
      </c>
      <c r="D24">
        <f>VLOOKUP($A24&amp;D$3&amp;D$1,DB!$A:$J,10,0)</f>
        <v>0.29010000000000002</v>
      </c>
      <c r="E24">
        <f>VLOOKUP($A24&amp;E$3&amp;E$1,DB!$A:$J,10,0)</f>
        <v>0.26619999999999999</v>
      </c>
      <c r="F24">
        <f>VLOOKUP($A24&amp;F$3&amp;F$1,DB!$A:$J,10,0)</f>
        <v>0.28270000000000001</v>
      </c>
      <c r="G24">
        <f>VLOOKUP($A24&amp;G$3&amp;G$1,DB!$A:$J,10,0)</f>
        <v>0.27289999999999998</v>
      </c>
      <c r="H24">
        <f>VLOOKUP($A24&amp;H$3&amp;H$1,DB!$A:$J,10,0)</f>
        <v>0.25109999999999999</v>
      </c>
      <c r="I24">
        <f>VLOOKUP($A24&amp;I$3&amp;I$1,DB!$A:$J,10,0)</f>
        <v>0.25840000000000002</v>
      </c>
      <c r="J24">
        <f>VLOOKUP($A24&amp;J$3&amp;J$1,DB!$A:$J,10,0)</f>
        <v>0.29630000000000001</v>
      </c>
      <c r="K24">
        <f>VLOOKUP($A24&amp;K$3&amp;K$1,DB!$A:$J,10,0)</f>
        <v>0.26490000000000002</v>
      </c>
      <c r="L24">
        <f>VLOOKUP($A24&amp;L$3&amp;L$1,DB!$A:$J,10,0)</f>
        <v>0.77110000000000001</v>
      </c>
      <c r="M24">
        <f>VLOOKUP($A24&amp;M$3&amp;M$1,DB!$A:$J,10,0)</f>
        <v>0.69179999999999997</v>
      </c>
      <c r="N24">
        <f>VLOOKUP($A24&amp;N$3&amp;N$1,DB!$A:$J,10,0)</f>
        <v>0.65669999999999995</v>
      </c>
      <c r="O24">
        <f>VLOOKUP($A24&amp;O$3&amp;O$1,DB!$A:$J,10,0)</f>
        <v>0.71409999999999996</v>
      </c>
      <c r="P24">
        <f>VLOOKUP($A24&amp;P$3&amp;P$1,DB!$A:$J,10,0)</f>
        <v>0.60409999999999997</v>
      </c>
      <c r="Q24">
        <f>VLOOKUP($A24&amp;Q$3&amp;Q$1,DB!$A:$J,10,0)</f>
        <v>0.6411</v>
      </c>
      <c r="R24">
        <f>VLOOKUP($A24&amp;R$3&amp;R$1,DB!$A:$J,10,0)</f>
        <v>0.71960000000000002</v>
      </c>
      <c r="S24">
        <f>VLOOKUP($A24&amp;S$3&amp;S$1,DB!$A:$J,10,0)</f>
        <v>0.92530000000000001</v>
      </c>
      <c r="T24">
        <f>VLOOKUP($A24&amp;T$3&amp;T$1,DB!$A:$J,10,0)</f>
        <v>0.99219999999999997</v>
      </c>
      <c r="U24">
        <f>VLOOKUP($A24&amp;U$3&amp;U$1,DB!$A:$J,10,0)</f>
        <v>0.98360000000000003</v>
      </c>
      <c r="V24">
        <f>VLOOKUP($A24&amp;V$3&amp;V$1,DB!$A:$J,10,0)</f>
        <v>0.22889999999999999</v>
      </c>
      <c r="W24">
        <f>VLOOKUP($A24&amp;W$3&amp;W$1,DB!$A:$J,10,0)</f>
        <v>0.29770000000000002</v>
      </c>
      <c r="X24">
        <f>VLOOKUP($A24&amp;X$3&amp;X$1,DB!$A:$J,10,0)</f>
        <v>0.34329999999999999</v>
      </c>
      <c r="Y24">
        <f>VLOOKUP($A24&amp;Y$3&amp;Y$1,DB!$A:$J,10,0)</f>
        <v>0.28589999999999999</v>
      </c>
      <c r="Z24">
        <f>VLOOKUP($A24&amp;Z$3&amp;Z$1,DB!$A:$J,10,0)</f>
        <v>0.39589999999999997</v>
      </c>
      <c r="AA24">
        <f>VLOOKUP($A24&amp;AA$3&amp;AA$1,DB!$A:$J,10,0)</f>
        <v>0.35870000000000002</v>
      </c>
      <c r="AB24">
        <f>VLOOKUP($A24&amp;AB$3&amp;AB$1,DB!$A:$J,10,0)</f>
        <v>0.18410000000000001</v>
      </c>
      <c r="AC24">
        <f>VLOOKUP($A24&amp;AC$3&amp;AC$1,DB!$A:$J,10,0)</f>
        <v>6.2600000000000003E-2</v>
      </c>
      <c r="AD24">
        <f>VLOOKUP($A24&amp;AD$3&amp;AD$1,DB!$A:$J,10,0)</f>
        <v>7.7999999999999996E-3</v>
      </c>
      <c r="AE24">
        <f>VLOOKUP($A24&amp;AE$3&amp;AE$1,DB!$A:$J,10,0)</f>
        <v>4.3E-3</v>
      </c>
      <c r="AF24">
        <f>VLOOKUP($A24&amp;AF$3&amp;AF$1,DB!$A:$J,10,0)</f>
        <v>2.8799999999999999E-2</v>
      </c>
      <c r="AG24">
        <f>VLOOKUP($A24&amp;AG$3&amp;AG$1,DB!$A:$J,10,0)</f>
        <v>4.0500000000000001E-2</v>
      </c>
      <c r="AH24">
        <f>VLOOKUP($A24&amp;AH$3&amp;AH$1,DB!$A:$J,10,0)</f>
        <v>0.1983</v>
      </c>
      <c r="AI24">
        <f>VLOOKUP($A24&amp;AI$3&amp;AI$1,DB!$A:$J,10,0)</f>
        <v>0</v>
      </c>
      <c r="AJ24">
        <f>VLOOKUP($A24&amp;AJ$3&amp;AJ$1,DB!$A:$J,10,0)</f>
        <v>0</v>
      </c>
      <c r="AK24">
        <f>VLOOKUP($A24&amp;AK$3&amp;AK$1,DB!$A:$J,10,0)</f>
        <v>0.2429</v>
      </c>
      <c r="AL24">
        <f>VLOOKUP($A24&amp;AL$3&amp;AL$1,DB!$A:$J,10,0)</f>
        <v>0.20480000000000001</v>
      </c>
      <c r="AM24">
        <f>VLOOKUP($A24&amp;AM$3&amp;AM$1,DB!$A:$J,10,0)</f>
        <v>0.34379999999999999</v>
      </c>
      <c r="AN24">
        <f>VLOOKUP($A24&amp;AN$3&amp;AN$1,DB!$A:$J,10,0)</f>
        <v>0.72689999999999999</v>
      </c>
      <c r="AO24">
        <f>VLOOKUP($A24&amp;AO$3&amp;AO$1,DB!$A:$J,10,0)</f>
        <v>0.92030000000000001</v>
      </c>
      <c r="AP24">
        <f>VLOOKUP($A24&amp;AP$3&amp;AP$1,DB!$A:$J,10,0)</f>
        <v>0.81479999999999997</v>
      </c>
      <c r="AQ24">
        <f>VLOOKUP($A24&amp;AQ$3&amp;AQ$1,DB!$A:$J,10,0)</f>
        <v>0.78110000000000002</v>
      </c>
      <c r="AR24">
        <f>VLOOKUP($A24&amp;AR$3&amp;AR$1,DB!$A:$J,10,0)</f>
        <v>0.81489999999999996</v>
      </c>
      <c r="AS24">
        <f>VLOOKUP($A24&amp;AS$3&amp;AS$1,DB!$A:$J,10,0)</f>
        <v>0.94920000000000004</v>
      </c>
      <c r="AT24">
        <f>VLOOKUP($A24&amp;AT$3&amp;AT$1,DB!$A:$J,10,0)</f>
        <v>0.82199999999999995</v>
      </c>
      <c r="AU24">
        <f>VLOOKUP($A24&amp;AU$3&amp;AU$1,DB!$A:$J,10,0)</f>
        <v>0.75690000000000002</v>
      </c>
      <c r="AV24">
        <f>VLOOKUP($A24&amp;AV$3&amp;AV$1,DB!$A:$J,10,0)</f>
        <v>0.69889999999999997</v>
      </c>
      <c r="AW24">
        <f>VLOOKUP($A24&amp;AW$3&amp;AW$1,DB!$A:$J,10,0)</f>
        <v>0.73260000000000003</v>
      </c>
      <c r="AX24">
        <f>VLOOKUP($A24&amp;AX$3&amp;AX$1,DB!$A:$J,10,0)</f>
        <v>0.29220000000000002</v>
      </c>
      <c r="AY24">
        <f>VLOOKUP($A24&amp;AY$3&amp;AY$1,DB!$A:$J,10,0)</f>
        <v>6.7599999999999993E-2</v>
      </c>
      <c r="AZ24">
        <f>VLOOKUP($A24&amp;AZ$3&amp;AZ$1,DB!$A:$J,10,0)</f>
        <v>9.6500000000000002E-2</v>
      </c>
      <c r="BA24">
        <f>VLOOKUP($A24&amp;BA$3&amp;BA$1,DB!$A:$J,10,0)</f>
        <v>9.4E-2</v>
      </c>
      <c r="BB24">
        <f>VLOOKUP($A24&amp;BB$3&amp;BB$1,DB!$A:$J,10,0)</f>
        <v>8.6699999999999999E-2</v>
      </c>
      <c r="BC24">
        <f>VLOOKUP($A24&amp;BC$3&amp;BC$1,DB!$A:$J,10,0)</f>
        <v>8.7999999999999995E-2</v>
      </c>
      <c r="BD24">
        <f>VLOOKUP($A24&amp;BD$3&amp;BD$1,DB!$A:$J,10,0)</f>
        <v>0.1019</v>
      </c>
      <c r="BE24">
        <f>VLOOKUP($A24&amp;BE$3&amp;BE$1,DB!$A:$J,10,0)</f>
        <v>0</v>
      </c>
      <c r="BF24">
        <f>VLOOKUP($A24&amp;BF$3&amp;BF$1,DB!$A:$J,10,0)</f>
        <v>0.19689999999999999</v>
      </c>
      <c r="BG24">
        <f>VLOOKUP($A24&amp;BG$3&amp;BG$1,DB!$A:$J,10,0)</f>
        <v>0.1467</v>
      </c>
      <c r="BH24">
        <f>VLOOKUP($A24&amp;BH$3&amp;BH$1,DB!$A:$J,10,0)</f>
        <v>0.11990000000000001</v>
      </c>
      <c r="BI24">
        <f>VLOOKUP($A24&amp;BI$3&amp;BI$1,DB!$A:$J,10,0)</f>
        <v>0.3644</v>
      </c>
      <c r="BJ24">
        <f>VLOOKUP($A24&amp;BJ$3&amp;BJ$1,DB!$A:$J,10,0)</f>
        <v>0.85650000000000004</v>
      </c>
      <c r="BK24">
        <f>VLOOKUP($A24&amp;BK$3&amp;BK$1,DB!$A:$J,10,0)</f>
        <v>0.42930000000000001</v>
      </c>
      <c r="BL24">
        <f>VLOOKUP($A24&amp;BL$3&amp;BL$1,DB!$A:$J,10,0)</f>
        <v>0.49840000000000001</v>
      </c>
      <c r="BM24">
        <f>VLOOKUP($A24&amp;BM$3&amp;BM$1,DB!$A:$J,10,0)</f>
        <v>0.38940000000000002</v>
      </c>
      <c r="BN24">
        <f>VLOOKUP($A24&amp;BN$3&amp;BN$1,DB!$A:$J,10,0)</f>
        <v>0.47889999999999999</v>
      </c>
      <c r="BO24">
        <f>VLOOKUP($A24&amp;BO$3&amp;BO$1,DB!$A:$J,10,0)</f>
        <v>0</v>
      </c>
      <c r="BP24">
        <f>VLOOKUP($A24&amp;BP$3&amp;BP$1,DB!$A:$J,10,0)</f>
        <v>0.5665</v>
      </c>
      <c r="BQ24">
        <f>VLOOKUP($A24&amp;BQ$3&amp;BQ$1,DB!$A:$J,10,0)</f>
        <v>0.33839999999999998</v>
      </c>
      <c r="BR24">
        <f>VLOOKUP($A24&amp;BR$3&amp;BR$1,DB!$A:$J,10,0)</f>
        <v>0.1447</v>
      </c>
      <c r="BS24">
        <f>VLOOKUP($A24&amp;BS$3&amp;BS$1,DB!$A:$J,10,0)</f>
        <v>0.1772</v>
      </c>
      <c r="BT24">
        <f>VLOOKUP($A24&amp;BT$3&amp;BT$1,DB!$A:$J,10,0)</f>
        <v>0.30769999999999997</v>
      </c>
      <c r="BU24">
        <f>VLOOKUP($A24&amp;BU$3&amp;BU$1,DB!$A:$J,10,0)</f>
        <v>0.36259999999999998</v>
      </c>
      <c r="BV24">
        <f>VLOOKUP($A24&amp;BV$3&amp;BV$1,DB!$A:$J,10,0)</f>
        <v>0.3332</v>
      </c>
      <c r="BW24">
        <f>VLOOKUP($A24&amp;BW$3&amp;BW$1,DB!$A:$J,10,0)</f>
        <v>0.34360000000000002</v>
      </c>
      <c r="BX24">
        <f>VLOOKUP($A24&amp;BX$3&amp;BX$1,DB!$A:$J,10,0)</f>
        <v>0.3085</v>
      </c>
      <c r="BY24">
        <f>VLOOKUP($A24&amp;BY$3&amp;BY$1,DB!$A:$J,10,0)</f>
        <v>0</v>
      </c>
      <c r="BZ24">
        <f>VLOOKUP($A24&amp;BZ$3&amp;BZ$1,DB!$A:$J,10,0)</f>
        <v>0.35070000000000001</v>
      </c>
      <c r="CA24">
        <f>VLOOKUP($A24&amp;CA$3&amp;CA$1,DB!$A:$J,10,0)</f>
        <v>0.315</v>
      </c>
      <c r="CB24">
        <f>VLOOKUP($A24&amp;CB$3&amp;CB$1,DB!$A:$J,10,0)</f>
        <v>0</v>
      </c>
      <c r="CC24">
        <f>VLOOKUP($A24&amp;CC$3&amp;CC$1,DB!$A:$J,10,0)</f>
        <v>0.2606</v>
      </c>
      <c r="CD24">
        <f>VLOOKUP($A24&amp;CD$3&amp;CD$1,DB!$A:$J,10,0)</f>
        <v>2149.5100000000002</v>
      </c>
      <c r="CE24">
        <f>VLOOKUP($A24&amp;CE$3&amp;CE$1,DB!$A:$J,10,0)</f>
        <v>2491.9499999999998</v>
      </c>
      <c r="CF24">
        <f>VLOOKUP($A24&amp;CF$3&amp;CF$1,DB!$A:$J,10,0)</f>
        <v>2043.19</v>
      </c>
      <c r="CG24">
        <f>VLOOKUP($A24&amp;CG$3&amp;CG$1,DB!$A:$J,10,0)</f>
        <v>2081.4</v>
      </c>
      <c r="CH24">
        <f>VLOOKUP($A24&amp;CH$3&amp;CH$1,DB!$A:$J,10,0)</f>
        <v>2502.64</v>
      </c>
      <c r="CI24">
        <f>VLOOKUP($A24&amp;CI$3&amp;CI$1,DB!$A:$J,10,0)</f>
        <v>2657.12</v>
      </c>
      <c r="CJ24">
        <f>VLOOKUP($A24&amp;CJ$3&amp;CJ$1,DB!$A:$J,10,0)</f>
        <v>4124.9399999999996</v>
      </c>
      <c r="CK24">
        <f>VLOOKUP($A24&amp;CK$3&amp;CK$1,DB!$A:$J,10,0)</f>
        <v>5793.27</v>
      </c>
      <c r="CL24">
        <f>VLOOKUP($A24&amp;CL$3&amp;CL$1,DB!$A:$J,10,0)</f>
        <v>9732.31</v>
      </c>
      <c r="CM24">
        <f>VLOOKUP($A24&amp;CM$3&amp;CM$1,DB!$A:$J,10,0)</f>
        <v>12995.2</v>
      </c>
      <c r="CN24">
        <f>VLOOKUP($A24&amp;CN$3&amp;CN$1,DB!$A:$J,10,0)</f>
        <v>9340.76</v>
      </c>
      <c r="CO24">
        <f>VLOOKUP($A24&amp;CO$3&amp;CO$1,DB!$A:$J,10,0)</f>
        <v>7079.08</v>
      </c>
      <c r="CP24">
        <f>VLOOKUP($A24&amp;CP$3&amp;CP$1,DB!$A:$J,10,0)</f>
        <v>8704.99</v>
      </c>
      <c r="CQ24">
        <f>VLOOKUP($A24&amp;CQ$3&amp;CQ$1,DB!$A:$J,10,0)</f>
        <v>7781</v>
      </c>
      <c r="CR24">
        <f>VLOOKUP($A24&amp;CR$3&amp;CR$1,DB!$A:$J,10,0)</f>
        <v>9958.2000000000007</v>
      </c>
      <c r="CS24">
        <f>VLOOKUP($A24&amp;CS$3&amp;CS$1,DB!$A:$J,10,0)</f>
        <v>11670.01</v>
      </c>
      <c r="CT24">
        <f>VLOOKUP($A24&amp;CT$3&amp;CT$1,DB!$A:$J,10,0)</f>
        <v>13632.89</v>
      </c>
      <c r="CU24">
        <f>VLOOKUP($A24&amp;CU$3&amp;CU$1,DB!$A:$J,10,0)</f>
        <v>18151.009999999998</v>
      </c>
      <c r="CV24">
        <f>VLOOKUP($A24&amp;CV$3&amp;CV$1,DB!$A:$J,10,0)</f>
        <v>17373.45</v>
      </c>
      <c r="CW24">
        <f>VLOOKUP($A24&amp;CW$3&amp;CW$1,DB!$A:$J,10,0)</f>
        <v>13129.29</v>
      </c>
      <c r="CX24">
        <f>VLOOKUP($A24&amp;CX$3&amp;CX$1,DB!$A:$J,10,0)</f>
        <v>6977.14</v>
      </c>
      <c r="CY24">
        <f>VLOOKUP($A24&amp;CY$3&amp;CY$1,DB!$A:$J,10,0)</f>
        <v>5320.06</v>
      </c>
      <c r="CZ24">
        <f>VLOOKUP($A24&amp;CZ$3&amp;CZ$1,DB!$A:$J,10,0)</f>
        <v>5595.65</v>
      </c>
      <c r="DA24">
        <f>VLOOKUP($A24&amp;DA$3&amp;DA$1,DB!$A:$J,10,0)</f>
        <v>4990.74</v>
      </c>
      <c r="DB24">
        <f>VLOOKUP($A24&amp;DB$3&amp;DB$1,DB!$A:$J,10,0)</f>
        <v>6308.22</v>
      </c>
      <c r="DC24">
        <f>VLOOKUP($A24&amp;DC$3&amp;DC$1,DB!$A:$J,10,0)</f>
        <v>6756.4</v>
      </c>
      <c r="DD24">
        <f>VLOOKUP($A24&amp;DD$3&amp;DD$1,DB!$A:$J,10,0)</f>
        <v>10444.950000000001</v>
      </c>
      <c r="DE24">
        <f>VLOOKUP($A24&amp;DE$3&amp;DE$1,DB!$A:$J,10,0)</f>
        <v>21878.33</v>
      </c>
      <c r="DF24">
        <f>VLOOKUP($A24&amp;DF$3&amp;DF$1,DB!$A:$J,10,0)</f>
        <v>47056.27</v>
      </c>
      <c r="DG24">
        <f>VLOOKUP($A24&amp;DG$3&amp;DG$1,DB!$A:$J,10,0)</f>
        <v>23409.16</v>
      </c>
      <c r="DH24">
        <f>VLOOKUP($A24&amp;DH$3&amp;DH$1,DB!$A:$J,10,0)</f>
        <v>6977.14</v>
      </c>
      <c r="DI24">
        <f>VLOOKUP($A24&amp;DI$3&amp;DI$1,DB!$A:$J,10,0)</f>
        <v>5320.06</v>
      </c>
      <c r="DJ24">
        <f>VLOOKUP($A24&amp;DJ$3&amp;DJ$1,DB!$A:$J,10,0)</f>
        <v>5595.65</v>
      </c>
      <c r="DK24">
        <f>VLOOKUP($A24&amp;DK$3&amp;DK$1,DB!$A:$J,10,0)</f>
        <v>4990.74</v>
      </c>
      <c r="DL24">
        <f>VLOOKUP($A24&amp;DL$3&amp;DL$1,DB!$A:$J,10,0)</f>
        <v>6308.22</v>
      </c>
      <c r="DM24">
        <f>VLOOKUP($A24&amp;DM$3&amp;DM$1,DB!$A:$J,10,0)</f>
        <v>6756.4</v>
      </c>
      <c r="DN24">
        <f>VLOOKUP($A24&amp;DN$3&amp;DN$1,DB!$A:$J,10,0)</f>
        <v>10444.950000000001</v>
      </c>
      <c r="DO24">
        <f>VLOOKUP($A24&amp;DO$3&amp;DO$1,DB!$A:$J,10,0)</f>
        <v>21878.33</v>
      </c>
      <c r="DP24">
        <f>VLOOKUP($A24&amp;DP$3&amp;DP$1,DB!$A:$J,10,0)</f>
        <v>47056.27</v>
      </c>
      <c r="DQ24">
        <f>VLOOKUP($A24&amp;DQ$3&amp;DQ$1,DB!$A:$J,10,0)</f>
        <v>23409.16</v>
      </c>
      <c r="DR24">
        <f>VLOOKUP($A24&amp;DR$3&amp;DR$1,DB!$A:$J,10,0)</f>
        <v>2282.66</v>
      </c>
      <c r="DS24">
        <f>VLOOKUP($A24&amp;DS$3&amp;DS$1,DB!$A:$J,10,0)</f>
        <v>2429.23</v>
      </c>
      <c r="DT24">
        <f>VLOOKUP($A24&amp;DT$3&amp;DT$1,DB!$A:$J,10,0)</f>
        <v>2198.87</v>
      </c>
      <c r="DU24">
        <f>VLOOKUP($A24&amp;DU$3&amp;DU$1,DB!$A:$J,10,0)</f>
        <v>2056.17</v>
      </c>
      <c r="DV24">
        <f>VLOOKUP($A24&amp;DV$3&amp;DV$1,DB!$A:$J,10,0)</f>
        <v>2907.55</v>
      </c>
      <c r="DW24">
        <f>VLOOKUP($A24&amp;DW$3&amp;DW$1,DB!$A:$J,10,0)</f>
        <v>0</v>
      </c>
      <c r="DX24">
        <f>VLOOKUP($A24&amp;DX$3&amp;DX$1,DB!$A:$J,10,0)</f>
        <v>4395.6099999999997</v>
      </c>
      <c r="DY24">
        <f>VLOOKUP($A24&amp;DY$3&amp;DY$1,DB!$A:$J,10,0)</f>
        <v>6951.47</v>
      </c>
      <c r="DZ24">
        <f>VLOOKUP($A24&amp;DZ$3&amp;DZ$1,DB!$A:$J,10,0)</f>
        <v>6868.21</v>
      </c>
      <c r="EA24">
        <f>VLOOKUP($A24&amp;EA$3&amp;EA$1,DB!$A:$J,10,0)</f>
        <v>8001.17</v>
      </c>
      <c r="EB24">
        <f>VLOOKUP($A24&amp;EB$3&amp;EB$1,DB!$A:$J,10,0)</f>
        <v>1340.63</v>
      </c>
      <c r="EC24">
        <f>VLOOKUP($A24&amp;EC$3&amp;EC$1,DB!$A:$J,10,0)</f>
        <v>2252.62</v>
      </c>
      <c r="ED24">
        <f>VLOOKUP($A24&amp;ED$3&amp;ED$1,DB!$A:$J,10,0)</f>
        <v>2696.06</v>
      </c>
      <c r="EE24">
        <f>VLOOKUP($A24&amp;EE$3&amp;EE$1,DB!$A:$J,10,0)</f>
        <v>2263.42</v>
      </c>
      <c r="EF24">
        <f>VLOOKUP($A24&amp;EF$3&amp;EF$1,DB!$A:$J,10,0)</f>
        <v>1750.86</v>
      </c>
      <c r="EG24">
        <f>VLOOKUP($A24&amp;EG$3&amp;EG$1,DB!$A:$J,10,0)</f>
        <v>4400.68</v>
      </c>
      <c r="EH24">
        <f>VLOOKUP($A24&amp;EH$3&amp;EH$1,DB!$A:$J,10,0)</f>
        <v>1050.26</v>
      </c>
      <c r="EI24">
        <f>VLOOKUP($A24&amp;EI$3&amp;EI$1,DB!$A:$J,10,0)</f>
        <v>144.96</v>
      </c>
      <c r="EJ24">
        <f>VLOOKUP($A24&amp;EJ$3&amp;EJ$1,DB!$A:$J,10,0)</f>
        <v>52.81</v>
      </c>
      <c r="EK24">
        <f>VLOOKUP($A24&amp;EK$3&amp;EK$1,DB!$A:$J,10,0)</f>
        <v>123</v>
      </c>
    </row>
    <row r="25" spans="1:141" x14ac:dyDescent="0.35">
      <c r="A25" t="s">
        <v>61</v>
      </c>
      <c r="B25">
        <f>VLOOKUP($A25&amp;B$3&amp;B$1,DB!$A:$J,10,0)</f>
        <v>0.26450000000000001</v>
      </c>
      <c r="C25">
        <f>VLOOKUP($A25&amp;C$3&amp;C$1,DB!$A:$J,10,0)</f>
        <v>0.26040000000000002</v>
      </c>
      <c r="D25">
        <f>VLOOKUP($A25&amp;D$3&amp;D$1,DB!$A:$J,10,0)</f>
        <v>0.28129999999999999</v>
      </c>
      <c r="E25">
        <f>VLOOKUP($A25&amp;E$3&amp;E$1,DB!$A:$J,10,0)</f>
        <v>0.28770000000000001</v>
      </c>
      <c r="F25">
        <f>VLOOKUP($A25&amp;F$3&amp;F$1,DB!$A:$J,10,0)</f>
        <v>0.2616</v>
      </c>
      <c r="G25">
        <f>VLOOKUP($A25&amp;G$3&amp;G$1,DB!$A:$J,10,0)</f>
        <v>0.25280000000000002</v>
      </c>
      <c r="H25">
        <f>VLOOKUP($A25&amp;H$3&amp;H$1,DB!$A:$J,10,0)</f>
        <v>0.22459999999999999</v>
      </c>
      <c r="I25">
        <f>VLOOKUP($A25&amp;I$3&amp;I$1,DB!$A:$J,10,0)</f>
        <v>0.26029999999999998</v>
      </c>
      <c r="J25">
        <f>VLOOKUP($A25&amp;J$3&amp;J$1,DB!$A:$J,10,0)</f>
        <v>0.28939999999999999</v>
      </c>
      <c r="K25">
        <f>VLOOKUP($A25&amp;K$3&amp;K$1,DB!$A:$J,10,0)</f>
        <v>0.23480000000000001</v>
      </c>
      <c r="L25">
        <f>VLOOKUP($A25&amp;L$3&amp;L$1,DB!$A:$J,10,0)</f>
        <v>0.72340000000000004</v>
      </c>
      <c r="M25">
        <f>VLOOKUP($A25&amp;M$3&amp;M$1,DB!$A:$J,10,0)</f>
        <v>0.82279999999999998</v>
      </c>
      <c r="N25">
        <f>VLOOKUP($A25&amp;N$3&amp;N$1,DB!$A:$J,10,0)</f>
        <v>0.77059999999999995</v>
      </c>
      <c r="O25">
        <f>VLOOKUP($A25&amp;O$3&amp;O$1,DB!$A:$J,10,0)</f>
        <v>0.77990000000000004</v>
      </c>
      <c r="P25">
        <f>VLOOKUP($A25&amp;P$3&amp;P$1,DB!$A:$J,10,0)</f>
        <v>0.75460000000000005</v>
      </c>
      <c r="Q25">
        <f>VLOOKUP($A25&amp;Q$3&amp;Q$1,DB!$A:$J,10,0)</f>
        <v>0.69579999999999997</v>
      </c>
      <c r="R25">
        <f>VLOOKUP($A25&amp;R$3&amp;R$1,DB!$A:$J,10,0)</f>
        <v>0.65280000000000005</v>
      </c>
      <c r="S25">
        <f>VLOOKUP($A25&amp;S$3&amp;S$1,DB!$A:$J,10,0)</f>
        <v>0.93279999999999996</v>
      </c>
      <c r="T25">
        <f>VLOOKUP($A25&amp;T$3&amp;T$1,DB!$A:$J,10,0)</f>
        <v>0.8962</v>
      </c>
      <c r="U25">
        <f>VLOOKUP($A25&amp;U$3&amp;U$1,DB!$A:$J,10,0)</f>
        <v>0.87890000000000001</v>
      </c>
      <c r="V25">
        <f>VLOOKUP($A25&amp;V$3&amp;V$1,DB!$A:$J,10,0)</f>
        <v>0.2747</v>
      </c>
      <c r="W25">
        <f>VLOOKUP($A25&amp;W$3&amp;W$1,DB!$A:$J,10,0)</f>
        <v>0.1772</v>
      </c>
      <c r="X25">
        <f>VLOOKUP($A25&amp;X$3&amp;X$1,DB!$A:$J,10,0)</f>
        <v>0.22939999999999999</v>
      </c>
      <c r="Y25">
        <f>VLOOKUP($A25&amp;Y$3&amp;Y$1,DB!$A:$J,10,0)</f>
        <v>0.22009999999999999</v>
      </c>
      <c r="Z25">
        <f>VLOOKUP($A25&amp;Z$3&amp;Z$1,DB!$A:$J,10,0)</f>
        <v>0.24540000000000001</v>
      </c>
      <c r="AA25">
        <f>VLOOKUP($A25&amp;AA$3&amp;AA$1,DB!$A:$J,10,0)</f>
        <v>0.222</v>
      </c>
      <c r="AB25">
        <f>VLOOKUP($A25&amp;AB$3&amp;AB$1,DB!$A:$J,10,0)</f>
        <v>0.24640000000000001</v>
      </c>
      <c r="AC25">
        <f>VLOOKUP($A25&amp;AC$3&amp;AC$1,DB!$A:$J,10,0)</f>
        <v>6.5000000000000002E-2</v>
      </c>
      <c r="AD25">
        <f>VLOOKUP($A25&amp;AD$3&amp;AD$1,DB!$A:$J,10,0)</f>
        <v>0.1038</v>
      </c>
      <c r="AE25">
        <f>VLOOKUP($A25&amp;AE$3&amp;AE$1,DB!$A:$J,10,0)</f>
        <v>0.1113</v>
      </c>
      <c r="AF25">
        <f>VLOOKUP($A25&amp;AF$3&amp;AF$1,DB!$A:$J,10,0)</f>
        <v>0.1537</v>
      </c>
      <c r="AG25">
        <f>VLOOKUP($A25&amp;AG$3&amp;AG$1,DB!$A:$J,10,0)</f>
        <v>5.5300000000000002E-2</v>
      </c>
      <c r="AH25">
        <f>VLOOKUP($A25&amp;AH$3&amp;AH$1,DB!$A:$J,10,0)</f>
        <v>0.28010000000000002</v>
      </c>
      <c r="AI25">
        <f>VLOOKUP($A25&amp;AI$3&amp;AI$1,DB!$A:$J,10,0)</f>
        <v>0</v>
      </c>
      <c r="AJ25">
        <f>VLOOKUP($A25&amp;AJ$3&amp;AJ$1,DB!$A:$J,10,0)</f>
        <v>0</v>
      </c>
      <c r="AK25">
        <f>VLOOKUP($A25&amp;AK$3&amp;AK$1,DB!$A:$J,10,0)</f>
        <v>0.25290000000000001</v>
      </c>
      <c r="AL25">
        <f>VLOOKUP($A25&amp;AL$3&amp;AL$1,DB!$A:$J,10,0)</f>
        <v>0.32700000000000001</v>
      </c>
      <c r="AM25">
        <f>VLOOKUP($A25&amp;AM$3&amp;AM$1,DB!$A:$J,10,0)</f>
        <v>0.35799999999999998</v>
      </c>
      <c r="AN25">
        <f>VLOOKUP($A25&amp;AN$3&amp;AN$1,DB!$A:$J,10,0)</f>
        <v>0.37540000000000001</v>
      </c>
      <c r="AO25">
        <f>VLOOKUP($A25&amp;AO$3&amp;AO$1,DB!$A:$J,10,0)</f>
        <v>0.44829999999999998</v>
      </c>
      <c r="AP25">
        <f>VLOOKUP($A25&amp;AP$3&amp;AP$1,DB!$A:$J,10,0)</f>
        <v>0.74770000000000003</v>
      </c>
      <c r="AQ25">
        <f>VLOOKUP($A25&amp;AQ$3&amp;AQ$1,DB!$A:$J,10,0)</f>
        <v>0.76519999999999999</v>
      </c>
      <c r="AR25">
        <f>VLOOKUP($A25&amp;AR$3&amp;AR$1,DB!$A:$J,10,0)</f>
        <v>0.71989999999999998</v>
      </c>
      <c r="AS25">
        <f>VLOOKUP($A25&amp;AS$3&amp;AS$1,DB!$A:$J,10,0)</f>
        <v>0.67869999999999997</v>
      </c>
      <c r="AT25">
        <f>VLOOKUP($A25&amp;AT$3&amp;AT$1,DB!$A:$J,10,0)</f>
        <v>0.71819999999999995</v>
      </c>
      <c r="AU25">
        <f>VLOOKUP($A25&amp;AU$3&amp;AU$1,DB!$A:$J,10,0)</f>
        <v>0.66479999999999995</v>
      </c>
      <c r="AV25">
        <f>VLOOKUP($A25&amp;AV$3&amp;AV$1,DB!$A:$J,10,0)</f>
        <v>0.57220000000000004</v>
      </c>
      <c r="AW25">
        <f>VLOOKUP($A25&amp;AW$3&amp;AW$1,DB!$A:$J,10,0)</f>
        <v>0.67049999999999998</v>
      </c>
      <c r="AX25">
        <f>VLOOKUP($A25&amp;AX$3&amp;AX$1,DB!$A:$J,10,0)</f>
        <v>0.56769999999999998</v>
      </c>
      <c r="AY25">
        <f>VLOOKUP($A25&amp;AY$3&amp;AY$1,DB!$A:$J,10,0)</f>
        <v>0.48799999999999999</v>
      </c>
      <c r="AZ25">
        <f>VLOOKUP($A25&amp;AZ$3&amp;AZ$1,DB!$A:$J,10,0)</f>
        <v>0.21870000000000001</v>
      </c>
      <c r="BA25">
        <f>VLOOKUP($A25&amp;BA$3&amp;BA$1,DB!$A:$J,10,0)</f>
        <v>0.18410000000000001</v>
      </c>
      <c r="BB25">
        <f>VLOOKUP($A25&amp;BB$3&amp;BB$1,DB!$A:$J,10,0)</f>
        <v>0.20780000000000001</v>
      </c>
      <c r="BC25">
        <f>VLOOKUP($A25&amp;BC$3&amp;BC$1,DB!$A:$J,10,0)</f>
        <v>0.17299999999999999</v>
      </c>
      <c r="BD25">
        <f>VLOOKUP($A25&amp;BD$3&amp;BD$1,DB!$A:$J,10,0)</f>
        <v>0.21340000000000001</v>
      </c>
      <c r="BE25">
        <f>VLOOKUP($A25&amp;BE$3&amp;BE$1,DB!$A:$J,10,0)</f>
        <v>0</v>
      </c>
      <c r="BF25">
        <f>VLOOKUP($A25&amp;BF$3&amp;BF$1,DB!$A:$J,10,0)</f>
        <v>0.31040000000000001</v>
      </c>
      <c r="BG25">
        <f>VLOOKUP($A25&amp;BG$3&amp;BG$1,DB!$A:$J,10,0)</f>
        <v>0.28339999999999999</v>
      </c>
      <c r="BH25">
        <f>VLOOKUP($A25&amp;BH$3&amp;BH$1,DB!$A:$J,10,0)</f>
        <v>0.30099999999999999</v>
      </c>
      <c r="BI25">
        <f>VLOOKUP($A25&amp;BI$3&amp;BI$1,DB!$A:$J,10,0)</f>
        <v>0.33279999999999998</v>
      </c>
      <c r="BJ25">
        <f>VLOOKUP($A25&amp;BJ$3&amp;BJ$1,DB!$A:$J,10,0)</f>
        <v>0.71250000000000002</v>
      </c>
      <c r="BK25">
        <f>VLOOKUP($A25&amp;BK$3&amp;BK$1,DB!$A:$J,10,0)</f>
        <v>0.62960000000000005</v>
      </c>
      <c r="BL25">
        <f>VLOOKUP($A25&amp;BL$3&amp;BL$1,DB!$A:$J,10,0)</f>
        <v>0.65039999999999998</v>
      </c>
      <c r="BM25">
        <f>VLOOKUP($A25&amp;BM$3&amp;BM$1,DB!$A:$J,10,0)</f>
        <v>0.49540000000000001</v>
      </c>
      <c r="BN25">
        <f>VLOOKUP($A25&amp;BN$3&amp;BN$1,DB!$A:$J,10,0)</f>
        <v>0.61909999999999998</v>
      </c>
      <c r="BO25">
        <f>VLOOKUP($A25&amp;BO$3&amp;BO$1,DB!$A:$J,10,0)</f>
        <v>0</v>
      </c>
      <c r="BP25">
        <f>VLOOKUP($A25&amp;BP$3&amp;BP$1,DB!$A:$J,10,0)</f>
        <v>0.58130000000000004</v>
      </c>
      <c r="BQ25">
        <f>VLOOKUP($A25&amp;BQ$3&amp;BQ$1,DB!$A:$J,10,0)</f>
        <v>0.53600000000000003</v>
      </c>
      <c r="BR25">
        <f>VLOOKUP($A25&amp;BR$3&amp;BR$1,DB!$A:$J,10,0)</f>
        <v>0.49840000000000001</v>
      </c>
      <c r="BS25">
        <f>VLOOKUP($A25&amp;BS$3&amp;BS$1,DB!$A:$J,10,0)</f>
        <v>0.49370000000000003</v>
      </c>
      <c r="BT25">
        <f>VLOOKUP($A25&amp;BT$3&amp;BT$1,DB!$A:$J,10,0)</f>
        <v>0.1898</v>
      </c>
      <c r="BU25">
        <f>VLOOKUP($A25&amp;BU$3&amp;BU$1,DB!$A:$J,10,0)</f>
        <v>0.17829999999999999</v>
      </c>
      <c r="BV25">
        <f>VLOOKUP($A25&amp;BV$3&amp;BV$1,DB!$A:$J,10,0)</f>
        <v>0.17660000000000001</v>
      </c>
      <c r="BW25">
        <f>VLOOKUP($A25&amp;BW$3&amp;BW$1,DB!$A:$J,10,0)</f>
        <v>0.1883</v>
      </c>
      <c r="BX25">
        <f>VLOOKUP($A25&amp;BX$3&amp;BX$1,DB!$A:$J,10,0)</f>
        <v>0.1898</v>
      </c>
      <c r="BY25">
        <f>VLOOKUP($A25&amp;BY$3&amp;BY$1,DB!$A:$J,10,0)</f>
        <v>0</v>
      </c>
      <c r="BZ25">
        <f>VLOOKUP($A25&amp;BZ$3&amp;BZ$1,DB!$A:$J,10,0)</f>
        <v>0.2175</v>
      </c>
      <c r="CA25">
        <f>VLOOKUP($A25&amp;CA$3&amp;CA$1,DB!$A:$J,10,0)</f>
        <v>0.222</v>
      </c>
      <c r="CB25">
        <f>VLOOKUP($A25&amp;CB$3&amp;CB$1,DB!$A:$J,10,0)</f>
        <v>0.1769</v>
      </c>
      <c r="CC25">
        <f>VLOOKUP($A25&amp;CC$3&amp;CC$1,DB!$A:$J,10,0)</f>
        <v>0.14699999999999999</v>
      </c>
      <c r="CD25">
        <f>VLOOKUP($A25&amp;CD$3&amp;CD$1,DB!$A:$J,10,0)</f>
        <v>2663.31</v>
      </c>
      <c r="CE25">
        <f>VLOOKUP($A25&amp;CE$3&amp;CE$1,DB!$A:$J,10,0)</f>
        <v>3768.25</v>
      </c>
      <c r="CF25">
        <f>VLOOKUP($A25&amp;CF$3&amp;CF$1,DB!$A:$J,10,0)</f>
        <v>2961.75</v>
      </c>
      <c r="CG25">
        <f>VLOOKUP($A25&amp;CG$3&amp;CG$1,DB!$A:$J,10,0)</f>
        <v>2758.76</v>
      </c>
      <c r="CH25">
        <f>VLOOKUP($A25&amp;CH$3&amp;CH$1,DB!$A:$J,10,0)</f>
        <v>3605.36</v>
      </c>
      <c r="CI25">
        <f>VLOOKUP($A25&amp;CI$3&amp;CI$1,DB!$A:$J,10,0)</f>
        <v>4099.5</v>
      </c>
      <c r="CJ25">
        <f>VLOOKUP($A25&amp;CJ$3&amp;CJ$1,DB!$A:$J,10,0)</f>
        <v>6260.99</v>
      </c>
      <c r="CK25">
        <f>VLOOKUP($A25&amp;CK$3&amp;CK$1,DB!$A:$J,10,0)</f>
        <v>7589.89</v>
      </c>
      <c r="CL25">
        <f>VLOOKUP($A25&amp;CL$3&amp;CL$1,DB!$A:$J,10,0)</f>
        <v>8507.34</v>
      </c>
      <c r="CM25">
        <f>VLOOKUP($A25&amp;CM$3&amp;CM$1,DB!$A:$J,10,0)</f>
        <v>9998.19</v>
      </c>
      <c r="CN25">
        <f>VLOOKUP($A25&amp;CN$3&amp;CN$1,DB!$A:$J,10,0)</f>
        <v>6153.78</v>
      </c>
      <c r="CO25">
        <f>VLOOKUP($A25&amp;CO$3&amp;CO$1,DB!$A:$J,10,0)</f>
        <v>6174.69</v>
      </c>
      <c r="CP25">
        <f>VLOOKUP($A25&amp;CP$3&amp;CP$1,DB!$A:$J,10,0)</f>
        <v>6129.87</v>
      </c>
      <c r="CQ25">
        <f>VLOOKUP($A25&amp;CQ$3&amp;CQ$1,DB!$A:$J,10,0)</f>
        <v>5355.2</v>
      </c>
      <c r="CR25">
        <f>VLOOKUP($A25&amp;CR$3&amp;CR$1,DB!$A:$J,10,0)</f>
        <v>7204.51</v>
      </c>
      <c r="CS25">
        <f>VLOOKUP($A25&amp;CS$3&amp;CS$1,DB!$A:$J,10,0)</f>
        <v>7538.11</v>
      </c>
      <c r="CT25">
        <f>VLOOKUP($A25&amp;CT$3&amp;CT$1,DB!$A:$J,10,0)</f>
        <v>8183.87</v>
      </c>
      <c r="CU25">
        <f>VLOOKUP($A25&amp;CU$3&amp;CU$1,DB!$A:$J,10,0)</f>
        <v>10157.49</v>
      </c>
      <c r="CV25">
        <f>VLOOKUP($A25&amp;CV$3&amp;CV$1,DB!$A:$J,10,0)</f>
        <v>10874.82</v>
      </c>
      <c r="CW25">
        <f>VLOOKUP($A25&amp;CW$3&amp;CW$1,DB!$A:$J,10,0)</f>
        <v>12768.34</v>
      </c>
      <c r="CX25">
        <f>VLOOKUP($A25&amp;CX$3&amp;CX$1,DB!$A:$J,10,0)</f>
        <v>4631.8500000000004</v>
      </c>
      <c r="CY25">
        <f>VLOOKUP($A25&amp;CY$3&amp;CY$1,DB!$A:$J,10,0)</f>
        <v>5316.01</v>
      </c>
      <c r="CZ25">
        <f>VLOOKUP($A25&amp;CZ$3&amp;CZ$1,DB!$A:$J,10,0)</f>
        <v>4599.33</v>
      </c>
      <c r="DA25">
        <f>VLOOKUP($A25&amp;DA$3&amp;DA$1,DB!$A:$J,10,0)</f>
        <v>4150</v>
      </c>
      <c r="DB25">
        <f>VLOOKUP($A25&amp;DB$3&amp;DB$1,DB!$A:$J,10,0)</f>
        <v>5476.02</v>
      </c>
      <c r="DC25">
        <f>VLOOKUP($A25&amp;DC$3&amp;DC$1,DB!$A:$J,10,0)</f>
        <v>6029.52</v>
      </c>
      <c r="DD25">
        <f>VLOOKUP($A25&amp;DD$3&amp;DD$1,DB!$A:$J,10,0)</f>
        <v>7984.17</v>
      </c>
      <c r="DE25">
        <f>VLOOKUP($A25&amp;DE$3&amp;DE$1,DB!$A:$J,10,0)</f>
        <v>10686.64</v>
      </c>
      <c r="DF25">
        <f>VLOOKUP($A25&amp;DF$3&amp;DF$1,DB!$A:$J,10,0)</f>
        <v>11946.93</v>
      </c>
      <c r="DG25">
        <f>VLOOKUP($A25&amp;DG$3&amp;DG$1,DB!$A:$J,10,0)</f>
        <v>13527.24</v>
      </c>
      <c r="DH25">
        <f>VLOOKUP($A25&amp;DH$3&amp;DH$1,DB!$A:$J,10,0)</f>
        <v>4631.8500000000004</v>
      </c>
      <c r="DI25">
        <f>VLOOKUP($A25&amp;DI$3&amp;DI$1,DB!$A:$J,10,0)</f>
        <v>5316.01</v>
      </c>
      <c r="DJ25">
        <f>VLOOKUP($A25&amp;DJ$3&amp;DJ$1,DB!$A:$J,10,0)</f>
        <v>4599.33</v>
      </c>
      <c r="DK25">
        <f>VLOOKUP($A25&amp;DK$3&amp;DK$1,DB!$A:$J,10,0)</f>
        <v>4150</v>
      </c>
      <c r="DL25">
        <f>VLOOKUP($A25&amp;DL$3&amp;DL$1,DB!$A:$J,10,0)</f>
        <v>5476.02</v>
      </c>
      <c r="DM25">
        <f>VLOOKUP($A25&amp;DM$3&amp;DM$1,DB!$A:$J,10,0)</f>
        <v>6029.52</v>
      </c>
      <c r="DN25">
        <f>VLOOKUP($A25&amp;DN$3&amp;DN$1,DB!$A:$J,10,0)</f>
        <v>7984.17</v>
      </c>
      <c r="DO25">
        <f>VLOOKUP($A25&amp;DO$3&amp;DO$1,DB!$A:$J,10,0)</f>
        <v>10686.64</v>
      </c>
      <c r="DP25">
        <f>VLOOKUP($A25&amp;DP$3&amp;DP$1,DB!$A:$J,10,0)</f>
        <v>11946.93</v>
      </c>
      <c r="DQ25">
        <f>VLOOKUP($A25&amp;DQ$3&amp;DQ$1,DB!$A:$J,10,0)</f>
        <v>13527.24</v>
      </c>
      <c r="DR25">
        <f>VLOOKUP($A25&amp;DR$3&amp;DR$1,DB!$A:$J,10,0)</f>
        <v>2197.98</v>
      </c>
      <c r="DS25">
        <f>VLOOKUP($A25&amp;DS$3&amp;DS$1,DB!$A:$J,10,0)</f>
        <v>3238.65</v>
      </c>
      <c r="DT25">
        <f>VLOOKUP($A25&amp;DT$3&amp;DT$1,DB!$A:$J,10,0)</f>
        <v>3070.61</v>
      </c>
      <c r="DU25">
        <f>VLOOKUP($A25&amp;DU$3&amp;DU$1,DB!$A:$J,10,0)</f>
        <v>2739.84</v>
      </c>
      <c r="DV25">
        <f>VLOOKUP($A25&amp;DV$3&amp;DV$1,DB!$A:$J,10,0)</f>
        <v>3223.29</v>
      </c>
      <c r="DW25">
        <f>VLOOKUP($A25&amp;DW$3&amp;DW$1,DB!$A:$J,10,0)</f>
        <v>0</v>
      </c>
      <c r="DX25">
        <f>VLOOKUP($A25&amp;DX$3&amp;DX$1,DB!$A:$J,10,0)</f>
        <v>3853.56</v>
      </c>
      <c r="DY25">
        <f>VLOOKUP($A25&amp;DY$3&amp;DY$1,DB!$A:$J,10,0)</f>
        <v>6128.97</v>
      </c>
      <c r="DZ25">
        <f>VLOOKUP($A25&amp;DZ$3&amp;DZ$1,DB!$A:$J,10,0)</f>
        <v>5843.37</v>
      </c>
      <c r="EA25">
        <f>VLOOKUP($A25&amp;EA$3&amp;EA$1,DB!$A:$J,10,0)</f>
        <v>6730.72</v>
      </c>
      <c r="EB25">
        <f>VLOOKUP($A25&amp;EB$3&amp;EB$1,DB!$A:$J,10,0)</f>
        <v>766.16</v>
      </c>
      <c r="EC25">
        <f>VLOOKUP($A25&amp;EC$3&amp;EC$1,DB!$A:$J,10,0)</f>
        <v>670.12</v>
      </c>
      <c r="ED25">
        <f>VLOOKUP($A25&amp;ED$3&amp;ED$1,DB!$A:$J,10,0)</f>
        <v>517.04</v>
      </c>
      <c r="EE25">
        <f>VLOOKUP($A25&amp;EE$3&amp;EE$1,DB!$A:$J,10,0)</f>
        <v>491.26</v>
      </c>
      <c r="EF25">
        <f>VLOOKUP($A25&amp;EF$3&amp;EF$1,DB!$A:$J,10,0)</f>
        <v>1250</v>
      </c>
      <c r="EG25">
        <f>VLOOKUP($A25&amp;EG$3&amp;EG$1,DB!$A:$J,10,0)</f>
        <v>3979.95</v>
      </c>
      <c r="EH25">
        <f>VLOOKUP($A25&amp;EH$3&amp;EH$1,DB!$A:$J,10,0)</f>
        <v>478.14</v>
      </c>
      <c r="EI25">
        <f>VLOOKUP($A25&amp;EI$3&amp;EI$1,DB!$A:$J,10,0)</f>
        <v>4.2</v>
      </c>
      <c r="EJ25">
        <f>VLOOKUP($A25&amp;EJ$3&amp;EJ$1,DB!$A:$J,10,0)</f>
        <v>4.54</v>
      </c>
      <c r="EK25">
        <f>VLOOKUP($A25&amp;EK$3&amp;EK$1,DB!$A:$J,10,0)</f>
        <v>211.83</v>
      </c>
    </row>
    <row r="26" spans="1:141" hidden="1" x14ac:dyDescent="0.35">
      <c r="A26" t="s">
        <v>62</v>
      </c>
      <c r="B26">
        <f>VLOOKUP($A26&amp;B$3&amp;B$1,DB!$A:$J,10,0)</f>
        <v>0.26860000000000001</v>
      </c>
      <c r="C26">
        <f>VLOOKUP($A26&amp;C$3&amp;C$1,DB!$A:$J,10,0)</f>
        <v>0.25650000000000001</v>
      </c>
      <c r="D26">
        <f>VLOOKUP($A26&amp;D$3&amp;D$1,DB!$A:$J,10,0)</f>
        <v>0.29549999999999998</v>
      </c>
      <c r="E26">
        <f>VLOOKUP($A26&amp;E$3&amp;E$1,DB!$A:$J,10,0)</f>
        <v>0.27439999999999998</v>
      </c>
      <c r="F26">
        <f>VLOOKUP($A26&amp;F$3&amp;F$1,DB!$A:$J,10,0)</f>
        <v>0.26450000000000001</v>
      </c>
      <c r="G26">
        <f>VLOOKUP($A26&amp;G$3&amp;G$1,DB!$A:$J,10,0)</f>
        <v>0.27710000000000001</v>
      </c>
      <c r="H26">
        <f>VLOOKUP($A26&amp;H$3&amp;H$1,DB!$A:$J,10,0)</f>
        <v>0.22170000000000001</v>
      </c>
      <c r="I26">
        <f>VLOOKUP($A26&amp;I$3&amp;I$1,DB!$A:$J,10,0)</f>
        <v>0.25019999999999998</v>
      </c>
      <c r="J26">
        <f>VLOOKUP($A26&amp;J$3&amp;J$1,DB!$A:$J,10,0)</f>
        <v>0.28510000000000002</v>
      </c>
      <c r="K26">
        <f>VLOOKUP($A26&amp;K$3&amp;K$1,DB!$A:$J,10,0)</f>
        <v>0.2878</v>
      </c>
      <c r="L26">
        <f>VLOOKUP($A26&amp;L$3&amp;L$1,DB!$A:$J,10,0)</f>
        <v>0.90339999999999998</v>
      </c>
      <c r="M26">
        <f>VLOOKUP($A26&amp;M$3&amp;M$1,DB!$A:$J,10,0)</f>
        <v>0.79510000000000003</v>
      </c>
      <c r="N26">
        <f>VLOOKUP($A26&amp;N$3&amp;N$1,DB!$A:$J,10,0)</f>
        <v>0.75170000000000003</v>
      </c>
      <c r="O26">
        <f>VLOOKUP($A26&amp;O$3&amp;O$1,DB!$A:$J,10,0)</f>
        <v>0.77629999999999999</v>
      </c>
      <c r="P26">
        <f>VLOOKUP($A26&amp;P$3&amp;P$1,DB!$A:$J,10,0)</f>
        <v>0.78210000000000002</v>
      </c>
      <c r="Q26">
        <f>VLOOKUP($A26&amp;Q$3&amp;Q$1,DB!$A:$J,10,0)</f>
        <v>0.94469999999999998</v>
      </c>
      <c r="R26">
        <f>VLOOKUP($A26&amp;R$3&amp;R$1,DB!$A:$J,10,0)</f>
        <v>0.7</v>
      </c>
      <c r="S26">
        <f>VLOOKUP($A26&amp;S$3&amp;S$1,DB!$A:$J,10,0)</f>
        <v>0.89029999999999998</v>
      </c>
      <c r="T26">
        <f>VLOOKUP($A26&amp;T$3&amp;T$1,DB!$A:$J,10,0)</f>
        <v>1</v>
      </c>
      <c r="U26">
        <f>VLOOKUP($A26&amp;U$3&amp;U$1,DB!$A:$J,10,0)</f>
        <v>0.93769999999999998</v>
      </c>
      <c r="V26">
        <f>VLOOKUP($A26&amp;V$3&amp;V$1,DB!$A:$J,10,0)</f>
        <v>9.6600000000000005E-2</v>
      </c>
      <c r="W26">
        <f>VLOOKUP($A26&amp;W$3&amp;W$1,DB!$A:$J,10,0)</f>
        <v>0.2049</v>
      </c>
      <c r="X26">
        <f>VLOOKUP($A26&amp;X$3&amp;X$1,DB!$A:$J,10,0)</f>
        <v>0.21279999999999999</v>
      </c>
      <c r="Y26">
        <f>VLOOKUP($A26&amp;Y$3&amp;Y$1,DB!$A:$J,10,0)</f>
        <v>0.22370000000000001</v>
      </c>
      <c r="Z26">
        <f>VLOOKUP($A26&amp;Z$3&amp;Z$1,DB!$A:$J,10,0)</f>
        <v>0.21790000000000001</v>
      </c>
      <c r="AA26">
        <f>VLOOKUP($A26&amp;AA$3&amp;AA$1,DB!$A:$J,10,0)</f>
        <v>5.5300000000000002E-2</v>
      </c>
      <c r="AB26">
        <f>VLOOKUP($A26&amp;AB$3&amp;AB$1,DB!$A:$J,10,0)</f>
        <v>0.1048</v>
      </c>
      <c r="AC26">
        <f>VLOOKUP($A26&amp;AC$3&amp;AC$1,DB!$A:$J,10,0)</f>
        <v>0.1096</v>
      </c>
      <c r="AD26">
        <f>VLOOKUP($A26&amp;AD$3&amp;AD$1,DB!$A:$J,10,0)</f>
        <v>0</v>
      </c>
      <c r="AE26">
        <f>VLOOKUP($A26&amp;AE$3&amp;AE$1,DB!$A:$J,10,0)</f>
        <v>1.8499999999999999E-2</v>
      </c>
      <c r="AF26">
        <f>VLOOKUP($A26&amp;AF$3&amp;AF$1,DB!$A:$J,10,0)</f>
        <v>1.2500000000000001E-2</v>
      </c>
      <c r="AG26">
        <f>VLOOKUP($A26&amp;AG$3&amp;AG$1,DB!$A:$J,10,0)</f>
        <v>1.67E-2</v>
      </c>
      <c r="AH26">
        <f>VLOOKUP($A26&amp;AH$3&amp;AH$1,DB!$A:$J,10,0)</f>
        <v>0</v>
      </c>
      <c r="AI26">
        <f>VLOOKUP($A26&amp;AI$3&amp;AI$1,DB!$A:$J,10,0)</f>
        <v>0</v>
      </c>
      <c r="AJ26">
        <f>VLOOKUP($A26&amp;AJ$3&amp;AJ$1,DB!$A:$J,10,0)</f>
        <v>0</v>
      </c>
      <c r="AK26">
        <f>VLOOKUP($A26&amp;AK$3&amp;AK$1,DB!$A:$J,10,0)</f>
        <v>0</v>
      </c>
      <c r="AL26">
        <f>VLOOKUP($A26&amp;AL$3&amp;AL$1,DB!$A:$J,10,0)</f>
        <v>8.8800000000000004E-2</v>
      </c>
      <c r="AM26">
        <f>VLOOKUP($A26&amp;AM$3&amp;AM$1,DB!$A:$J,10,0)</f>
        <v>0</v>
      </c>
      <c r="AN26">
        <f>VLOOKUP($A26&amp;AN$3&amp;AN$1,DB!$A:$J,10,0)</f>
        <v>0</v>
      </c>
      <c r="AO26">
        <f>VLOOKUP($A26&amp;AO$3&amp;AO$1,DB!$A:$J,10,0)</f>
        <v>0.15310000000000001</v>
      </c>
      <c r="AP26">
        <f>VLOOKUP($A26&amp;AP$3&amp;AP$1,DB!$A:$J,10,0)</f>
        <v>0.80220000000000002</v>
      </c>
      <c r="AQ26">
        <f>VLOOKUP($A26&amp;AQ$3&amp;AQ$1,DB!$A:$J,10,0)</f>
        <v>0.84409999999999996</v>
      </c>
      <c r="AR26">
        <f>VLOOKUP($A26&amp;AR$3&amp;AR$1,DB!$A:$J,10,0)</f>
        <v>0.87250000000000005</v>
      </c>
      <c r="AS26">
        <f>VLOOKUP($A26&amp;AS$3&amp;AS$1,DB!$A:$J,10,0)</f>
        <v>1</v>
      </c>
      <c r="AT26">
        <f>VLOOKUP($A26&amp;AT$3&amp;AT$1,DB!$A:$J,10,0)</f>
        <v>1.0081</v>
      </c>
      <c r="AU26">
        <f>VLOOKUP($A26&amp;AU$3&amp;AU$1,DB!$A:$J,10,0)</f>
        <v>1.0190999999999999</v>
      </c>
      <c r="AV26">
        <f>VLOOKUP($A26&amp;AV$3&amp;AV$1,DB!$A:$J,10,0)</f>
        <v>0.71589999999999998</v>
      </c>
      <c r="AW26">
        <f>VLOOKUP($A26&amp;AW$3&amp;AW$1,DB!$A:$J,10,0)</f>
        <v>1.0840000000000001</v>
      </c>
      <c r="AX26">
        <f>VLOOKUP($A26&amp;AX$3&amp;AX$1,DB!$A:$J,10,0)</f>
        <v>1.0013000000000001</v>
      </c>
      <c r="AY26">
        <f>VLOOKUP($A26&amp;AY$3&amp;AY$1,DB!$A:$J,10,0)</f>
        <v>0.78459999999999996</v>
      </c>
      <c r="AZ26">
        <f>VLOOKUP($A26&amp;AZ$3&amp;AZ$1,DB!$A:$J,10,0)</f>
        <v>0.11940000000000001</v>
      </c>
      <c r="BA26">
        <f>VLOOKUP($A26&amp;BA$3&amp;BA$1,DB!$A:$J,10,0)</f>
        <v>9.3799999999999994E-2</v>
      </c>
      <c r="BB26">
        <f>VLOOKUP($A26&amp;BB$3&amp;BB$1,DB!$A:$J,10,0)</f>
        <v>0</v>
      </c>
      <c r="BC26">
        <f>VLOOKUP($A26&amp;BC$3&amp;BC$1,DB!$A:$J,10,0)</f>
        <v>6.0100000000000001E-2</v>
      </c>
      <c r="BD26">
        <f>VLOOKUP($A26&amp;BD$3&amp;BD$1,DB!$A:$J,10,0)</f>
        <v>5.1999999999999998E-2</v>
      </c>
      <c r="BE26">
        <f>VLOOKUP($A26&amp;BE$3&amp;BE$1,DB!$A:$J,10,0)</f>
        <v>0</v>
      </c>
      <c r="BF26">
        <f>VLOOKUP($A26&amp;BF$3&amp;BF$1,DB!$A:$J,10,0)</f>
        <v>6.5500000000000003E-2</v>
      </c>
      <c r="BG26">
        <f>VLOOKUP($A26&amp;BG$3&amp;BG$1,DB!$A:$J,10,0)</f>
        <v>4.6399999999999997E-2</v>
      </c>
      <c r="BH26">
        <f>VLOOKUP($A26&amp;BH$3&amp;BH$1,DB!$A:$J,10,0)</f>
        <v>4.6199999999999998E-2</v>
      </c>
      <c r="BI26">
        <f>VLOOKUP($A26&amp;BI$3&amp;BI$1,DB!$A:$J,10,0)</f>
        <v>5.6399999999999999E-2</v>
      </c>
      <c r="BJ26">
        <f>VLOOKUP($A26&amp;BJ$3&amp;BJ$1,DB!$A:$J,10,0)</f>
        <v>0.79079999999999995</v>
      </c>
      <c r="BK26">
        <f>VLOOKUP($A26&amp;BK$3&amp;BK$1,DB!$A:$J,10,0)</f>
        <v>0.83109999999999995</v>
      </c>
      <c r="BL26">
        <f>VLOOKUP($A26&amp;BL$3&amp;BL$1,DB!$A:$J,10,0)</f>
        <v>0</v>
      </c>
      <c r="BM26">
        <f>VLOOKUP($A26&amp;BM$3&amp;BM$1,DB!$A:$J,10,0)</f>
        <v>0.89029999999999998</v>
      </c>
      <c r="BN26">
        <f>VLOOKUP($A26&amp;BN$3&amp;BN$1,DB!$A:$J,10,0)</f>
        <v>0.88819999999999999</v>
      </c>
      <c r="BO26">
        <f>VLOOKUP($A26&amp;BO$3&amp;BO$1,DB!$A:$J,10,0)</f>
        <v>0</v>
      </c>
      <c r="BP26">
        <f>VLOOKUP($A26&amp;BP$3&amp;BP$1,DB!$A:$J,10,0)</f>
        <v>0.86150000000000004</v>
      </c>
      <c r="BQ26">
        <f>VLOOKUP($A26&amp;BQ$3&amp;BQ$1,DB!$A:$J,10,0)</f>
        <v>0.79339999999999999</v>
      </c>
      <c r="BR26">
        <f>VLOOKUP($A26&amp;BR$3&amp;BR$1,DB!$A:$J,10,0)</f>
        <v>0.31769999999999998</v>
      </c>
      <c r="BS26">
        <f>VLOOKUP($A26&amp;BS$3&amp;BS$1,DB!$A:$J,10,0)</f>
        <v>0.71260000000000001</v>
      </c>
      <c r="BT26">
        <f>VLOOKUP($A26&amp;BT$3&amp;BT$1,DB!$A:$J,10,0)</f>
        <v>0.19750000000000001</v>
      </c>
      <c r="BU26">
        <f>VLOOKUP($A26&amp;BU$3&amp;BU$1,DB!$A:$J,10,0)</f>
        <v>0.21199999999999999</v>
      </c>
      <c r="BV26">
        <f>VLOOKUP($A26&amp;BV$3&amp;BV$1,DB!$A:$J,10,0)</f>
        <v>0.25480000000000003</v>
      </c>
      <c r="BW26">
        <f>VLOOKUP($A26&amp;BW$3&amp;BW$1,DB!$A:$J,10,0)</f>
        <v>0.29499999999999998</v>
      </c>
      <c r="BX26">
        <f>VLOOKUP($A26&amp;BX$3&amp;BX$1,DB!$A:$J,10,0)</f>
        <v>0.20030000000000001</v>
      </c>
      <c r="BY26">
        <f>VLOOKUP($A26&amp;BY$3&amp;BY$1,DB!$A:$J,10,0)</f>
        <v>0</v>
      </c>
      <c r="BZ26">
        <f>VLOOKUP($A26&amp;BZ$3&amp;BZ$1,DB!$A:$J,10,0)</f>
        <v>0.3674</v>
      </c>
      <c r="CA26">
        <f>VLOOKUP($A26&amp;CA$3&amp;CA$1,DB!$A:$J,10,0)</f>
        <v>0.182</v>
      </c>
      <c r="CB26">
        <f>VLOOKUP($A26&amp;CB$3&amp;CB$1,DB!$A:$J,10,0)</f>
        <v>0</v>
      </c>
      <c r="CC26">
        <f>VLOOKUP($A26&amp;CC$3&amp;CC$1,DB!$A:$J,10,0)</f>
        <v>0.21049999999999999</v>
      </c>
      <c r="CD26">
        <f>VLOOKUP($A26&amp;CD$3&amp;CD$1,DB!$A:$J,10,0)</f>
        <v>3207.27</v>
      </c>
      <c r="CE26">
        <f>VLOOKUP($A26&amp;CE$3&amp;CE$1,DB!$A:$J,10,0)</f>
        <v>3692.61</v>
      </c>
      <c r="CF26">
        <f>VLOOKUP($A26&amp;CF$3&amp;CF$1,DB!$A:$J,10,0)</f>
        <v>0</v>
      </c>
      <c r="CG26">
        <f>VLOOKUP($A26&amp;CG$3&amp;CG$1,DB!$A:$J,10,0)</f>
        <v>2297.3000000000002</v>
      </c>
      <c r="CH26">
        <f>VLOOKUP($A26&amp;CH$3&amp;CH$1,DB!$A:$J,10,0)</f>
        <v>1891.89</v>
      </c>
      <c r="CI26">
        <f>VLOOKUP($A26&amp;CI$3&amp;CI$1,DB!$A:$J,10,0)</f>
        <v>2205.88</v>
      </c>
      <c r="CJ26">
        <f>VLOOKUP($A26&amp;CJ$3&amp;CJ$1,DB!$A:$J,10,0)</f>
        <v>3174.6</v>
      </c>
      <c r="CK26">
        <f>VLOOKUP($A26&amp;CK$3&amp;CK$1,DB!$A:$J,10,0)</f>
        <v>3090.53</v>
      </c>
      <c r="CL26">
        <f>VLOOKUP($A26&amp;CL$3&amp;CL$1,DB!$A:$J,10,0)</f>
        <v>7953.68</v>
      </c>
      <c r="CM26">
        <f>VLOOKUP($A26&amp;CM$3&amp;CM$1,DB!$A:$J,10,0)</f>
        <v>4645.91</v>
      </c>
      <c r="CN26">
        <f>VLOOKUP($A26&amp;CN$3&amp;CN$1,DB!$A:$J,10,0)</f>
        <v>4829.33</v>
      </c>
      <c r="CO26">
        <f>VLOOKUP($A26&amp;CO$3&amp;CO$1,DB!$A:$J,10,0)</f>
        <v>6330.97</v>
      </c>
      <c r="CP26">
        <f>VLOOKUP($A26&amp;CP$3&amp;CP$1,DB!$A:$J,10,0)</f>
        <v>7665.06</v>
      </c>
      <c r="CQ26">
        <f>VLOOKUP($A26&amp;CQ$3&amp;CQ$1,DB!$A:$J,10,0)</f>
        <v>8215.68</v>
      </c>
      <c r="CR26">
        <f>VLOOKUP($A26&amp;CR$3&amp;CR$1,DB!$A:$J,10,0)</f>
        <v>8117.53</v>
      </c>
      <c r="CS26">
        <f>VLOOKUP($A26&amp;CS$3&amp;CS$1,DB!$A:$J,10,0)</f>
        <v>9620.41</v>
      </c>
      <c r="CT26">
        <f>VLOOKUP($A26&amp;CT$3&amp;CT$1,DB!$A:$J,10,0)</f>
        <v>8861.17</v>
      </c>
      <c r="CU26">
        <f>VLOOKUP($A26&amp;CU$3&amp;CU$1,DB!$A:$J,10,0)</f>
        <v>13460.24</v>
      </c>
      <c r="CV26">
        <f>VLOOKUP($A26&amp;CV$3&amp;CV$1,DB!$A:$J,10,0)</f>
        <v>15754.78</v>
      </c>
      <c r="CW26">
        <f>VLOOKUP($A26&amp;CW$3&amp;CW$1,DB!$A:$J,10,0)</f>
        <v>19156.93</v>
      </c>
      <c r="CX26">
        <f>VLOOKUP($A26&amp;CX$3&amp;CX$1,DB!$A:$J,10,0)</f>
        <v>4528.82</v>
      </c>
      <c r="CY26">
        <f>VLOOKUP($A26&amp;CY$3&amp;CY$1,DB!$A:$J,10,0)</f>
        <v>5933.73</v>
      </c>
      <c r="CZ26">
        <f>VLOOKUP($A26&amp;CZ$3&amp;CZ$1,DB!$A:$J,10,0)</f>
        <v>6584.3</v>
      </c>
      <c r="DA26">
        <f>VLOOKUP($A26&amp;DA$3&amp;DA$1,DB!$A:$J,10,0)</f>
        <v>7092.08</v>
      </c>
      <c r="DB26">
        <f>VLOOKUP($A26&amp;DB$3&amp;DB$1,DB!$A:$J,10,0)</f>
        <v>6674.75</v>
      </c>
      <c r="DC26">
        <f>VLOOKUP($A26&amp;DC$3&amp;DC$1,DB!$A:$J,10,0)</f>
        <v>7418.03</v>
      </c>
      <c r="DD26">
        <f>VLOOKUP($A26&amp;DD$3&amp;DD$1,DB!$A:$J,10,0)</f>
        <v>7853.22</v>
      </c>
      <c r="DE26">
        <f>VLOOKUP($A26&amp;DE$3&amp;DE$1,DB!$A:$J,10,0)</f>
        <v>13523.12</v>
      </c>
      <c r="DF26">
        <f>VLOOKUP($A26&amp;DF$3&amp;DF$1,DB!$A:$J,10,0)</f>
        <v>38502.28</v>
      </c>
      <c r="DG26">
        <f>VLOOKUP($A26&amp;DG$3&amp;DG$1,DB!$A:$J,10,0)</f>
        <v>20266.849999999999</v>
      </c>
      <c r="DH26">
        <f>VLOOKUP($A26&amp;DH$3&amp;DH$1,DB!$A:$J,10,0)</f>
        <v>4528.82</v>
      </c>
      <c r="DI26">
        <f>VLOOKUP($A26&amp;DI$3&amp;DI$1,DB!$A:$J,10,0)</f>
        <v>5933.73</v>
      </c>
      <c r="DJ26">
        <f>VLOOKUP($A26&amp;DJ$3&amp;DJ$1,DB!$A:$J,10,0)</f>
        <v>6584.3</v>
      </c>
      <c r="DK26">
        <f>VLOOKUP($A26&amp;DK$3&amp;DK$1,DB!$A:$J,10,0)</f>
        <v>7092.08</v>
      </c>
      <c r="DL26">
        <f>VLOOKUP($A26&amp;DL$3&amp;DL$1,DB!$A:$J,10,0)</f>
        <v>6674.75</v>
      </c>
      <c r="DM26">
        <f>VLOOKUP($A26&amp;DM$3&amp;DM$1,DB!$A:$J,10,0)</f>
        <v>7418.03</v>
      </c>
      <c r="DN26">
        <f>VLOOKUP($A26&amp;DN$3&amp;DN$1,DB!$A:$J,10,0)</f>
        <v>7853.22</v>
      </c>
      <c r="DO26">
        <f>VLOOKUP($A26&amp;DO$3&amp;DO$1,DB!$A:$J,10,0)</f>
        <v>13523.12</v>
      </c>
      <c r="DP26">
        <f>VLOOKUP($A26&amp;DP$3&amp;DP$1,DB!$A:$J,10,0)</f>
        <v>38502.28</v>
      </c>
      <c r="DQ26">
        <f>VLOOKUP($A26&amp;DQ$3&amp;DQ$1,DB!$A:$J,10,0)</f>
        <v>20266.849999999999</v>
      </c>
      <c r="DR26">
        <f>VLOOKUP($A26&amp;DR$3&amp;DR$1,DB!$A:$J,10,0)</f>
        <v>3794.23</v>
      </c>
      <c r="DS26">
        <f>VLOOKUP($A26&amp;DS$3&amp;DS$1,DB!$A:$J,10,0)</f>
        <v>3187.15</v>
      </c>
      <c r="DT26">
        <f>VLOOKUP($A26&amp;DT$3&amp;DT$1,DB!$A:$J,10,0)</f>
        <v>2892.15</v>
      </c>
      <c r="DU26">
        <f>VLOOKUP($A26&amp;DU$3&amp;DU$1,DB!$A:$J,10,0)</f>
        <v>6261.03</v>
      </c>
      <c r="DV26">
        <f>VLOOKUP($A26&amp;DV$3&amp;DV$1,DB!$A:$J,10,0)</f>
        <v>5830.87</v>
      </c>
      <c r="DW26">
        <f>VLOOKUP($A26&amp;DW$3&amp;DW$1,DB!$A:$J,10,0)</f>
        <v>0</v>
      </c>
      <c r="DX26">
        <f>VLOOKUP($A26&amp;DX$3&amp;DX$1,DB!$A:$J,10,0)</f>
        <v>4050.79</v>
      </c>
      <c r="DY26">
        <f>VLOOKUP($A26&amp;DY$3&amp;DY$1,DB!$A:$J,10,0)</f>
        <v>6513.79</v>
      </c>
      <c r="DZ26">
        <f>VLOOKUP($A26&amp;DZ$3&amp;DZ$1,DB!$A:$J,10,0)</f>
        <v>6463.52</v>
      </c>
      <c r="EA26">
        <f>VLOOKUP($A26&amp;EA$3&amp;EA$1,DB!$A:$J,10,0)</f>
        <v>6799.87</v>
      </c>
      <c r="EB26">
        <f>VLOOKUP($A26&amp;EB$3&amp;EB$1,DB!$A:$J,10,0)</f>
        <v>733.8</v>
      </c>
      <c r="EC26">
        <f>VLOOKUP($A26&amp;EC$3&amp;EC$1,DB!$A:$J,10,0)</f>
        <v>1260.52</v>
      </c>
      <c r="ED26">
        <f>VLOOKUP($A26&amp;ED$3&amp;ED$1,DB!$A:$J,10,0)</f>
        <v>938.48</v>
      </c>
      <c r="EE26">
        <f>VLOOKUP($A26&amp;EE$3&amp;EE$1,DB!$A:$J,10,0)</f>
        <v>831.05</v>
      </c>
      <c r="EF26">
        <f>VLOOKUP($A26&amp;EF$3&amp;EF$1,DB!$A:$J,10,0)</f>
        <v>843.89</v>
      </c>
      <c r="EG26">
        <f>VLOOKUP($A26&amp;EG$3&amp;EG$1,DB!$A:$J,10,0)</f>
        <v>7175.07</v>
      </c>
      <c r="EH26">
        <f>VLOOKUP($A26&amp;EH$3&amp;EH$1,DB!$A:$J,10,0)</f>
        <v>606.37</v>
      </c>
      <c r="EI26">
        <f>VLOOKUP($A26&amp;EI$3&amp;EI$1,DB!$A:$J,10,0)</f>
        <v>0</v>
      </c>
      <c r="EJ26">
        <f>VLOOKUP($A26&amp;EJ$3&amp;EJ$1,DB!$A:$J,10,0)</f>
        <v>0</v>
      </c>
      <c r="EK26">
        <f>VLOOKUP($A26&amp;EK$3&amp;EK$1,DB!$A:$J,10,0)</f>
        <v>0</v>
      </c>
    </row>
  </sheetData>
  <autoFilter ref="A2:EK26" xr:uid="{3DE99089-FA94-4321-815A-0F5C27FA8ACA}">
    <filterColumn colId="0">
      <filters>
        <filter val="CIDADE"/>
        <filter val="Teófilo Otoni"/>
      </filters>
    </filterColumn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  <filterColumn colId="117" showButton="0"/>
    <filterColumn colId="118" showButton="0"/>
    <filterColumn colId="119" showButton="0"/>
    <filterColumn colId="121" showButton="0"/>
    <filterColumn colId="122" showButton="0"/>
    <filterColumn colId="123" showButton="0"/>
    <filterColumn colId="124" showButton="0"/>
    <filterColumn colId="125" showButton="0"/>
    <filterColumn colId="126" showButton="0"/>
    <filterColumn colId="127" showButton="0"/>
    <filterColumn colId="128" showButton="0"/>
    <filterColumn colId="129" showButton="0"/>
    <filterColumn colId="131" showButton="0"/>
    <filterColumn colId="132" showButton="0"/>
    <filterColumn colId="133" showButton="0"/>
    <filterColumn colId="134" showButton="0"/>
    <filterColumn colId="135" showButton="0"/>
    <filterColumn colId="136" showButton="0"/>
    <filterColumn colId="137" showButton="0"/>
    <filterColumn colId="138" showButton="0"/>
    <filterColumn colId="139" showButton="0"/>
  </autoFilter>
  <mergeCells count="14">
    <mergeCell ref="AZ2:BI2"/>
    <mergeCell ref="B2:K2"/>
    <mergeCell ref="L2:U2"/>
    <mergeCell ref="V2:AE2"/>
    <mergeCell ref="AF2:AO2"/>
    <mergeCell ref="AP2:AY2"/>
    <mergeCell ref="DR2:EA2"/>
    <mergeCell ref="EB2:EK2"/>
    <mergeCell ref="BJ2:BS2"/>
    <mergeCell ref="BT2:CC2"/>
    <mergeCell ref="CD2:CM2"/>
    <mergeCell ref="CN2:CW2"/>
    <mergeCell ref="CX2:DG2"/>
    <mergeCell ref="DH2:DQ2"/>
  </mergeCells>
  <conditionalFormatting sqref="B4:EK26">
    <cfRule type="expression" dxfId="1" priority="1">
      <formula>ISERROR(B4)</formula>
    </cfRule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DB</vt:lpstr>
      <vt:lpstr>INTEGRALIDADE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Abreu</dc:creator>
  <cp:lastModifiedBy>Rafael Abreu</cp:lastModifiedBy>
  <dcterms:created xsi:type="dcterms:W3CDTF">2025-06-07T19:50:01Z</dcterms:created>
  <dcterms:modified xsi:type="dcterms:W3CDTF">2025-10-28T14:30:23Z</dcterms:modified>
</cp:coreProperties>
</file>